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Employees" sheetId="1" r:id="rId4"/>
    <sheet state="visible" name="Cloudflare" sheetId="2" r:id="rId5"/>
    <sheet state="visible" name="Github - Docker" sheetId="3" r:id="rId6"/>
    <sheet state="visible" name="Azure" sheetId="4" r:id="rId7"/>
    <sheet state="visible" name="AWS" sheetId="5" r:id="rId8"/>
    <sheet state="visible" name="GCP" sheetId="6" r:id="rId9"/>
    <sheet state="visible" name="Looker" sheetId="7" r:id="rId10"/>
    <sheet state="visible" name="Looker Admin" sheetId="8" r:id="rId11"/>
    <sheet state="visible" name="Snowflake" sheetId="9" r:id="rId12"/>
    <sheet state="visible" name="Snowflake - SVC" sheetId="10" r:id="rId13"/>
    <sheet state="visible" name="Sigma" sheetId="11" r:id="rId14"/>
    <sheet state="visible" name="Auth0 - Docker" sheetId="12" r:id="rId15"/>
    <sheet state="visible" name="Datadog - Scout" sheetId="13" r:id="rId16"/>
    <sheet state="visible" name="Github - Scout (atomisthq)" sheetId="14" r:id="rId17"/>
    <sheet state="visible" name="Github - Scout (atomist-contain" sheetId="15" r:id="rId18"/>
    <sheet state="visible" name="Github - Scout (docker-hardened" sheetId="16" r:id="rId19"/>
    <sheet state="visible" name="Okta" sheetId="17" r:id="rId20"/>
    <sheet state="visible" name="Auth0 - Testcontainers" sheetId="18" r:id="rId21"/>
    <sheet state="visible" name="Github - TestContainers" sheetId="19" r:id="rId22"/>
    <sheet state="visible" name="TestContainers" sheetId="20" r:id="rId23"/>
    <sheet state="visible" name="Docker Hub" sheetId="21" r:id="rId24"/>
  </sheets>
  <definedNames>
    <definedName hidden="1" localSheetId="4" name="_xlnm._FilterDatabase">AWS!$D$1:$D$1000</definedName>
    <definedName hidden="1" localSheetId="6" name="_xlnm._FilterDatabase">Looker!$A$1:$AA$1000</definedName>
    <definedName hidden="1" localSheetId="9" name="_xlnm._FilterDatabase">'Snowflake - SVC'!$A$1:$W$1000</definedName>
    <definedName hidden="1" localSheetId="13" name="_xlnm._FilterDatabase">'Github - Scout (atomisthq)'!$G$1:$G$1000</definedName>
    <definedName hidden="1" localSheetId="14" name="_xlnm._FilterDatabase">'Github - Scout (atomist-contain'!$G$1:$G$1000</definedName>
    <definedName hidden="1" localSheetId="15" name="_xlnm._FilterDatabase">'Github - Scout (docker-hardened'!$G$1:$G$1000</definedName>
    <definedName hidden="1" localSheetId="18" name="_xlnm._FilterDatabase">'Github - TestContainers'!$G$1:$G$1000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4">
      <text>
        <t xml:space="preserve">Check for accuracy.
	-Chad Fryer</t>
      </text>
    </comment>
  </commentList>
</comments>
</file>

<file path=xl/sharedStrings.xml><?xml version="1.0" encoding="utf-8"?>
<sst xmlns="http://schemas.openxmlformats.org/spreadsheetml/2006/main" count="29710" uniqueCount="4381">
  <si>
    <t>Last name, First name</t>
  </si>
  <si>
    <t>Work Email</t>
  </si>
  <si>
    <t>Hire Date</t>
  </si>
  <si>
    <t>Job Information: Date</t>
  </si>
  <si>
    <t>Division</t>
  </si>
  <si>
    <t>Department</t>
  </si>
  <si>
    <t>Job Title</t>
  </si>
  <si>
    <t>Reporting to</t>
  </si>
  <si>
    <t>Team</t>
  </si>
  <si>
    <t>Sub Team</t>
  </si>
  <si>
    <t>Abaidoo, Larissa</t>
  </si>
  <si>
    <t>larissa.abaidoo@docker.com</t>
  </si>
  <si>
    <t>Products</t>
  </si>
  <si>
    <t>PROD-Accounts &amp; Billing</t>
  </si>
  <si>
    <t>Staff Product Manager</t>
  </si>
  <si>
    <t>Dave Morris</t>
  </si>
  <si>
    <t>Billing</t>
  </si>
  <si>
    <t>Abishai, Esther</t>
  </si>
  <si>
    <t>esther.abishai@docker.com</t>
  </si>
  <si>
    <t>Sales</t>
  </si>
  <si>
    <t>SLS-Solutions Engineering</t>
  </si>
  <si>
    <t>Sr Solutions Engineer, Enterprise</t>
  </si>
  <si>
    <t>Kevin Barfield</t>
  </si>
  <si>
    <t>SE</t>
  </si>
  <si>
    <t>Adcock, Nicholas</t>
  </si>
  <si>
    <t>nick.adcock@docker.com</t>
  </si>
  <si>
    <t>Engineering</t>
  </si>
  <si>
    <t>ENG-AI Cloud</t>
  </si>
  <si>
    <t>Sr Software Engineer</t>
  </si>
  <si>
    <t>Marko Papic</t>
  </si>
  <si>
    <t>Build Cloud</t>
  </si>
  <si>
    <t>Agodjro, Innell</t>
  </si>
  <si>
    <t>innell.agodjro@docker.com</t>
  </si>
  <si>
    <t>General &amp; Administrative</t>
  </si>
  <si>
    <t>GA-People</t>
  </si>
  <si>
    <t>Sr People Partner</t>
  </si>
  <si>
    <t>Linda Tan</t>
  </si>
  <si>
    <t>Agrawal, Pooja</t>
  </si>
  <si>
    <t>pooja.agrawal@docker.com</t>
  </si>
  <si>
    <t>GA-Finance</t>
  </si>
  <si>
    <t>Sr Manager, FP&amp;A</t>
  </si>
  <si>
    <t>Joe Becic</t>
  </si>
  <si>
    <t>Ahmed, Suhaib</t>
  </si>
  <si>
    <t>suhaib.ahmed@docker.com</t>
  </si>
  <si>
    <t>Marketing</t>
  </si>
  <si>
    <t>MKT-Marketing Ops</t>
  </si>
  <si>
    <t>Staff Data Engineer</t>
  </si>
  <si>
    <t>Trisha McCanna</t>
  </si>
  <si>
    <t>Ainsworth-Patrick, Christopher</t>
  </si>
  <si>
    <t>chris.ainsworth-patrick@docker.com</t>
  </si>
  <si>
    <t>ENG-SCS</t>
  </si>
  <si>
    <t>Staff Software Engineer</t>
  </si>
  <si>
    <t>Stéphanie Hertrich</t>
  </si>
  <si>
    <t>Secure Supply Chain</t>
  </si>
  <si>
    <t>Aizawa, Daisuke</t>
  </si>
  <si>
    <t>daisuke.aizawa@docker.com</t>
  </si>
  <si>
    <t>SLS-MidEnterprise-EMEA</t>
  </si>
  <si>
    <t>Associate Account Executive, Mid-Enterprise</t>
  </si>
  <si>
    <t>Jay Goodman</t>
  </si>
  <si>
    <t>Albu, Andrei</t>
  </si>
  <si>
    <t>andrei.albu@docker.com</t>
  </si>
  <si>
    <t>ENG-DD &amp; Core DX</t>
  </si>
  <si>
    <t>Manager, Engineering</t>
  </si>
  <si>
    <t>Chris Crone</t>
  </si>
  <si>
    <t>Release and Platform</t>
  </si>
  <si>
    <t>Albus, Roderick</t>
  </si>
  <si>
    <t>roderick.albus@docker.com</t>
  </si>
  <si>
    <t>SLS-Enterprise-EMEA</t>
  </si>
  <si>
    <t>Sr Account Executive, Enterprise</t>
  </si>
  <si>
    <t>James Hammons</t>
  </si>
  <si>
    <t>Enterprise</t>
  </si>
  <si>
    <t>Aleyner, Elia</t>
  </si>
  <si>
    <t>Elia.Aleyner@docker.com</t>
  </si>
  <si>
    <t>PROD-General</t>
  </si>
  <si>
    <t>Head of Technical Alliances</t>
  </si>
  <si>
    <t>Mark Cavage</t>
  </si>
  <si>
    <t>Allen, Abigail</t>
  </si>
  <si>
    <t>abigail.allen@docker.com</t>
  </si>
  <si>
    <t>SLS-Growth &amp; Renewals</t>
  </si>
  <si>
    <t>Renewals Manager I</t>
  </si>
  <si>
    <t>Jon Stout</t>
  </si>
  <si>
    <t>Renewals</t>
  </si>
  <si>
    <t>Allen, John</t>
  </si>
  <si>
    <t>john.allen@docker.com</t>
  </si>
  <si>
    <t>SLS-Channel</t>
  </si>
  <si>
    <t>Partner Sales Manager</t>
  </si>
  <si>
    <t>Aaron Morrison</t>
  </si>
  <si>
    <t>Allen, Mark</t>
  </si>
  <si>
    <t>mark.allen@docker.com</t>
  </si>
  <si>
    <t>Solutions Engineer, Strategic</t>
  </si>
  <si>
    <t>Solutions Engineers</t>
  </si>
  <si>
    <t>Allsopp, Patricia</t>
  </si>
  <si>
    <t>trish.allsopp@docker.com</t>
  </si>
  <si>
    <t>Lead, Recruiting Operations</t>
  </si>
  <si>
    <t>Breanna Paredes</t>
  </si>
  <si>
    <t>Alonso, Javier</t>
  </si>
  <si>
    <t>javier.alonso@docker.com</t>
  </si>
  <si>
    <t>PROD-Product Design</t>
  </si>
  <si>
    <t>Staff Product Designer</t>
  </si>
  <si>
    <t>Earl Carlson</t>
  </si>
  <si>
    <t>Performance and Stability</t>
  </si>
  <si>
    <t>AlSaif, Manal</t>
  </si>
  <si>
    <t>manal.alsaif@docker.com</t>
  </si>
  <si>
    <t>Sr Product Designer</t>
  </si>
  <si>
    <t>Core Experiences</t>
  </si>
  <si>
    <t>Alvarez, Kevin</t>
  </si>
  <si>
    <t>kevin.alvarez@docker.com</t>
  </si>
  <si>
    <t>Shaun Thompson</t>
  </si>
  <si>
    <t>Core Components</t>
  </si>
  <si>
    <t>Amandong, Ashime</t>
  </si>
  <si>
    <t>ashime.ashime@docker.com</t>
  </si>
  <si>
    <t>Customer Success</t>
  </si>
  <si>
    <t>CS-Support</t>
  </si>
  <si>
    <t>Sr Solutions Architect</t>
  </si>
  <si>
    <t>Walker McCandrew</t>
  </si>
  <si>
    <t>CS Enablement</t>
  </si>
  <si>
    <t>Amarendiran, Kavindira</t>
  </si>
  <si>
    <t>kavindira.amarendiran@docker.com</t>
  </si>
  <si>
    <t>Sr Sustaining Engineer</t>
  </si>
  <si>
    <t>Gagan Arora</t>
  </si>
  <si>
    <t>Sustaining Engineers</t>
  </si>
  <si>
    <t>Angeles, Jennifer</t>
  </si>
  <si>
    <t>jennifer.angeles@docker.com</t>
  </si>
  <si>
    <t>MKT-Product Marketing</t>
  </si>
  <si>
    <t>Sr Manager, Enablement GTM</t>
  </si>
  <si>
    <t>Nikhil Kaul</t>
  </si>
  <si>
    <t>Anhalt, Fabienne</t>
  </si>
  <si>
    <t>fabienne.anhalt@docker.com</t>
  </si>
  <si>
    <t>Software Engineer II</t>
  </si>
  <si>
    <t>Elliot Rushton</t>
  </si>
  <si>
    <t>Ani, Eileen</t>
  </si>
  <si>
    <t>eileen.ani@docker.com</t>
  </si>
  <si>
    <t>Director, Product Design</t>
  </si>
  <si>
    <t>Tushar Jain</t>
  </si>
  <si>
    <t>Arora, Gagan</t>
  </si>
  <si>
    <t>gagan.arora@docker.com</t>
  </si>
  <si>
    <t>Sr Manager, Sustaining Engineering</t>
  </si>
  <si>
    <t>Jerry Baker</t>
  </si>
  <si>
    <t>Asim, Ozair</t>
  </si>
  <si>
    <t>ozair.asim@docker.com</t>
  </si>
  <si>
    <t>Registry</t>
  </si>
  <si>
    <t>Aslam, Zubair</t>
  </si>
  <si>
    <t>zubair.aslam@docker.com</t>
  </si>
  <si>
    <t>Principal Solutions Manager</t>
  </si>
  <si>
    <t>Andrew Muollo</t>
  </si>
  <si>
    <t>Axsom, Shawn</t>
  </si>
  <si>
    <t>shawn.axsom@docker.com</t>
  </si>
  <si>
    <t>ENG-Accounts &amp; Billing</t>
  </si>
  <si>
    <t>Director, Engineering</t>
  </si>
  <si>
    <t>Ayub, John</t>
  </si>
  <si>
    <t>john.ayub@docker.com</t>
  </si>
  <si>
    <t>Staff Product Marketing Manager</t>
  </si>
  <si>
    <t>Azevedo, Hugo</t>
  </si>
  <si>
    <t>hugo.azevedo@docker.com</t>
  </si>
  <si>
    <t>Azhar, Maxime</t>
  </si>
  <si>
    <t>maxime.azhar@docker.com</t>
  </si>
  <si>
    <t>Sr Renewals Manager II</t>
  </si>
  <si>
    <t>Baker, Jerry</t>
  </si>
  <si>
    <t>jerry.baker@docker.com</t>
  </si>
  <si>
    <t>Director, Support</t>
  </si>
  <si>
    <t>Dixie Dunn</t>
  </si>
  <si>
    <t>Support</t>
  </si>
  <si>
    <t>Ballback, Stacee</t>
  </si>
  <si>
    <t>stacee.ballback@docker.com</t>
  </si>
  <si>
    <t>MKT-Growth Marketing</t>
  </si>
  <si>
    <t>Sr Global Integrated Campaigns Manager</t>
  </si>
  <si>
    <t>Maria Johnson</t>
  </si>
  <si>
    <t>Barfield, Kevin</t>
  </si>
  <si>
    <t>kevin.barfield@docker.com</t>
  </si>
  <si>
    <t>Director, Solution Engineers</t>
  </si>
  <si>
    <t>Cody Green</t>
  </si>
  <si>
    <t>Solutions Architects</t>
  </si>
  <si>
    <t>Barker, Christopher</t>
  </si>
  <si>
    <t>chris.barker@docker.com</t>
  </si>
  <si>
    <t>Barnaby, Allison</t>
  </si>
  <si>
    <t>allison.barnaby@docker.com</t>
  </si>
  <si>
    <t>SLS-MidEnterprise-NA</t>
  </si>
  <si>
    <t>Sr Manager, Mid Enterprise East</t>
  </si>
  <si>
    <t>Tyler Kluempke</t>
  </si>
  <si>
    <t>Basnayake, Sadeepa</t>
  </si>
  <si>
    <t>tharinda.basnayake@docker.com</t>
  </si>
  <si>
    <t>SLS-TAM</t>
  </si>
  <si>
    <t>Technical Account Manager</t>
  </si>
  <si>
    <t>Maja Chapus</t>
  </si>
  <si>
    <t>Customer Advisory Team</t>
  </si>
  <si>
    <t>Baumgartner, Edwin</t>
  </si>
  <si>
    <t>scott.baumgartner@docker.com</t>
  </si>
  <si>
    <t>CFO</t>
  </si>
  <si>
    <t>Don Johnson</t>
  </si>
  <si>
    <t>Becic, Joseph</t>
  </si>
  <si>
    <t>joe.becic@docker.com</t>
  </si>
  <si>
    <t>Director, Finance</t>
  </si>
  <si>
    <t>Scott Baumgartner</t>
  </si>
  <si>
    <t>Beck, Nicolas</t>
  </si>
  <si>
    <t>nicolas.beck@docker.com</t>
  </si>
  <si>
    <t>Ivan Curkovic</t>
  </si>
  <si>
    <t>Behnisch, Carl</t>
  </si>
  <si>
    <t>caspar.behnisch@docker.com</t>
  </si>
  <si>
    <t>Account Executive, Enterprise</t>
  </si>
  <si>
    <t>Bell, William</t>
  </si>
  <si>
    <t>will.bell@docker.com</t>
  </si>
  <si>
    <t>PROD-Data &amp; Growth</t>
  </si>
  <si>
    <t>Analytics Engineer II</t>
  </si>
  <si>
    <t>Dragos Georgescu</t>
  </si>
  <si>
    <t>Data Analysts / Analytics Engineers</t>
  </si>
  <si>
    <t>Bélorgey, Romain</t>
  </si>
  <si>
    <t>romain.belorgey@docker.com</t>
  </si>
  <si>
    <t>Rob Braden</t>
  </si>
  <si>
    <t>Infra</t>
  </si>
  <si>
    <t>Benavides, Jose</t>
  </si>
  <si>
    <t>joel.benavides@docker.com</t>
  </si>
  <si>
    <t>GA-Legal</t>
  </si>
  <si>
    <t>Head of Legal</t>
  </si>
  <si>
    <t>Bendebury, Catherine</t>
  </si>
  <si>
    <t>catherine.bendebury@docker.com</t>
  </si>
  <si>
    <t>Staff GTM AI Engineer</t>
  </si>
  <si>
    <t>Christopher Pluntke</t>
  </si>
  <si>
    <t>Benson, Erin</t>
  </si>
  <si>
    <t>erin.benson@docker.com</t>
  </si>
  <si>
    <t>SLS-Strategic-NA</t>
  </si>
  <si>
    <t>Sr Account Executive, Strategic</t>
  </si>
  <si>
    <t>Will Schulz</t>
  </si>
  <si>
    <t>Strategic</t>
  </si>
  <si>
    <t>Bercea, Nick</t>
  </si>
  <si>
    <t>nick.bercea@docker.com</t>
  </si>
  <si>
    <t>Design Systems</t>
  </si>
  <si>
    <t>Berezin Stelzer, Daniel</t>
  </si>
  <si>
    <t>dan.stelzer@docker.com</t>
  </si>
  <si>
    <t>Sr Manager, Partner GTM</t>
  </si>
  <si>
    <t>Bernalte Pérez, Lucas</t>
  </si>
  <si>
    <t>lucas.bernalte@docker.com</t>
  </si>
  <si>
    <t>Hub Experience</t>
  </si>
  <si>
    <t>Berry, Austin</t>
  </si>
  <si>
    <t>austin.berry@docker.com</t>
  </si>
  <si>
    <t>Bessoni, Shannyn</t>
  </si>
  <si>
    <t>shannyn.bessoni@docker.com</t>
  </si>
  <si>
    <t>GA-Ops</t>
  </si>
  <si>
    <t>Sr Manager, Operations</t>
  </si>
  <si>
    <t>Jeffrey Strauss</t>
  </si>
  <si>
    <t>Bittinger, Nathan</t>
  </si>
  <si>
    <t>nate.bittinger@docker.com</t>
  </si>
  <si>
    <t>Vice President, Engineering</t>
  </si>
  <si>
    <t>Supply Chain Security</t>
  </si>
  <si>
    <t>Bivins, Jason</t>
  </si>
  <si>
    <t>jason.bivins@docker.com</t>
  </si>
  <si>
    <t>Sustaining Engineer III</t>
  </si>
  <si>
    <t>Black, Alexander</t>
  </si>
  <si>
    <t>alexander.black@docker.com</t>
  </si>
  <si>
    <t>SLS-Sales Operations</t>
  </si>
  <si>
    <t>Sr Revenue Insights Manager</t>
  </si>
  <si>
    <t>Matthew Irick</t>
  </si>
  <si>
    <t>Rev Ops</t>
  </si>
  <si>
    <t>Blodget, Britney</t>
  </si>
  <si>
    <t>britney.blodget@docker.com</t>
  </si>
  <si>
    <t>PROD-SCS</t>
  </si>
  <si>
    <t>Sr Product Manager</t>
  </si>
  <si>
    <t>Michael Donovan</t>
  </si>
  <si>
    <t>Bojorges Rodriguez, Eva</t>
  </si>
  <si>
    <t>eva.bojorges@docker.com</t>
  </si>
  <si>
    <t>MKT-Developer Success</t>
  </si>
  <si>
    <t>Sr Community Success Manager</t>
  </si>
  <si>
    <t>Per Krogslund</t>
  </si>
  <si>
    <t>Bost, Aaron</t>
  </si>
  <si>
    <t>aaron.bost@docker.com</t>
  </si>
  <si>
    <t>Sr Renewals Manager I</t>
  </si>
  <si>
    <t>Joey Marrone III</t>
  </si>
  <si>
    <t>Braden, James</t>
  </si>
  <si>
    <t>james.braden@docker.com</t>
  </si>
  <si>
    <t>Karan Vohra</t>
  </si>
  <si>
    <t>Brady, Sean</t>
  </si>
  <si>
    <t>sean.brady@docker.com</t>
  </si>
  <si>
    <t>Eileen Ani</t>
  </si>
  <si>
    <t>Braun, Michael</t>
  </si>
  <si>
    <t>eric.braun@docker.com</t>
  </si>
  <si>
    <t>SLS-General</t>
  </si>
  <si>
    <t>Sr VP, Growth</t>
  </si>
  <si>
    <t>Brawner, Anna</t>
  </si>
  <si>
    <t>anna.brawner@docker.com</t>
  </si>
  <si>
    <t>Recruiting Coordinator</t>
  </si>
  <si>
    <t>Trish Allsopp</t>
  </si>
  <si>
    <t>Breja, Andrew</t>
  </si>
  <si>
    <t>andrew.breja@docker.com</t>
  </si>
  <si>
    <t>Rick Redondo</t>
  </si>
  <si>
    <t>Dev Team ProdX</t>
  </si>
  <si>
    <t>Briend, Jean-Philippe</t>
  </si>
  <si>
    <t>jeanphilippe.briend@docker.com</t>
  </si>
  <si>
    <t>Briney, Emmanuel</t>
  </si>
  <si>
    <t>emmanuel.briney@docker.com</t>
  </si>
  <si>
    <t>Andrei Albu</t>
  </si>
  <si>
    <t>Briol, Magali</t>
  </si>
  <si>
    <t>magali.briol@docker.com</t>
  </si>
  <si>
    <t>Sr Renewals Manager</t>
  </si>
  <si>
    <t>Bunselmeyer, William</t>
  </si>
  <si>
    <t>william.bunselmeyer@docker.com</t>
  </si>
  <si>
    <t>Projects</t>
  </si>
  <si>
    <t>Buote Jr., Paul</t>
  </si>
  <si>
    <t>paul.buote@docker.com</t>
  </si>
  <si>
    <t>Burigo, Robert</t>
  </si>
  <si>
    <t>robert.burigo@docker.com</t>
  </si>
  <si>
    <t>Sr Data Analyst</t>
  </si>
  <si>
    <t>Data Analysts</t>
  </si>
  <si>
    <t>Burov, Oleg</t>
  </si>
  <si>
    <t>oleg.burov@docker.com</t>
  </si>
  <si>
    <t>Principal Software Engineer</t>
  </si>
  <si>
    <t>Shawn Axsom</t>
  </si>
  <si>
    <t>Californias, Iván</t>
  </si>
  <si>
    <t>ivan.californias@docker.com</t>
  </si>
  <si>
    <t>IAM</t>
  </si>
  <si>
    <t>Callaghan, Megan</t>
  </si>
  <si>
    <t>megan.callaghan@docker.com</t>
  </si>
  <si>
    <t>Camacho, Iain</t>
  </si>
  <si>
    <t>iain.camacho@docker.com</t>
  </si>
  <si>
    <t>Cloud</t>
  </si>
  <si>
    <t>Campbell, Julianne</t>
  </si>
  <si>
    <t>julianne.campbell@docker.com</t>
  </si>
  <si>
    <t>GA-General</t>
  </si>
  <si>
    <t>Executive Assistant</t>
  </si>
  <si>
    <t>Alex Rojas</t>
  </si>
  <si>
    <t>Carle, Michael</t>
  </si>
  <si>
    <t>michael.carle@docker.com</t>
  </si>
  <si>
    <t>Account Executive, Strategic</t>
  </si>
  <si>
    <t>Carlson, Earl</t>
  </si>
  <si>
    <t>earl.carlson@docker.com</t>
  </si>
  <si>
    <t>Sr Manager, Product Design</t>
  </si>
  <si>
    <t>Carlson, Nathan</t>
  </si>
  <si>
    <t>nathan.carlson@docker.com</t>
  </si>
  <si>
    <t>Sr Account Executive, Mid-Enterprise</t>
  </si>
  <si>
    <t>Matthew Preston</t>
  </si>
  <si>
    <t>Scaled Acquisition</t>
  </si>
  <si>
    <t>Carter, Alec</t>
  </si>
  <si>
    <t>alec.carter@docker.com</t>
  </si>
  <si>
    <t>Carter, Jeffrey</t>
  </si>
  <si>
    <t>jeff.carter@docker.com</t>
  </si>
  <si>
    <t>Nate Bittinger</t>
  </si>
  <si>
    <t>Casey, Emily</t>
  </si>
  <si>
    <t>emily.casey@docker.com</t>
  </si>
  <si>
    <t>Kevin Wittek</t>
  </si>
  <si>
    <t>AI Enablement</t>
  </si>
  <si>
    <t>Castañeda, Devin</t>
  </si>
  <si>
    <t>devin.castaneda@docker.com</t>
  </si>
  <si>
    <t>Cattaneo, Yusuf</t>
  </si>
  <si>
    <t>yusuf.cattaneo@docker.com</t>
  </si>
  <si>
    <t>Cavage, Mark</t>
  </si>
  <si>
    <t>mark.cavage@docker.com</t>
  </si>
  <si>
    <t>President &amp; Chief Operating Officer</t>
  </si>
  <si>
    <t>Cerantonio, Martin</t>
  </si>
  <si>
    <t>martin.cerantonio@docker.com</t>
  </si>
  <si>
    <t>Sr Channel Manager</t>
  </si>
  <si>
    <t>Channel</t>
  </si>
  <si>
    <t>Cezar-George, Martin</t>
  </si>
  <si>
    <t>martin.cezar-george@docker.com</t>
  </si>
  <si>
    <t>Sr Technical Support Engineer</t>
  </si>
  <si>
    <t>Kristel Touron</t>
  </si>
  <si>
    <t>Champlon, Mathieu</t>
  </si>
  <si>
    <t>mathieu.champlon@docker.com</t>
  </si>
  <si>
    <t>Chao, Monica</t>
  </si>
  <si>
    <t>monica.chao@docker.com</t>
  </si>
  <si>
    <t>Chapus, Maja</t>
  </si>
  <si>
    <t>maja.chapus@docker.com</t>
  </si>
  <si>
    <t>Sr Manager, Technical Account Managers</t>
  </si>
  <si>
    <t>Stuart Minchington</t>
  </si>
  <si>
    <t>Charrière, Philippe</t>
  </si>
  <si>
    <t>philippe.charriere@docker.com</t>
  </si>
  <si>
    <t>CS-General</t>
  </si>
  <si>
    <t>Principal Solutions Architect</t>
  </si>
  <si>
    <t>Chernyshova, Ganna</t>
  </si>
  <si>
    <t>anna.chernyshova@docker.com</t>
  </si>
  <si>
    <t>Sr Solutions Engineer, Commercial</t>
  </si>
  <si>
    <t>Chhokar, Preet</t>
  </si>
  <si>
    <t>preet.chhokar@docker.com</t>
  </si>
  <si>
    <t>Childs, James</t>
  </si>
  <si>
    <t>james.childs@docker.com</t>
  </si>
  <si>
    <t>Software Engineer III</t>
  </si>
  <si>
    <t>Ching, Jason</t>
  </si>
  <si>
    <t>jason.ching@docker.com</t>
  </si>
  <si>
    <t>Choe, Eugene</t>
  </si>
  <si>
    <t>eugene.choe@docker.com</t>
  </si>
  <si>
    <t>Christou, Nicolas</t>
  </si>
  <si>
    <t>nick.christou@docker.com</t>
  </si>
  <si>
    <t>Sr Director, Mid Enterprise West</t>
  </si>
  <si>
    <t>Eric Braun</t>
  </si>
  <si>
    <t>Mid Market</t>
  </si>
  <si>
    <t>Ciccariello, Luciano</t>
  </si>
  <si>
    <t>luciano.ciccariello@docker.com</t>
  </si>
  <si>
    <t>Barbara Fusinska</t>
  </si>
  <si>
    <t>Clark, Bradley</t>
  </si>
  <si>
    <t>jim.clark@docker.com</t>
  </si>
  <si>
    <t>Ilker Temir</t>
  </si>
  <si>
    <t>AI Tools</t>
  </si>
  <si>
    <t>Clement, Maxime</t>
  </si>
  <si>
    <t>maxime.clement@docker.com</t>
  </si>
  <si>
    <t>Clemons, Jana</t>
  </si>
  <si>
    <t>jana.clemons@docker.com</t>
  </si>
  <si>
    <t>MKT-General</t>
  </si>
  <si>
    <t>Sr Principal Product Manager</t>
  </si>
  <si>
    <t>James Coleman</t>
  </si>
  <si>
    <t>Coleman, James</t>
  </si>
  <si>
    <t>james.coleman@docker.com</t>
  </si>
  <si>
    <t>Vice President, Growth Product</t>
  </si>
  <si>
    <t>Andy Ramirez</t>
  </si>
  <si>
    <t>Coleman, Mike</t>
  </si>
  <si>
    <t>mike.coleman@docker.com</t>
  </si>
  <si>
    <t>Staff Solutions Architect</t>
  </si>
  <si>
    <t>Contreras, Anthony</t>
  </si>
  <si>
    <t>anthony.contreras@docker.com</t>
  </si>
  <si>
    <t>Strategic Finance Manager</t>
  </si>
  <si>
    <t>Coração, Nuno</t>
  </si>
  <si>
    <t>nuno.coracao@docker.com</t>
  </si>
  <si>
    <t>PROD-AI Agent</t>
  </si>
  <si>
    <t>Principal Product Manager</t>
  </si>
  <si>
    <t>JL de Morlhon</t>
  </si>
  <si>
    <t>AI Agent</t>
  </si>
  <si>
    <t>Cordova, Aaron</t>
  </si>
  <si>
    <t>aaron.cordova@docker.com</t>
  </si>
  <si>
    <t>Run Cloud</t>
  </si>
  <si>
    <t>Corti, Francesco</t>
  </si>
  <si>
    <t>francesco.corti@docker.com</t>
  </si>
  <si>
    <t>PROD-AI Cloud</t>
  </si>
  <si>
    <t>Craft, Jonathan</t>
  </si>
  <si>
    <t>john.craft@docker.com</t>
  </si>
  <si>
    <t>Crone, Christopher</t>
  </si>
  <si>
    <t>christopher.crone@docker.com</t>
  </si>
  <si>
    <t>Sr Director, Engineering</t>
  </si>
  <si>
    <t>Cross, Leo</t>
  </si>
  <si>
    <t>leo.cross@docker.com</t>
  </si>
  <si>
    <t>Crosse, Harrison</t>
  </si>
  <si>
    <t>harrison.crosse@docker.com</t>
  </si>
  <si>
    <t>ENG-Data &amp; Growth</t>
  </si>
  <si>
    <t>Sr Data Engineer</t>
  </si>
  <si>
    <t>Mike Kacherovich</t>
  </si>
  <si>
    <t>Data Engineers</t>
  </si>
  <si>
    <t>Crum, Alexander</t>
  </si>
  <si>
    <t>alex.crum@docker.com</t>
  </si>
  <si>
    <t>SLS-Business Development</t>
  </si>
  <si>
    <t>Sr Business Development Representative</t>
  </si>
  <si>
    <t>Vladimir Dincu</t>
  </si>
  <si>
    <t>BDR</t>
  </si>
  <si>
    <t>Curkovic, Ivan</t>
  </si>
  <si>
    <t>ivan.curkovic@docker.com</t>
  </si>
  <si>
    <t>Curschmann, Kimberley</t>
  </si>
  <si>
    <t>kim.curschmann@docker.com</t>
  </si>
  <si>
    <t>Curtin, Eric</t>
  </si>
  <si>
    <t>eric.curtin@docker.com</t>
  </si>
  <si>
    <t>Damery, Vincent</t>
  </si>
  <si>
    <t>vincent.damery@docker.com</t>
  </si>
  <si>
    <t>Dane, William</t>
  </si>
  <si>
    <t>william.dane@docker.com</t>
  </si>
  <si>
    <t>Technical Support Engineer</t>
  </si>
  <si>
    <t>Matthew Haith</t>
  </si>
  <si>
    <t>Danyial, Salman</t>
  </si>
  <si>
    <t>salman.danyial@docker.com</t>
  </si>
  <si>
    <t>Deal Desk, Manager</t>
  </si>
  <si>
    <t>Chanon Wahlstrom</t>
  </si>
  <si>
    <t>Davala, Saurabh</t>
  </si>
  <si>
    <t>saurabh.davala@docker.com</t>
  </si>
  <si>
    <t>Mase Graye</t>
  </si>
  <si>
    <t>de la Peña Peña, Manuel</t>
  </si>
  <si>
    <t>manuel.delapena@docker.com</t>
  </si>
  <si>
    <t>Luke Bunselmeyer</t>
  </si>
  <si>
    <t>de Morlhon, Jean-Laurent</t>
  </si>
  <si>
    <t>jeanlaurent@docker.com</t>
  </si>
  <si>
    <t>ENG-AI Agent</t>
  </si>
  <si>
    <t>Sr Vice President, GenAI Acceleration</t>
  </si>
  <si>
    <t>de Sousa, Bruno</t>
  </si>
  <si>
    <t>bruno.sousa@docker.com</t>
  </si>
  <si>
    <t>PROD-DD &amp; Core DX</t>
  </si>
  <si>
    <t>Staff Technical Program Manager</t>
  </si>
  <si>
    <t>General</t>
  </si>
  <si>
    <t>De Loof, Nicolas</t>
  </si>
  <si>
    <t>nicolas.deloof@docker.com</t>
  </si>
  <si>
    <t>Dein, Keirah</t>
  </si>
  <si>
    <t>keirah.dein@docker.com</t>
  </si>
  <si>
    <t>MKT-Brand, Content &amp; Comms</t>
  </si>
  <si>
    <t>Events Director</t>
  </si>
  <si>
    <t>Tamara Kaiser</t>
  </si>
  <si>
    <t>Deloff, Daniel</t>
  </si>
  <si>
    <t>dan.deloff@docker.com</t>
  </si>
  <si>
    <t>Densmore, Todd</t>
  </si>
  <si>
    <t>todd.densmore@docker.com</t>
  </si>
  <si>
    <t>Deshmukh, Anup</t>
  </si>
  <si>
    <t>anup.deshmukh@docker.com</t>
  </si>
  <si>
    <t>SLS-Enterprise-APAC</t>
  </si>
  <si>
    <t>Patrick Wittenberg</t>
  </si>
  <si>
    <t>Di Bernardo, Gabriele</t>
  </si>
  <si>
    <t>gabriele.dibernardo@docker.com</t>
  </si>
  <si>
    <t>Diachkova, Olga</t>
  </si>
  <si>
    <t>olga.diachkova@docker.com</t>
  </si>
  <si>
    <t>PROD-Developer Experience</t>
  </si>
  <si>
    <t>Sr UX Researcher</t>
  </si>
  <si>
    <t>Nahid Samsami</t>
  </si>
  <si>
    <t>UX Research</t>
  </si>
  <si>
    <t>DiDominica, Marie</t>
  </si>
  <si>
    <t>marie.didominica@docker.com</t>
  </si>
  <si>
    <t>Sr Director, Growth Marketing</t>
  </si>
  <si>
    <t>Dieu, Jonathan</t>
  </si>
  <si>
    <t>jonathan.dieu@docker.com</t>
  </si>
  <si>
    <t>Dincu, Vladimir</t>
  </si>
  <si>
    <t>vladimir.dincu@docker.com</t>
  </si>
  <si>
    <t>Director, Business Development</t>
  </si>
  <si>
    <t>Dolan-Hall, Arthur</t>
  </si>
  <si>
    <t>james.hall@docker.com</t>
  </si>
  <si>
    <t>Dolma, Tsephel</t>
  </si>
  <si>
    <t>tsephel.dolma@docker.com</t>
  </si>
  <si>
    <t>GA-Accounting</t>
  </si>
  <si>
    <t>Sr Revenue Accountant</t>
  </si>
  <si>
    <t>Beth Hu</t>
  </si>
  <si>
    <t>Donovan, Michael</t>
  </si>
  <si>
    <t>michael.donovan@docker.com</t>
  </si>
  <si>
    <t>Vice President, Product Management</t>
  </si>
  <si>
    <t>Dooling, David</t>
  </si>
  <si>
    <t>david.dooling@docker.com</t>
  </si>
  <si>
    <t>Sr Manager, Engineering</t>
  </si>
  <si>
    <t>Dougherty, Ida Mae</t>
  </si>
  <si>
    <t>mae.dougherty@docker.com</t>
  </si>
  <si>
    <t>Strategic Renewals Manager</t>
  </si>
  <si>
    <t>Renewals Team</t>
  </si>
  <si>
    <t>Driver, Brian</t>
  </si>
  <si>
    <t>brian.driver@docker.com</t>
  </si>
  <si>
    <t>Business Systems Enablement Manager</t>
  </si>
  <si>
    <t>Sammi Merkulov</t>
  </si>
  <si>
    <t>IT</t>
  </si>
  <si>
    <t>Druda, Luca</t>
  </si>
  <si>
    <t>luca.druda@docker.com</t>
  </si>
  <si>
    <t>Dull, Jeremy</t>
  </si>
  <si>
    <t>jeremy.dull@docker.com</t>
  </si>
  <si>
    <t>Pooja Agrawal</t>
  </si>
  <si>
    <t>Dunkley, Alton</t>
  </si>
  <si>
    <t>alton.dunkley@docker.com</t>
  </si>
  <si>
    <t>Dunn, Dixie</t>
  </si>
  <si>
    <t>dixie.dunn@docker.com</t>
  </si>
  <si>
    <t>Head of Support &amp; Services</t>
  </si>
  <si>
    <t>Dupuis, Christian</t>
  </si>
  <si>
    <t>christian.dupuis@docker.com</t>
  </si>
  <si>
    <t>Sr Principal Software Engineer</t>
  </si>
  <si>
    <t>Dzre, Anita</t>
  </si>
  <si>
    <t>anita.dzre@docker.com</t>
  </si>
  <si>
    <t>SLS-Growth-EMEA</t>
  </si>
  <si>
    <t>Growth Account Manager</t>
  </si>
  <si>
    <t>Felix Schupak</t>
  </si>
  <si>
    <t>Eckhardt, Forest</t>
  </si>
  <si>
    <t>forest.eckhardt@docker.com</t>
  </si>
  <si>
    <t>Elrod, Benjamin</t>
  </si>
  <si>
    <t>benjamin.elrod@docker.com</t>
  </si>
  <si>
    <t>Employee, Test</t>
  </si>
  <si>
    <t>People Operations Coordinator</t>
  </si>
  <si>
    <t>Brianna Mabey</t>
  </si>
  <si>
    <t>English, Lauren</t>
  </si>
  <si>
    <t>lo.english@docker.com</t>
  </si>
  <si>
    <t>PROD-Operations</t>
  </si>
  <si>
    <t>Sr Engineering Operations</t>
  </si>
  <si>
    <t>Nate Fitch</t>
  </si>
  <si>
    <t>Estrella-Tennant, Meliza</t>
  </si>
  <si>
    <t>meliza.estrella-tennant@docker.com</t>
  </si>
  <si>
    <t>Payroll Supervisor</t>
  </si>
  <si>
    <t>Jonathan Lawson</t>
  </si>
  <si>
    <t>Fachan, Neal</t>
  </si>
  <si>
    <t>neal.fachan@docker.com</t>
  </si>
  <si>
    <t>Fales, David</t>
  </si>
  <si>
    <t>david.fales@docker.com</t>
  </si>
  <si>
    <t>Account Executive, Mid-Enterprise</t>
  </si>
  <si>
    <t>Farris, Christian</t>
  </si>
  <si>
    <t>christian.farris@docker.com</t>
  </si>
  <si>
    <t>Serj Karneichyk</t>
  </si>
  <si>
    <t>Favello, Sylvialynn</t>
  </si>
  <si>
    <t>sylvia.favello@docker.com</t>
  </si>
  <si>
    <t>Insights</t>
  </si>
  <si>
    <t>Ferguson, Joseph</t>
  </si>
  <si>
    <t>joseph.ferguson@docker.com</t>
  </si>
  <si>
    <t>David Dooling</t>
  </si>
  <si>
    <t>DOI</t>
  </si>
  <si>
    <t>Fernandez Ocana, Jorge</t>
  </si>
  <si>
    <t>jorge.fernandez@docker.com</t>
  </si>
  <si>
    <t>Fernández Gago, Domingo</t>
  </si>
  <si>
    <t>domingo.fernandez@docker.com</t>
  </si>
  <si>
    <t>Fernandez, Juan</t>
  </si>
  <si>
    <t>juan.fernandez@docker.com</t>
  </si>
  <si>
    <t>Finch, Gineen</t>
  </si>
  <si>
    <t>gineen.finch@docker.com</t>
  </si>
  <si>
    <t>Sr Director, Audience Development &amp; Content Strategy</t>
  </si>
  <si>
    <t>Fisher, Jennifer</t>
  </si>
  <si>
    <t>jen.fisher@docker.com</t>
  </si>
  <si>
    <t>Demand Gen Manager</t>
  </si>
  <si>
    <t>Marie DiDominica</t>
  </si>
  <si>
    <t>Fitch, Nathan</t>
  </si>
  <si>
    <t>nate.fitch@docker.com</t>
  </si>
  <si>
    <t>Sr Vice President, Chief of Staff</t>
  </si>
  <si>
    <t>Frankenfeld, Chase</t>
  </si>
  <si>
    <t>chase.frankenfeld@docker.com</t>
  </si>
  <si>
    <t>Frederick, Jacqualyn</t>
  </si>
  <si>
    <t>Jackie.frederick@docker.com</t>
  </si>
  <si>
    <t>Content Strategist</t>
  </si>
  <si>
    <t>Freet, William</t>
  </si>
  <si>
    <t>kelly.freet@docker.com</t>
  </si>
  <si>
    <t>Friedman, Dan</t>
  </si>
  <si>
    <t>daniel.friedman@docker.com</t>
  </si>
  <si>
    <t>Data Engineering</t>
  </si>
  <si>
    <t>Fryer, Chad</t>
  </si>
  <si>
    <t>chad.fryer@docker.com</t>
  </si>
  <si>
    <t>ENG-Security</t>
  </si>
  <si>
    <t>Sr Security Engineer, GRC</t>
  </si>
  <si>
    <t>Security</t>
  </si>
  <si>
    <t>Fusinska, Barbara</t>
  </si>
  <si>
    <t>barbara.fusinska@docker.com</t>
  </si>
  <si>
    <t>Gabolaev, Georgii</t>
  </si>
  <si>
    <t>georgii.gabolaev@docker.com</t>
  </si>
  <si>
    <t>Gabriel, Mark</t>
  </si>
  <si>
    <t>mark.gabriel@docker.com</t>
  </si>
  <si>
    <t>Gageot, David</t>
  </si>
  <si>
    <t>david.gageot@docker.com</t>
  </si>
  <si>
    <t>Docker Agent</t>
  </si>
  <si>
    <t>Gallier, Lauren</t>
  </si>
  <si>
    <t>lauren.gallier@docker.com</t>
  </si>
  <si>
    <t>SLS-Enterprise-NA</t>
  </si>
  <si>
    <t>Justin Jager</t>
  </si>
  <si>
    <t>Ganoff, Jordan</t>
  </si>
  <si>
    <t>jordan.ganoff@docker.com</t>
  </si>
  <si>
    <t>Garcez, Sergio</t>
  </si>
  <si>
    <t>sergio.garcez@docker.com</t>
  </si>
  <si>
    <t>Garcia Manzano, Francisco</t>
  </si>
  <si>
    <t>javier.garcia@docker.com</t>
  </si>
  <si>
    <t>Sr Platform Engineer</t>
  </si>
  <si>
    <t>García Hierro, Dámaso Alberto</t>
  </si>
  <si>
    <t>damaso.hierro@docker.com</t>
  </si>
  <si>
    <t>Geman, Dorin</t>
  </si>
  <si>
    <t>dorin.geman@docker.com</t>
  </si>
  <si>
    <t>Georgescu, Dragos</t>
  </si>
  <si>
    <t>dragos.georgescu@docker.com</t>
  </si>
  <si>
    <t>Director, Data Analytics</t>
  </si>
  <si>
    <t>Data Analysis</t>
  </si>
  <si>
    <t>Goderre, Laurent</t>
  </si>
  <si>
    <t>laurent.goderre@docker.com</t>
  </si>
  <si>
    <t>Gonzalez, Johnny</t>
  </si>
  <si>
    <t>johnny.gonzalez@docker.com</t>
  </si>
  <si>
    <t>Staff Technical Support Engineer</t>
  </si>
  <si>
    <t>Goodman, Jay</t>
  </si>
  <si>
    <t>jay.goodman@docker.com</t>
  </si>
  <si>
    <t>Regional Director, Mid Enterprise APAC</t>
  </si>
  <si>
    <t>Nick Christou</t>
  </si>
  <si>
    <t>Gottipati, Sundeep</t>
  </si>
  <si>
    <t>sundeep.gottipati@docker.com</t>
  </si>
  <si>
    <t>Granai, Elizabeth</t>
  </si>
  <si>
    <t>elizabeth.granai@docker.com</t>
  </si>
  <si>
    <t>Customer Trust Specialist</t>
  </si>
  <si>
    <t>Business Security</t>
  </si>
  <si>
    <t>Grandfond, Benjamin</t>
  </si>
  <si>
    <t>benjamin.grandfond@docker.com</t>
  </si>
  <si>
    <t>Grant, Christine</t>
  </si>
  <si>
    <t>christine.grant@docker.com</t>
  </si>
  <si>
    <t>Account Executive, Corporate Sales</t>
  </si>
  <si>
    <t>Graves, Shelton</t>
  </si>
  <si>
    <t>shelton.graves@docker.com</t>
  </si>
  <si>
    <t>Graye, Mason</t>
  </si>
  <si>
    <t>mason.graye@docker.com</t>
  </si>
  <si>
    <t>Green, Cody</t>
  </si>
  <si>
    <t>cody.green@docker.com</t>
  </si>
  <si>
    <t>Sr Director, Solutions Engineering</t>
  </si>
  <si>
    <t>Green, Oliver</t>
  </si>
  <si>
    <t>oliver.green@docker.com</t>
  </si>
  <si>
    <t>Griffen, Alexander</t>
  </si>
  <si>
    <t>alex.griffen@docker.com</t>
  </si>
  <si>
    <t>Technical Sales Enablement Specialist</t>
  </si>
  <si>
    <t>Preston Tiegs</t>
  </si>
  <si>
    <t>Griffith, Riley</t>
  </si>
  <si>
    <t>riley.griffith@docker.com</t>
  </si>
  <si>
    <t>Allison Barnaby</t>
  </si>
  <si>
    <t>Griffiths, Ben</t>
  </si>
  <si>
    <t>ben.griffiths@docker.com</t>
  </si>
  <si>
    <t>Ben Harris</t>
  </si>
  <si>
    <t>Gronowski, Paweł</t>
  </si>
  <si>
    <t>pawel.gronowski@docker.com</t>
  </si>
  <si>
    <t>Großmann, Johannes</t>
  </si>
  <si>
    <t>johannes.grossmann@docker.com</t>
  </si>
  <si>
    <t>Guerra, Luca</t>
  </si>
  <si>
    <t>luca.guerra@docker.com</t>
  </si>
  <si>
    <t>Sr Security Engineer</t>
  </si>
  <si>
    <t>Product Security</t>
  </si>
  <si>
    <t>Gumbley, Craig</t>
  </si>
  <si>
    <t>craig.gumbley@docker.com</t>
  </si>
  <si>
    <t>Gussmann, Katja</t>
  </si>
  <si>
    <t>katja.gussmann@docker.com</t>
  </si>
  <si>
    <t>Strategic Executive Assistant</t>
  </si>
  <si>
    <t>Ha, Ming Tai</t>
  </si>
  <si>
    <t>mingtai.ha@docker.com</t>
  </si>
  <si>
    <t>Haith, Matthew</t>
  </si>
  <si>
    <t>matthew.haith@docker.com</t>
  </si>
  <si>
    <t>Sr Manager, Technical Support</t>
  </si>
  <si>
    <t>Spark Parker</t>
  </si>
  <si>
    <t>Hamara, Stanislav</t>
  </si>
  <si>
    <t>stanislav.hamara@docker.com</t>
  </si>
  <si>
    <t>Hammons, James</t>
  </si>
  <si>
    <t>james.hammons@docker.com</t>
  </si>
  <si>
    <t>Regional Director, Enterprise Sales</t>
  </si>
  <si>
    <t>Harris, Benjamin</t>
  </si>
  <si>
    <t>ben.harris@docker.com</t>
  </si>
  <si>
    <t>Harrison, Edward</t>
  </si>
  <si>
    <t>edward.harrison@docker.com</t>
  </si>
  <si>
    <t>Sr Data Scientist</t>
  </si>
  <si>
    <t>Hazlett, Nicholas</t>
  </si>
  <si>
    <t>nick.hazlett@docker.com</t>
  </si>
  <si>
    <t>Principal Support Engineer</t>
  </si>
  <si>
    <t>Heck, Andreas</t>
  </si>
  <si>
    <t>andreas.heck@docker.com</t>
  </si>
  <si>
    <t>Heitz, Juan Pablo</t>
  </si>
  <si>
    <t>jp.heitz@docker.com</t>
  </si>
  <si>
    <t>SLS-Strategic-EMEA</t>
  </si>
  <si>
    <t>Hembling, Jordan</t>
  </si>
  <si>
    <t>jordan.hembling@docker.com</t>
  </si>
  <si>
    <t>Sr Analytics Engineer</t>
  </si>
  <si>
    <t>Hemmings, Colin</t>
  </si>
  <si>
    <t>colin.hemmings@docker.com</t>
  </si>
  <si>
    <t>App Dev</t>
  </si>
  <si>
    <t>Hertrich, Stéphanie</t>
  </si>
  <si>
    <t>stephanie.hertrich@docker.com</t>
  </si>
  <si>
    <t>Higson, Mark</t>
  </si>
  <si>
    <t>mark.higson@docker.com</t>
  </si>
  <si>
    <t>Hitzeman, Matthew</t>
  </si>
  <si>
    <t>matthew.hitzeman@docker.com</t>
  </si>
  <si>
    <t>Hobbs, Brianna</t>
  </si>
  <si>
    <t>brianna.hobbs@docker.com</t>
  </si>
  <si>
    <t>Order Operations Specialist</t>
  </si>
  <si>
    <t>Jessica Jacobs</t>
  </si>
  <si>
    <t>Hochrein, Sonia</t>
  </si>
  <si>
    <t>sonia.hochrein@docker.com</t>
  </si>
  <si>
    <t>Hokanson, Alex</t>
  </si>
  <si>
    <t>alex.hokanson@docker.com</t>
  </si>
  <si>
    <t>Hopp, Leslie</t>
  </si>
  <si>
    <t>leslie.hopp@docker.com</t>
  </si>
  <si>
    <t>Sr Commissions Analyst</t>
  </si>
  <si>
    <t>Horton, Timothy</t>
  </si>
  <si>
    <t>tim.horton@docker.com</t>
  </si>
  <si>
    <t>Sr Technical Program Manager</t>
  </si>
  <si>
    <t>House, Robert</t>
  </si>
  <si>
    <t>robert.house@docker.com</t>
  </si>
  <si>
    <t>Growth Engineer</t>
  </si>
  <si>
    <t>Growth</t>
  </si>
  <si>
    <t>Howard, Jacob</t>
  </si>
  <si>
    <t>jacob.howard@docker.com</t>
  </si>
  <si>
    <t>Hoyama, Narumi</t>
  </si>
  <si>
    <t>narumi.hoyama@docker.com</t>
  </si>
  <si>
    <t>Hu, Beisi</t>
  </si>
  <si>
    <t>beisi.hu@docker.com</t>
  </si>
  <si>
    <t>Manager, Revenue</t>
  </si>
  <si>
    <t>Victor Trac</t>
  </si>
  <si>
    <t>Huey, Mandy</t>
  </si>
  <si>
    <t>mandy.huey@docker.com</t>
  </si>
  <si>
    <t>Sr Business Systems Analyst</t>
  </si>
  <si>
    <t>Will Yam</t>
  </si>
  <si>
    <t>Huynh, Manh Duy</t>
  </si>
  <si>
    <t>manh.huynh@docker.com</t>
  </si>
  <si>
    <t>Irick, Matthew</t>
  </si>
  <si>
    <t>matt.irick@docker.com</t>
  </si>
  <si>
    <t>Vice President, Revenue Operations</t>
  </si>
  <si>
    <t>Irwin, Michael</t>
  </si>
  <si>
    <t>michael.irwin@docker.com</t>
  </si>
  <si>
    <t>Principal Engineer, Developer Success</t>
  </si>
  <si>
    <t>Kenan Salihbegovic</t>
  </si>
  <si>
    <t>Jablonski, Greg</t>
  </si>
  <si>
    <t>greg.jablonski@docker.com</t>
  </si>
  <si>
    <t>Neal Fachan</t>
  </si>
  <si>
    <t>Jacobs, Jessica</t>
  </si>
  <si>
    <t>jessica.jacobs@docker.com</t>
  </si>
  <si>
    <t>Manager, Order Operations</t>
  </si>
  <si>
    <t>Jager, Justin</t>
  </si>
  <si>
    <t>justin.jager@docker.com</t>
  </si>
  <si>
    <t>Jain, Tushar</t>
  </si>
  <si>
    <t>tushar.jain@docker.com</t>
  </si>
  <si>
    <t>ENG-General</t>
  </si>
  <si>
    <t>Executive Vice President, Product &amp; Engineering</t>
  </si>
  <si>
    <t>James, Cameron</t>
  </si>
  <si>
    <t>cameron.james@docker.com</t>
  </si>
  <si>
    <t>Staff Support Operations Analyst, Systems &amp; Integrations</t>
  </si>
  <si>
    <t>Zoey Kramer</t>
  </si>
  <si>
    <t>Janov, Andrea</t>
  </si>
  <si>
    <t>andrea.janov@docker.com</t>
  </si>
  <si>
    <t>Sr People Generalist</t>
  </si>
  <si>
    <t>Jeljeli, Selima</t>
  </si>
  <si>
    <t>selima.jeljeli@docker.com</t>
  </si>
  <si>
    <t>Business Development Representative</t>
  </si>
  <si>
    <t>Jia, Eric</t>
  </si>
  <si>
    <t>eric.jia@docker.com</t>
  </si>
  <si>
    <t>Johnson, Donald</t>
  </si>
  <si>
    <t>don.johnson@docker.com</t>
  </si>
  <si>
    <t>CEO</t>
  </si>
  <si>
    <t>Johnson, Maria</t>
  </si>
  <si>
    <t>maria.johnson@docker.com</t>
  </si>
  <si>
    <t>Sr Manager, Global Integrated Campaigns</t>
  </si>
  <si>
    <t>Jones, Zoe</t>
  </si>
  <si>
    <t>zoe.jones@docker.com</t>
  </si>
  <si>
    <t>People Partner</t>
  </si>
  <si>
    <t>Meighan Joyce</t>
  </si>
  <si>
    <t>Joyce, Meighan</t>
  </si>
  <si>
    <t>meighan.joyce@docker.com</t>
  </si>
  <si>
    <t>Global Business Partner</t>
  </si>
  <si>
    <t>Kacherovich, Mikhail</t>
  </si>
  <si>
    <t>mikhail.kacherovich@docker.com</t>
  </si>
  <si>
    <t>Director, Data Engineering</t>
  </si>
  <si>
    <t>Kaduk, Enin</t>
  </si>
  <si>
    <t>enin.kaduk@docker.com</t>
  </si>
  <si>
    <t>Kaiser, Tamara</t>
  </si>
  <si>
    <t>tamara.kaiser@docker.com</t>
  </si>
  <si>
    <t>Vice President, Brand, Content &amp; Communications</t>
  </si>
  <si>
    <t>Kam, Faith</t>
  </si>
  <si>
    <t>faith.kam@docker.com</t>
  </si>
  <si>
    <t>Renewals Manager II</t>
  </si>
  <si>
    <t>Kania, Dominik</t>
  </si>
  <si>
    <t>dominik.kania@docker.com</t>
  </si>
  <si>
    <t>Kapoor, Varun</t>
  </si>
  <si>
    <t>varun.kapoor@docker.com</t>
  </si>
  <si>
    <t>Karikatti, Manjunath</t>
  </si>
  <si>
    <t>manju.karikatti@docker.com</t>
  </si>
  <si>
    <t>Karneichyk, Siarhei</t>
  </si>
  <si>
    <t>siarhei.karneichyk@docker.com</t>
  </si>
  <si>
    <t>Karnis, Eric</t>
  </si>
  <si>
    <t>eric.karnis@docker.com</t>
  </si>
  <si>
    <t>Kaul, Nikhil</t>
  </si>
  <si>
    <t>nikhil.kaul@docker.com</t>
  </si>
  <si>
    <t>Vice President, Product Marketing</t>
  </si>
  <si>
    <t>Kaur, Kanwalpreet</t>
  </si>
  <si>
    <t>kanwalpreet.kaur@docker.com</t>
  </si>
  <si>
    <t>Kenna, Christopher</t>
  </si>
  <si>
    <t>chris.kenna@docker.com</t>
  </si>
  <si>
    <t>Kerouanton, Albin</t>
  </si>
  <si>
    <t>albin.kerouanton@docker.com</t>
  </si>
  <si>
    <t>Khanchandani, Prashant</t>
  </si>
  <si>
    <t>prashant.khanchandani@docker.com</t>
  </si>
  <si>
    <t>Killeen, Kathy</t>
  </si>
  <si>
    <t>kat.killeen@docker.com</t>
  </si>
  <si>
    <t>Sr Global Field Marketing Manager</t>
  </si>
  <si>
    <t>Kim, Jin</t>
  </si>
  <si>
    <t>jin.kim@docker.com</t>
  </si>
  <si>
    <t>Associate Content Operations Manager</t>
  </si>
  <si>
    <t>Gineen Finch</t>
  </si>
  <si>
    <t>Kiredjian, Shaunt</t>
  </si>
  <si>
    <t>shaunt.kiredjian@docker.com</t>
  </si>
  <si>
    <t>Manager, Provisioning &amp; Implementation</t>
  </si>
  <si>
    <t>Kluempke, Tyler</t>
  </si>
  <si>
    <t>tyler.kluempke@docker.com</t>
  </si>
  <si>
    <t>Sr Director, Mid Enterprise East</t>
  </si>
  <si>
    <t>Kohl, Jennifer</t>
  </si>
  <si>
    <t>jennifer.kohl@docker.com</t>
  </si>
  <si>
    <t>Staff Developer Success Program Manager</t>
  </si>
  <si>
    <t>Kohn, Brett</t>
  </si>
  <si>
    <t>brett.kohn@docker.com</t>
  </si>
  <si>
    <t>Kolesnikova, Liliia</t>
  </si>
  <si>
    <t>lily.kolesnikova@docker.com</t>
  </si>
  <si>
    <t>Kolev, Daniel</t>
  </si>
  <si>
    <t>daniel.kolev@docker.com</t>
  </si>
  <si>
    <t>Kondo, Hiroki</t>
  </si>
  <si>
    <t>hiroki.kondo@docker.com</t>
  </si>
  <si>
    <t>Kotler, Zachar</t>
  </si>
  <si>
    <t>zachar.kotler@docker.com</t>
  </si>
  <si>
    <t>Sr Salesforce Administrator</t>
  </si>
  <si>
    <t>Kotte, Neeharika</t>
  </si>
  <si>
    <t>neeharika.kotte@docker.com</t>
  </si>
  <si>
    <t>Data Analyst II</t>
  </si>
  <si>
    <t>Kramer, Zoey</t>
  </si>
  <si>
    <t>zoey.kramer@docker.com</t>
  </si>
  <si>
    <t>Sr Manager, Support &amp; Enablement Operations</t>
  </si>
  <si>
    <t>Krogslund, Per</t>
  </si>
  <si>
    <t>per.krogslund@docker.com</t>
  </si>
  <si>
    <t>Sr Director, Developer Success Programs</t>
  </si>
  <si>
    <t>Kulkarni, Shivam</t>
  </si>
  <si>
    <t>shivam.kulkarni@docker.com</t>
  </si>
  <si>
    <t>Lambert, William</t>
  </si>
  <si>
    <t>william.lambert@docker.com</t>
  </si>
  <si>
    <t>Lanagan, Matthew</t>
  </si>
  <si>
    <t>matthew.lanagan@docker.com</t>
  </si>
  <si>
    <t>Vice President, Partnerships and Alliances</t>
  </si>
  <si>
    <t>Landis, Matthew</t>
  </si>
  <si>
    <t>matt.landis@docker.com</t>
  </si>
  <si>
    <t>Laplanche, Quentin</t>
  </si>
  <si>
    <t>quentin.laplanche@docker.com</t>
  </si>
  <si>
    <t>Lawson, Jonathan</t>
  </si>
  <si>
    <t>jonathan.lawson@docker.com</t>
  </si>
  <si>
    <t>Sr Manager, Accounting</t>
  </si>
  <si>
    <t>Pedram Naeini</t>
  </si>
  <si>
    <t>Le, Triet</t>
  </si>
  <si>
    <t>triet.le@docker.com</t>
  </si>
  <si>
    <t>Sr Salesforce Developer</t>
  </si>
  <si>
    <t>LeBlanc, Benjamin</t>
  </si>
  <si>
    <t>benjamin.leblanc@docker.com</t>
  </si>
  <si>
    <t>Sr Sales Operations Analyst</t>
  </si>
  <si>
    <t>Nicki Saunders</t>
  </si>
  <si>
    <t>Lebolt, Alexandra</t>
  </si>
  <si>
    <t>alexandra.lebolt@docker.com</t>
  </si>
  <si>
    <t>Lee, Young</t>
  </si>
  <si>
    <t>young.lee@docker.com</t>
  </si>
  <si>
    <t>Levisay, Andrew</t>
  </si>
  <si>
    <t>andy.levisay@docker.com</t>
  </si>
  <si>
    <t>Liu, Ziyue</t>
  </si>
  <si>
    <t>cecilia.liu@docker.com</t>
  </si>
  <si>
    <t>ProdDev Staff</t>
  </si>
  <si>
    <t>Loiola Ravelli, Thales</t>
  </si>
  <si>
    <t>thales.ravelli@docker.com</t>
  </si>
  <si>
    <t>Loomis, Forrest</t>
  </si>
  <si>
    <t>forrest.loomis@docker.com</t>
  </si>
  <si>
    <t>Lopez Luna, Ignacio</t>
  </si>
  <si>
    <t>ignacio.lopezluna@docker.com</t>
  </si>
  <si>
    <t>Lorimer, Robert</t>
  </si>
  <si>
    <t>Robert.Lorimer@docker.com</t>
  </si>
  <si>
    <t>Lotte, Niklas</t>
  </si>
  <si>
    <t>niklas.lotte@docker.com</t>
  </si>
  <si>
    <t>Lours, Guillaume</t>
  </si>
  <si>
    <t>guillaume.lours@docker.com</t>
  </si>
  <si>
    <t>Lubecki, Silvin</t>
  </si>
  <si>
    <t>silvin.lubecki@docker.com</t>
  </si>
  <si>
    <t>Lukic, Djordje</t>
  </si>
  <si>
    <t>djordje.lukic@docker.com</t>
  </si>
  <si>
    <t>Mabey, Brianna</t>
  </si>
  <si>
    <t>brianna.mabey@docker.com</t>
  </si>
  <si>
    <t>Manager, People Systems and Programs</t>
  </si>
  <si>
    <t>MacIntosh, Emily</t>
  </si>
  <si>
    <t>emily.macintosh@docker.com</t>
  </si>
  <si>
    <t>Maderic, Amanda</t>
  </si>
  <si>
    <t>amanda.maderic@docker.com</t>
  </si>
  <si>
    <t>Madison, Colin</t>
  </si>
  <si>
    <t>colin.madison@docker.com</t>
  </si>
  <si>
    <t>Sr Manager, Web Product Management</t>
  </si>
  <si>
    <t>Madonna, Mark</t>
  </si>
  <si>
    <t>mark.madonna@docker.com</t>
  </si>
  <si>
    <t>Maki, Chris</t>
  </si>
  <si>
    <t>chris.maki@docker.com</t>
  </si>
  <si>
    <t>Malek Khosravi, Mahya</t>
  </si>
  <si>
    <t>mahya.khosravi@docker.com</t>
  </si>
  <si>
    <t>Business Systems Analyst</t>
  </si>
  <si>
    <t>Mallard, Luc-Florent</t>
  </si>
  <si>
    <t>florent.mallard@docker.com</t>
  </si>
  <si>
    <t>Mandya Puttaswamy, Usha</t>
  </si>
  <si>
    <t>usha.mandya@docker.com</t>
  </si>
  <si>
    <t>Sr Manager, Technical Writing</t>
  </si>
  <si>
    <t>Docs</t>
  </si>
  <si>
    <t>Markland, Tatia</t>
  </si>
  <si>
    <t>tatia.markland@docker.com</t>
  </si>
  <si>
    <t>Marrone III, Joseph</t>
  </si>
  <si>
    <t>joey.marrone@docker.com</t>
  </si>
  <si>
    <t>Sr Director, Global Renewals</t>
  </si>
  <si>
    <t>Marscellas, Kyle</t>
  </si>
  <si>
    <t>kyle.marscellas@docker.com</t>
  </si>
  <si>
    <t>Sr Recruiter</t>
  </si>
  <si>
    <t>Martin-Zimmerman, Misty</t>
  </si>
  <si>
    <t>misty.martin-zimmerman@docker.com</t>
  </si>
  <si>
    <t>Sr Sales Enablement Specialist</t>
  </si>
  <si>
    <t>Enablement</t>
  </si>
  <si>
    <t>Martinho, Carmen</t>
  </si>
  <si>
    <t>carmen.martinho@docker.com</t>
  </si>
  <si>
    <t>Principal Recruiter</t>
  </si>
  <si>
    <t>Masciorini, David</t>
  </si>
  <si>
    <t>david.masciorini@docker.com</t>
  </si>
  <si>
    <t>Principal Account Specialist, Security</t>
  </si>
  <si>
    <t>Mason Port, Patrick</t>
  </si>
  <si>
    <t>patrick.port@docker.com</t>
  </si>
  <si>
    <t>Matuszek, Beck</t>
  </si>
  <si>
    <t>beck.matuszek@docker.com</t>
  </si>
  <si>
    <t>Staff Internal Enablement Manager</t>
  </si>
  <si>
    <t>McCandrew, Matthew</t>
  </si>
  <si>
    <t>matthew.mccandrew@docker.com</t>
  </si>
  <si>
    <t>Sr Manager, Training and Enablement</t>
  </si>
  <si>
    <t>McCanna, Trisha</t>
  </si>
  <si>
    <t>trisha.mccanna@docker.com</t>
  </si>
  <si>
    <t>Vice President, Marketing Operations</t>
  </si>
  <si>
    <t>McGowan, Derek</t>
  </si>
  <si>
    <t>derek.mcgowan@docker.com</t>
  </si>
  <si>
    <t>McLellan, Chris</t>
  </si>
  <si>
    <t>chris.mclellan@docker.com</t>
  </si>
  <si>
    <t>McNaughton, Ian</t>
  </si>
  <si>
    <t>ian.mcnaughton@docker.com</t>
  </si>
  <si>
    <t>McShane, Fiona</t>
  </si>
  <si>
    <t>fiona.mcshane@docker.com</t>
  </si>
  <si>
    <t>GA-IT</t>
  </si>
  <si>
    <t>Sr Automation Engineer</t>
  </si>
  <si>
    <t>Meléndez Gonzales, Eddú</t>
  </si>
  <si>
    <t>eddu.melendez@docker.com</t>
  </si>
  <si>
    <t>Merkulov, Samantha</t>
  </si>
  <si>
    <t>sammi.merkulov@docker.com</t>
  </si>
  <si>
    <t>Merkushev, Kirill</t>
  </si>
  <si>
    <t>kirill.merkushev@docker.com</t>
  </si>
  <si>
    <t>Mesku, Merinne</t>
  </si>
  <si>
    <t>merinne.mesku@docker.com</t>
  </si>
  <si>
    <t>Michaloliakos, Michail</t>
  </si>
  <si>
    <t>michail.michaloliakos@docker.com</t>
  </si>
  <si>
    <t>Staff Infrastructure Engineer</t>
  </si>
  <si>
    <t>Mijango, Cesia</t>
  </si>
  <si>
    <t>cesia.mijango@docker.com</t>
  </si>
  <si>
    <t>Manager, Accounting</t>
  </si>
  <si>
    <t>Miller-Olson, Kimberly</t>
  </si>
  <si>
    <t>kimberly.olson@docker.com</t>
  </si>
  <si>
    <t>GA-BizSystems</t>
  </si>
  <si>
    <t>Principal Program Manager, Chief of Staff</t>
  </si>
  <si>
    <t>Business</t>
  </si>
  <si>
    <t>Miller, Ian</t>
  </si>
  <si>
    <t>ian.miller@docker.com</t>
  </si>
  <si>
    <t>Sr Deal Desk Specialist</t>
  </si>
  <si>
    <t>Minchington, Stuart</t>
  </si>
  <si>
    <t>stuart.minchington@docker.com</t>
  </si>
  <si>
    <t>Director, Technical Account Managers</t>
  </si>
  <si>
    <t>Misler, Derek</t>
  </si>
  <si>
    <t>derek.misler@docker.com</t>
  </si>
  <si>
    <t>Molina Maldonado, Rodny</t>
  </si>
  <si>
    <t>rodny.molina@docker.com</t>
  </si>
  <si>
    <t>Monterrubio, Hilda</t>
  </si>
  <si>
    <t>hilda.monterrubio@docker.com</t>
  </si>
  <si>
    <t>Sr Implementation Engineer</t>
  </si>
  <si>
    <t>Shaunt Kiredjian</t>
  </si>
  <si>
    <t>Montri, Stephane</t>
  </si>
  <si>
    <t>stephane.montri@docker.com</t>
  </si>
  <si>
    <t>Morris, David</t>
  </si>
  <si>
    <t>dave.morris@docker.com</t>
  </si>
  <si>
    <t>VP, Engineering</t>
  </si>
  <si>
    <t>Morrison, Aaron</t>
  </si>
  <si>
    <t>aaron.morrison@docker.com</t>
  </si>
  <si>
    <t>Sr Director, Channel Sales</t>
  </si>
  <si>
    <t>Matt Lanagan</t>
  </si>
  <si>
    <t>Muchnick, Loren</t>
  </si>
  <si>
    <t>loren.muchnick@docker.com</t>
  </si>
  <si>
    <t>Muise, Eric</t>
  </si>
  <si>
    <t>eric.muise@docker.com</t>
  </si>
  <si>
    <t>Sr Business Systems Product Manager</t>
  </si>
  <si>
    <t>Mulla Mahmoud, Ali</t>
  </si>
  <si>
    <t>ali.mulla@docker.com</t>
  </si>
  <si>
    <t>Muollo, Andrew</t>
  </si>
  <si>
    <t>andrew.muollo@docker.com</t>
  </si>
  <si>
    <t>Muraru, Elena</t>
  </si>
  <si>
    <t>bianca.muraru@docker.com</t>
  </si>
  <si>
    <t>Murray, Kristian</t>
  </si>
  <si>
    <t>kristian.murray@docker.com</t>
  </si>
  <si>
    <t>Murray, Rob</t>
  </si>
  <si>
    <t>rob.murray@docker.com</t>
  </si>
  <si>
    <t>Musson, Scott</t>
  </si>
  <si>
    <t>scott.musson@docker.com</t>
  </si>
  <si>
    <t>Sr Global Systems Integrators Director</t>
  </si>
  <si>
    <t>Naeini, Pedram</t>
  </si>
  <si>
    <t>pedram.naeini@docker.com</t>
  </si>
  <si>
    <t>Director, Corporate Controller</t>
  </si>
  <si>
    <t>Nakamura, Motoki</t>
  </si>
  <si>
    <t>motoki.nakamura@docker.com</t>
  </si>
  <si>
    <t>Napieralski, Mariusz</t>
  </si>
  <si>
    <t>mariusz.napieralski@docker.com</t>
  </si>
  <si>
    <t>International Accounting Manager</t>
  </si>
  <si>
    <t>Nazeem, Fazlan</t>
  </si>
  <si>
    <t>fazlan.nazeem@docker.com</t>
  </si>
  <si>
    <t>Neergaard, Bjorn</t>
  </si>
  <si>
    <t>bjorn.neergaard@docker.com</t>
  </si>
  <si>
    <t>Nelson, Scott</t>
  </si>
  <si>
    <t>scott.nelson@docker.com</t>
  </si>
  <si>
    <t>Director, Content Professional Services</t>
  </si>
  <si>
    <t>Nemoto, Tadashi</t>
  </si>
  <si>
    <t>tadashi.nemoto@docker.com</t>
  </si>
  <si>
    <t>Neth, Susan</t>
  </si>
  <si>
    <t>susan.neth@docker.com</t>
  </si>
  <si>
    <t>Principal Growth Engineer</t>
  </si>
  <si>
    <t>Growth Dev Team</t>
  </si>
  <si>
    <t>Newman, Joshua</t>
  </si>
  <si>
    <t>josh.newman@docker.com</t>
  </si>
  <si>
    <t>Nguyen, Andrea</t>
  </si>
  <si>
    <t>andrea.nguyen@docker.com</t>
  </si>
  <si>
    <t>Nguyen, Daniel</t>
  </si>
  <si>
    <t>daniel.nguyen@docker.com</t>
  </si>
  <si>
    <t>Associate Accountant</t>
  </si>
  <si>
    <t>Cesia Mijango</t>
  </si>
  <si>
    <t>Nguyen, Nhu-Duc Trung</t>
  </si>
  <si>
    <t>trung.nguyen@docker.com</t>
  </si>
  <si>
    <t>Novick, Steven</t>
  </si>
  <si>
    <t>steven.novick@docker.com</t>
  </si>
  <si>
    <t>O'Clair, Maria</t>
  </si>
  <si>
    <t>maria.oclair@docker.com</t>
  </si>
  <si>
    <t>Sr Program Manager</t>
  </si>
  <si>
    <t>Orefice, Nicholas</t>
  </si>
  <si>
    <t>nicholas.orefice@docker.com</t>
  </si>
  <si>
    <t>Oriowo, Stephen</t>
  </si>
  <si>
    <t>stephen.oriowo@docker.com</t>
  </si>
  <si>
    <t>Senior GRC Analyst</t>
  </si>
  <si>
    <t>Orndorff, Grant</t>
  </si>
  <si>
    <t>grant.orndorff@docker.com</t>
  </si>
  <si>
    <t>Orrala, Jessica</t>
  </si>
  <si>
    <t>jessica.orrala@docker.com</t>
  </si>
  <si>
    <t>Osterhout, Craig</t>
  </si>
  <si>
    <t>craig.osterhout@docker.com</t>
  </si>
  <si>
    <t>Sr Technical Writer</t>
  </si>
  <si>
    <t>Usha Mandya Puttaswamy</t>
  </si>
  <si>
    <t>Pacheco, Meghan</t>
  </si>
  <si>
    <t>meghan.pacheco@docker.com</t>
  </si>
  <si>
    <t>Page, Andrew</t>
  </si>
  <si>
    <t>tianon.gravi@docker.com</t>
  </si>
  <si>
    <t>Palardy, Ashley</t>
  </si>
  <si>
    <t>ashley.palardy@docker.com</t>
  </si>
  <si>
    <t>Papic, Marko</t>
  </si>
  <si>
    <t>marko.papic@docker.com</t>
  </si>
  <si>
    <t>Paredes, Breanna</t>
  </si>
  <si>
    <t>breanna.paredes@docker.com</t>
  </si>
  <si>
    <t>Sr Director, Recruiting</t>
  </si>
  <si>
    <t>Park, Audrey</t>
  </si>
  <si>
    <t>audrey.park@docker.com</t>
  </si>
  <si>
    <t>Sr Software Engineer, Support Tooling</t>
  </si>
  <si>
    <t>Parker, Sara</t>
  </si>
  <si>
    <t>sara.parker@docker.com</t>
  </si>
  <si>
    <t>Director, Support and Enablement</t>
  </si>
  <si>
    <t>Paterson, Brent</t>
  </si>
  <si>
    <t>brent.paterson@docker.com</t>
  </si>
  <si>
    <t>Sr Integration Architect</t>
  </si>
  <si>
    <t>Pedrazas, Ivan</t>
  </si>
  <si>
    <t>ivan.pedrazas@docker.com</t>
  </si>
  <si>
    <t>Pereira, Rebeca</t>
  </si>
  <si>
    <t>rebeca.pereira@docker.com</t>
  </si>
  <si>
    <t>ENG-Product Design</t>
  </si>
  <si>
    <t>Perez, Martin</t>
  </si>
  <si>
    <t>martin.perez@docker.com</t>
  </si>
  <si>
    <t>Principal Engineer</t>
  </si>
  <si>
    <t>Pérez, Omar</t>
  </si>
  <si>
    <t>omar.perez@docker.com</t>
  </si>
  <si>
    <t>Sr Payroll Analyst</t>
  </si>
  <si>
    <t>Petito, Christopher</t>
  </si>
  <si>
    <t>christopher.petito@docker.com</t>
  </si>
  <si>
    <t>Petrov, Zhelyazko</t>
  </si>
  <si>
    <t>zhelyazko.petrov@docker.com</t>
  </si>
  <si>
    <t>Sr Detection &amp; Response Analyst</t>
  </si>
  <si>
    <t>Phelps, Ryan</t>
  </si>
  <si>
    <t>ryan.phelps@docker.com</t>
  </si>
  <si>
    <t>Phul, Bhagwinder</t>
  </si>
  <si>
    <t>bhagwinder.phul@docker.com</t>
  </si>
  <si>
    <t>Director, Marketing Systems</t>
  </si>
  <si>
    <t>Pijewski, William</t>
  </si>
  <si>
    <t>bill.pijewski@docker.com</t>
  </si>
  <si>
    <t>Platt, Samantha</t>
  </si>
  <si>
    <t>sam.platt@docker.com</t>
  </si>
  <si>
    <t>Pluntke, Christopher</t>
  </si>
  <si>
    <t>christopher.pluntke@docker.com</t>
  </si>
  <si>
    <t>Sr Principal, GTM AI Engineering</t>
  </si>
  <si>
    <t>Podlubny, Martin</t>
  </si>
  <si>
    <t>martin.podlubny@docker.com</t>
  </si>
  <si>
    <t>Poole, Tamequa</t>
  </si>
  <si>
    <t>tamequa.poole@docker.com</t>
  </si>
  <si>
    <t>Pratt, Brian</t>
  </si>
  <si>
    <t>brian.pratt@docker.com</t>
  </si>
  <si>
    <t>Prekker, Ryan</t>
  </si>
  <si>
    <t>ryan.prekker@docker.com</t>
  </si>
  <si>
    <t>Preston, Matthew</t>
  </si>
  <si>
    <t>matthew.preston@docker.com</t>
  </si>
  <si>
    <t>Sr Manager, Mid Enterprise West</t>
  </si>
  <si>
    <t>Prokhorova, Oleksandra</t>
  </si>
  <si>
    <t>oleksandra.prokhorova@docker.com</t>
  </si>
  <si>
    <t>Prosser, Neil</t>
  </si>
  <si>
    <t>neil.prosser@docker.com</t>
  </si>
  <si>
    <t>Quirke, Kelsey</t>
  </si>
  <si>
    <t>kelsey.quirke@docker.com</t>
  </si>
  <si>
    <t>Rahman, Amn</t>
  </si>
  <si>
    <t>amn.rahman@docker.com</t>
  </si>
  <si>
    <t>Staff Data Architect</t>
  </si>
  <si>
    <t>Ramirez, Andy</t>
  </si>
  <si>
    <t>andy.ramirez@docker.com</t>
  </si>
  <si>
    <t>Sr Vice President, Marketing</t>
  </si>
  <si>
    <t>Ramos, André</t>
  </si>
  <si>
    <t>andre.ramos@docker.com</t>
  </si>
  <si>
    <t>Rangel Hernandez, Carmen Lorena</t>
  </si>
  <si>
    <t>lorena.rangel@docker.com</t>
  </si>
  <si>
    <t>Ratliff, James</t>
  </si>
  <si>
    <t>james.ratliff@docker.com</t>
  </si>
  <si>
    <t>Razdan, Gauri</t>
  </si>
  <si>
    <t>gauri.razdan@docker.com</t>
  </si>
  <si>
    <t>Redondo, Rick</t>
  </si>
  <si>
    <t>rick.redondo@docker.com</t>
  </si>
  <si>
    <t>Reed, Ricardo</t>
  </si>
  <si>
    <t>rickey.reed@docker.com</t>
  </si>
  <si>
    <t>Reese, Gina</t>
  </si>
  <si>
    <t>gina.reese@docker.com</t>
  </si>
  <si>
    <t>Staff Marketing Analytics Manager</t>
  </si>
  <si>
    <t>Operations (Ops)</t>
  </si>
  <si>
    <t>Retes, Camila</t>
  </si>
  <si>
    <t>camila.gonzalez@docker.com</t>
  </si>
  <si>
    <t>Rigney, Cody</t>
  </si>
  <si>
    <t>cody.rigney@docker.com</t>
  </si>
  <si>
    <t>Rihm, Chris</t>
  </si>
  <si>
    <t>chris.rihm@docker.com</t>
  </si>
  <si>
    <t>Rodriguez, Amanda</t>
  </si>
  <si>
    <t>amanda.rodriguez@docker.com</t>
  </si>
  <si>
    <t>Rojas, Alexandra</t>
  </si>
  <si>
    <t>alexandra.rojas@docker.com</t>
  </si>
  <si>
    <t>Sr Manager, Office of the CEO</t>
  </si>
  <si>
    <t>Roselle, Brooke</t>
  </si>
  <si>
    <t>brooke.roselle@docker.com</t>
  </si>
  <si>
    <t>Sr Support Systems Admin</t>
  </si>
  <si>
    <t>Ross, Bryan</t>
  </si>
  <si>
    <t>bryan.ross@docker.com</t>
  </si>
  <si>
    <t>Roth, Brandon</t>
  </si>
  <si>
    <t>brandon.roth@docker.com</t>
  </si>
  <si>
    <t>Roth, Travis</t>
  </si>
  <si>
    <t>travis.roth@docker.com</t>
  </si>
  <si>
    <t>Revenue Insights Analyst</t>
  </si>
  <si>
    <t>Alex Black</t>
  </si>
  <si>
    <t>Royalty, Daniel</t>
  </si>
  <si>
    <t>daniel.royalty@docker.com</t>
  </si>
  <si>
    <t>Technical Support Engineer II</t>
  </si>
  <si>
    <t>Roza, Alba</t>
  </si>
  <si>
    <t>alba.roza@docker.com</t>
  </si>
  <si>
    <t>Staff Community Success Manager</t>
  </si>
  <si>
    <t>Rushton, Elliot</t>
  </si>
  <si>
    <t>elliot.rushton@docker.com</t>
  </si>
  <si>
    <t>Russell, Ross</t>
  </si>
  <si>
    <t>ross.russell@docker.com</t>
  </si>
  <si>
    <t>Sr Security Engineer, Detection &amp; Response</t>
  </si>
  <si>
    <t>Sadler, Alexandria</t>
  </si>
  <si>
    <t>allie.sadler@docker.com</t>
  </si>
  <si>
    <t>Staff Technical Writer</t>
  </si>
  <si>
    <t>Saia, Mallorie</t>
  </si>
  <si>
    <t>mallorie.saia@docker.com</t>
  </si>
  <si>
    <t>Salihbegovic, Kenan</t>
  </si>
  <si>
    <t>kenan.salihbegovic@docker.com</t>
  </si>
  <si>
    <t>Vice President, Developer Success</t>
  </si>
  <si>
    <t>Samsami, Nahid</t>
  </si>
  <si>
    <t>nahid.samsami@docker.com</t>
  </si>
  <si>
    <t>Vice President, Developer Experience</t>
  </si>
  <si>
    <t>Sanders, Sarah</t>
  </si>
  <si>
    <t>sarah.sanders@docker.com</t>
  </si>
  <si>
    <t>Technical Writer</t>
  </si>
  <si>
    <t>Santos, Nicholas</t>
  </si>
  <si>
    <t>nick.santos@docker.com</t>
  </si>
  <si>
    <t>Sarota-Raczek, Ewa</t>
  </si>
  <si>
    <t>ewa.sarotaraczek@docker.com</t>
  </si>
  <si>
    <t>Operations Coordinator</t>
  </si>
  <si>
    <t>Shannyn Bessoni</t>
  </si>
  <si>
    <t>Saunders, Nicola</t>
  </si>
  <si>
    <t>nicola.saunders@docker.com</t>
  </si>
  <si>
    <t>Director, Sales Operations</t>
  </si>
  <si>
    <t>Scanlon, Timothy</t>
  </si>
  <si>
    <t>tim.scanlon@docker.com</t>
  </si>
  <si>
    <t>Scherer, Stefan</t>
  </si>
  <si>
    <t>stefan.scherer@docker.com</t>
  </si>
  <si>
    <t>Schmitt, Jeffrey</t>
  </si>
  <si>
    <t>jeffrey.schmitt@docker.com</t>
  </si>
  <si>
    <t>Global Cloud Service Providers Director</t>
  </si>
  <si>
    <t>Schrödl, Matthias</t>
  </si>
  <si>
    <t>matthias.schroedl@docker.com</t>
  </si>
  <si>
    <t>Schultz, Daniel</t>
  </si>
  <si>
    <t>daniel.schultz@docker.com</t>
  </si>
  <si>
    <t>Systems Administrator</t>
  </si>
  <si>
    <t>Schulz, Will</t>
  </si>
  <si>
    <t>will.schulz@docker.com</t>
  </si>
  <si>
    <t>Regional Vice President, Strategic</t>
  </si>
  <si>
    <t>Schupak, Felix</t>
  </si>
  <si>
    <t>felix.schupak@docker.com</t>
  </si>
  <si>
    <t>Sr Manager, Mid Enterprise EMEA</t>
  </si>
  <si>
    <t>Scott, David</t>
  </si>
  <si>
    <t>dave.scott@docker.com</t>
  </si>
  <si>
    <t>Scott, Sue</t>
  </si>
  <si>
    <t>sue.scott@docker.com</t>
  </si>
  <si>
    <t>Senior People Specialist</t>
  </si>
  <si>
    <t>Sears, Daniel</t>
  </si>
  <si>
    <t>daniel.sears@docker.com</t>
  </si>
  <si>
    <t>Senior Director, Visual Design</t>
  </si>
  <si>
    <t>Seely, Kyle</t>
  </si>
  <si>
    <t>kyle.seely@docker.com</t>
  </si>
  <si>
    <t>Šelajev, Oleg</t>
  </si>
  <si>
    <t>oleg.selajev@docker.com</t>
  </si>
  <si>
    <t>Sethi, Gurleen</t>
  </si>
  <si>
    <t>gurleen.sethi@docker.com</t>
  </si>
  <si>
    <t>Shakir, Shawn</t>
  </si>
  <si>
    <t>shawn.shakir@docker.com</t>
  </si>
  <si>
    <t>Sharif, Ary</t>
  </si>
  <si>
    <t>ary.sharif@docker.com</t>
  </si>
  <si>
    <t>Sharma, Payal</t>
  </si>
  <si>
    <t>payal.sharma@docker.com</t>
  </si>
  <si>
    <t>Sr Manager, Customer Lifecycle Marketing</t>
  </si>
  <si>
    <t>Sieger, Nicholas</t>
  </si>
  <si>
    <t>nick.sieger@docker.com</t>
  </si>
  <si>
    <t>Silva, André</t>
  </si>
  <si>
    <t>andre.silva@docker.com</t>
  </si>
  <si>
    <t>Silva, Madison</t>
  </si>
  <si>
    <t>madison.silva@docker.com</t>
  </si>
  <si>
    <t>Implementation Engineer</t>
  </si>
  <si>
    <t>Simon Paixao, Mariana</t>
  </si>
  <si>
    <t>mariana.simon@docker.com</t>
  </si>
  <si>
    <t>Singh, Abhimanyu</t>
  </si>
  <si>
    <t>abhi.singh@docker.com</t>
  </si>
  <si>
    <t>Staff Data Analyst</t>
  </si>
  <si>
    <t>Smith, Lindsay</t>
  </si>
  <si>
    <t>lindsay.smith@docker.com</t>
  </si>
  <si>
    <t>Smith, Terry</t>
  </si>
  <si>
    <t>terry.smith@docker.com</t>
  </si>
  <si>
    <t>Smith, Trevor</t>
  </si>
  <si>
    <t>trevor.smith@docker.com</t>
  </si>
  <si>
    <t>Snelling, Alexander</t>
  </si>
  <si>
    <t>alexander.snelling@docker.com</t>
  </si>
  <si>
    <t>Soch, Rebecca</t>
  </si>
  <si>
    <t>rebecca.soch@docker.com</t>
  </si>
  <si>
    <t>CLM, Data and Automation Manager</t>
  </si>
  <si>
    <t>Joel Benavides</t>
  </si>
  <si>
    <t>Sokoloff, David</t>
  </si>
  <si>
    <t>david.sokoloff@docker.com</t>
  </si>
  <si>
    <t>Principal Salesforce Architect</t>
  </si>
  <si>
    <t>Sowinski, Luke</t>
  </si>
  <si>
    <t>luke.sowinski@docker.com</t>
  </si>
  <si>
    <t>Sparks, Deanna</t>
  </si>
  <si>
    <t>deanna.sparks@docker.com</t>
  </si>
  <si>
    <t>Sr Product Marketing Manager</t>
  </si>
  <si>
    <t>Sporea, Bogdan</t>
  </si>
  <si>
    <t>bogdan.sporea@docker.com</t>
  </si>
  <si>
    <t>Channel Sales Manager</t>
  </si>
  <si>
    <t>Spray, Nicole</t>
  </si>
  <si>
    <t>nicole.spray@docker.com</t>
  </si>
  <si>
    <t>St-Pierre, Guillaume</t>
  </si>
  <si>
    <t>guillaume.stpierre@docker.com</t>
  </si>
  <si>
    <t>Stankiewicz, Piotr</t>
  </si>
  <si>
    <t>piotr.stankiewicz@docker.com</t>
  </si>
  <si>
    <t>Steiger, Veronica</t>
  </si>
  <si>
    <t>veronica.steiger@docker.com</t>
  </si>
  <si>
    <t>People Operations Generalist</t>
  </si>
  <si>
    <t>Steiler, Frank</t>
  </si>
  <si>
    <t>frank.steiler@docker.com</t>
  </si>
  <si>
    <t>Sternberg, Jonathan</t>
  </si>
  <si>
    <t>jonathan.sternberg@docker.com</t>
  </si>
  <si>
    <t>Stiebler, Peter</t>
  </si>
  <si>
    <t>peter.stiebler@docker.com</t>
  </si>
  <si>
    <t>Stone, Dalin</t>
  </si>
  <si>
    <t>dalin.stone@docker.com</t>
  </si>
  <si>
    <t>Stout, Jonathan</t>
  </si>
  <si>
    <t>jon.stout@docker.com</t>
  </si>
  <si>
    <t>Sr Manager, Renewals</t>
  </si>
  <si>
    <t>Strauss, Jeffrey</t>
  </si>
  <si>
    <t>jeffrey.strauss@docker.com</t>
  </si>
  <si>
    <t>Director, IT Operations</t>
  </si>
  <si>
    <t>Strickland, William</t>
  </si>
  <si>
    <t>will.strickland@docker.com</t>
  </si>
  <si>
    <t>Suarez, Aurélien</t>
  </si>
  <si>
    <t>aurelien.suarez@docker.com</t>
  </si>
  <si>
    <t>Community Marketing Manager II</t>
  </si>
  <si>
    <t>Jennifer Kohl</t>
  </si>
  <si>
    <t>Subramanian, Akshay</t>
  </si>
  <si>
    <t>akshay.subramanian@docker.com</t>
  </si>
  <si>
    <t>Suen, Remy</t>
  </si>
  <si>
    <t>remy.suen@docker.com</t>
  </si>
  <si>
    <t>Sullivan, SuzAnne</t>
  </si>
  <si>
    <t>suzanne.sullivan@docker.com</t>
  </si>
  <si>
    <t>Sr Benefits Program Manager</t>
  </si>
  <si>
    <t>Sung, PeiFang</t>
  </si>
  <si>
    <t>peifang.sung@docker.com</t>
  </si>
  <si>
    <t>Web Producer</t>
  </si>
  <si>
    <t>Colin Madison</t>
  </si>
  <si>
    <t>Swift, Kathleen</t>
  </si>
  <si>
    <t>kathleen.swift@docker.com</t>
  </si>
  <si>
    <t>HR Advisor</t>
  </si>
  <si>
    <t>Talledo, Cesar</t>
  </si>
  <si>
    <t>cesar.talledo@docker.com</t>
  </si>
  <si>
    <t>Tan, Linda</t>
  </si>
  <si>
    <t>linda.tan@docker.com</t>
  </si>
  <si>
    <t>Tardif, Guillaume</t>
  </si>
  <si>
    <t>guillaume.tardif@docker.com</t>
  </si>
  <si>
    <t>Temir, Huseyin</t>
  </si>
  <si>
    <t>ilker.temir@docker.com</t>
  </si>
  <si>
    <t>Vice President of Engineering, Cloud</t>
  </si>
  <si>
    <t>Terblanche, Alano</t>
  </si>
  <si>
    <t>alano.terblanche@docker.com</t>
  </si>
  <si>
    <t>Thabet, Elizabeth</t>
  </si>
  <si>
    <t>lizz.thabet@docker.com</t>
  </si>
  <si>
    <t>Thede, Temenuzhka</t>
  </si>
  <si>
    <t>temenuzhka.thede@docker.com</t>
  </si>
  <si>
    <t>Staff Security Engineer</t>
  </si>
  <si>
    <t>Prod Security</t>
  </si>
  <si>
    <t>Thilakan, Ajith</t>
  </si>
  <si>
    <t>ajith.thilakan@docker.com</t>
  </si>
  <si>
    <t>Thompson, Grant</t>
  </si>
  <si>
    <t>grant.thompson@docker.com</t>
  </si>
  <si>
    <t>Thompson, Shaun</t>
  </si>
  <si>
    <t>shaun.thompson@docker.com</t>
  </si>
  <si>
    <t>App Runtime</t>
  </si>
  <si>
    <t>Tiegs, Preston</t>
  </si>
  <si>
    <t>preston.tiegs@docker.com</t>
  </si>
  <si>
    <t>Sr Manager, Revenue Readiness</t>
  </si>
  <si>
    <t>Tiigi, Tonis</t>
  </si>
  <si>
    <t>tonis.tiigi@docker.com</t>
  </si>
  <si>
    <t>Timbrell, Gavin</t>
  </si>
  <si>
    <t>gavin.timbrell@docker.com</t>
  </si>
  <si>
    <t>Tomrushka, Katerina</t>
  </si>
  <si>
    <t>katerina.tomrushka@docker.com</t>
  </si>
  <si>
    <t>Totow, Abi-Drey</t>
  </si>
  <si>
    <t>abidrey.totow@docker.com</t>
  </si>
  <si>
    <t>Touron, Kristel</t>
  </si>
  <si>
    <t>kristel.touron@docker.com</t>
  </si>
  <si>
    <t>Trac, Victor</t>
  </si>
  <si>
    <t>victor.trac@docker.com</t>
  </si>
  <si>
    <t>Sr Manager, Revenue</t>
  </si>
  <si>
    <t>Trantham, Kyle</t>
  </si>
  <si>
    <t>kyle.trantham@docker.com</t>
  </si>
  <si>
    <t>Staff Security Engineer, Detection &amp; Response</t>
  </si>
  <si>
    <t>Traywick, Sophia</t>
  </si>
  <si>
    <t>sophia.traywick@docker.com</t>
  </si>
  <si>
    <t>Trinh, Trang</t>
  </si>
  <si>
    <t>trang.trinh@docker.com</t>
  </si>
  <si>
    <t>Staff Accountant II</t>
  </si>
  <si>
    <t>Tripathi, Aditya</t>
  </si>
  <si>
    <t>aditya.tripathi@docker.com</t>
  </si>
  <si>
    <t>Sr Principal Product Marketing Manager</t>
  </si>
  <si>
    <t>Tugarinova, Ekaterina</t>
  </si>
  <si>
    <t>ekaterina.tugarinova@docker.com</t>
  </si>
  <si>
    <t>Ugurlu, Emre</t>
  </si>
  <si>
    <t>emre.ugurlu@docker.com</t>
  </si>
  <si>
    <t>Valeta, Jaime</t>
  </si>
  <si>
    <t>jaime.valeta@docker.com</t>
  </si>
  <si>
    <t>Vallières-Lagacé, Alexandre</t>
  </si>
  <si>
    <t>alexandre.valliereslagace@docker.com</t>
  </si>
  <si>
    <t>Valverde, Francisco</t>
  </si>
  <si>
    <t>paco.valverde@docker.com</t>
  </si>
  <si>
    <t>van Stijn, Sebastiaan</t>
  </si>
  <si>
    <t>sebastiaan.vanstijn@docker.com</t>
  </si>
  <si>
    <t>Vazirova, Asel</t>
  </si>
  <si>
    <t>asel.vazirova@docker.com</t>
  </si>
  <si>
    <t>Vazquez, Macedonio</t>
  </si>
  <si>
    <t>austin.vazquez@docker.com</t>
  </si>
  <si>
    <t>Wahlstrom, Chanon</t>
  </si>
  <si>
    <t>chanon.wahlstrom@docker.com</t>
  </si>
  <si>
    <t>Director, Deal Desk</t>
  </si>
  <si>
    <t>Walker, Stephanie</t>
  </si>
  <si>
    <t>stephanie.walker@docker.com</t>
  </si>
  <si>
    <t>Walsh, Matthew</t>
  </si>
  <si>
    <t>matthew.walsh@docker.com</t>
  </si>
  <si>
    <t>Warren, Alec</t>
  </si>
  <si>
    <t>alec.warren@docker.com</t>
  </si>
  <si>
    <t>Watson, Nicola</t>
  </si>
  <si>
    <t>nicola.watson@docker.com</t>
  </si>
  <si>
    <t>Webster, Harrison</t>
  </si>
  <si>
    <t>harrison.webster@docker.com</t>
  </si>
  <si>
    <t>White, Wes</t>
  </si>
  <si>
    <t>wes.white@docker.com</t>
  </si>
  <si>
    <t>Wilkins, Jarris</t>
  </si>
  <si>
    <t>jarris.wilkins@docker.com</t>
  </si>
  <si>
    <t>Wilson, Ian</t>
  </si>
  <si>
    <t>ian.wilson@docker.com</t>
  </si>
  <si>
    <t>Wilson, Julia</t>
  </si>
  <si>
    <t>julia.wilson@docker.com</t>
  </si>
  <si>
    <t>Wilson, Mathew</t>
  </si>
  <si>
    <t>mat.wilson@docker.com</t>
  </si>
  <si>
    <t>Director, Product Management</t>
  </si>
  <si>
    <t>Wittek, Kevin</t>
  </si>
  <si>
    <t>kevin.wittek@docker.com</t>
  </si>
  <si>
    <t>Wittenberg, Patrick</t>
  </si>
  <si>
    <t>patrick.wittenberg@docker.com</t>
  </si>
  <si>
    <t>Vice President, Sales EMEA and APAC</t>
  </si>
  <si>
    <t>Sales Leaders</t>
  </si>
  <si>
    <t>Wolf, Madisen</t>
  </si>
  <si>
    <t>madisen.wolf@docker.com</t>
  </si>
  <si>
    <t>Xu, Yiwen</t>
  </si>
  <si>
    <t>yiwen.xu@docker.com</t>
  </si>
  <si>
    <t>Build</t>
  </si>
  <si>
    <t>Yam, William</t>
  </si>
  <si>
    <t>william.yam@docker.com</t>
  </si>
  <si>
    <t>Sr Manager, Systems Design</t>
  </si>
  <si>
    <t>Yarabarla, Akhilesh</t>
  </si>
  <si>
    <t>akhilesh.yarabarla@docker.com</t>
  </si>
  <si>
    <t>Yee, Christopher</t>
  </si>
  <si>
    <t>christopher.yee@docker.com</t>
  </si>
  <si>
    <t>Staff Digital Strategist</t>
  </si>
  <si>
    <t>Young, Abel</t>
  </si>
  <si>
    <t>abel.young@docker.com</t>
  </si>
  <si>
    <t>Zagers, Matthew</t>
  </si>
  <si>
    <t>matthew.zagers@docker.com</t>
  </si>
  <si>
    <t>Sales Operations Manager</t>
  </si>
  <si>
    <t>Zegoumou, Chaimaa</t>
  </si>
  <si>
    <t>chaimaa.zegoumou@docker.com</t>
  </si>
  <si>
    <t>Zheng, Brinley</t>
  </si>
  <si>
    <t>brinley.zheng@docker.com</t>
  </si>
  <si>
    <t>roles</t>
  </si>
  <si>
    <t>Reviewed by:</t>
  </si>
  <si>
    <t>Downgraded Permissions or Removed 
(If disabled for 90+ days, please remove)</t>
  </si>
  <si>
    <t>Notes</t>
  </si>
  <si>
    <t>Active Employee</t>
  </si>
  <si>
    <t>VLOOKUP</t>
  </si>
  <si>
    <t>aaron.solomon@docker.com</t>
  </si>
  <si>
    <t>Billing, Analytics</t>
  </si>
  <si>
    <t>No</t>
  </si>
  <si>
    <t>karan.vohra@docker.com</t>
  </si>
  <si>
    <t>Super Administrator - All Privileges</t>
  </si>
  <si>
    <t>Yes</t>
  </si>
  <si>
    <t>Administrator Read Only</t>
  </si>
  <si>
    <t>Super Administrator - All Privileges, Administrator</t>
  </si>
  <si>
    <t>Analytics</t>
  </si>
  <si>
    <t>Secrets Store Deployer, Workers Platform Admin, Billing, Analytics, Administrator Read Only, Administrator</t>
  </si>
  <si>
    <t>infra+cloudflare@docker.com</t>
  </si>
  <si>
    <t>login</t>
  </si>
  <si>
    <t>name</t>
  </si>
  <si>
    <t>is_public</t>
  </si>
  <si>
    <t>role</t>
  </si>
  <si>
    <t>saml_name_id</t>
  </si>
  <si>
    <t>brentseaton92</t>
  </si>
  <si>
    <t>Owner</t>
  </si>
  <si>
    <t>brent_seaton@docker.com</t>
  </si>
  <si>
    <t>Contractor</t>
  </si>
  <si>
    <t>cdupuis</t>
  </si>
  <si>
    <t>Christian Dupuis</t>
  </si>
  <si>
    <t>chris-crone</t>
  </si>
  <si>
    <t>danwschultz</t>
  </si>
  <si>
    <t>Dan Schultz</t>
  </si>
  <si>
    <t>fjmcs</t>
  </si>
  <si>
    <t>Fiona McShane</t>
  </si>
  <si>
    <t>ipedrazas</t>
  </si>
  <si>
    <t>Ivan Pedrazas</t>
  </si>
  <si>
    <t>jeanlaurent</t>
  </si>
  <si>
    <t>Jean-Laurent de Morlhon</t>
  </si>
  <si>
    <t>jeffreystrauss</t>
  </si>
  <si>
    <t>Jeff Strauss</t>
  </si>
  <si>
    <t>masegraye</t>
  </si>
  <si>
    <t>neilprosser</t>
  </si>
  <si>
    <t>Neil Prosser</t>
  </si>
  <si>
    <t>nfdocker</t>
  </si>
  <si>
    <t>nicks</t>
  </si>
  <si>
    <t>Nick Santos</t>
  </si>
  <si>
    <t>shawnaxsom</t>
  </si>
  <si>
    <t>shawnshakir</t>
  </si>
  <si>
    <t>Shawn Shakir</t>
  </si>
  <si>
    <t>shrug</t>
  </si>
  <si>
    <t>slimslenderslacks</t>
  </si>
  <si>
    <t>Jim Clark</t>
  </si>
  <si>
    <t>technicallyjosh</t>
  </si>
  <si>
    <t>Josh</t>
  </si>
  <si>
    <t>temenuzhka-thede</t>
  </si>
  <si>
    <t>Tem Thede</t>
  </si>
  <si>
    <t>tusharjain-docker</t>
  </si>
  <si>
    <t>vallieres</t>
  </si>
  <si>
    <t>Alexandre Vallières-Lagacé</t>
  </si>
  <si>
    <t>Tenant Name</t>
  </si>
  <si>
    <t>Scope Type</t>
  </si>
  <si>
    <t>Scope Name</t>
  </si>
  <si>
    <t>User Display Name</t>
  </si>
  <si>
    <t>Role Name</t>
  </si>
  <si>
    <t>Assignment Type</t>
  </si>
  <si>
    <t>docker.co</t>
  </si>
  <si>
    <t>Azure AD Directory</t>
  </si>
  <si>
    <t>Directory-level</t>
  </si>
  <si>
    <t>okta.auth@dotcloud.onmicrosoft.com</t>
  </si>
  <si>
    <t>Okta Auth</t>
  </si>
  <si>
    <t>Knowledge Administrator</t>
  </si>
  <si>
    <t>Direct</t>
  </si>
  <si>
    <t>Virtual Visits Administrator</t>
  </si>
  <si>
    <t>Exchange Recipient Administrator</t>
  </si>
  <si>
    <t>Attribute Assignment Reader</t>
  </si>
  <si>
    <t>Identity Governance Administrator</t>
  </si>
  <si>
    <t>Customer LockBox Access Approver</t>
  </si>
  <si>
    <t>Application Administrator</t>
  </si>
  <si>
    <t>Windows 365 Administrator</t>
  </si>
  <si>
    <t>Compliance Administrator</t>
  </si>
  <si>
    <t>Edge Administrator</t>
  </si>
  <si>
    <t>Exchange Administrator</t>
  </si>
  <si>
    <t>skalable.tech@docker.co</t>
  </si>
  <si>
    <t>Skalable</t>
  </si>
  <si>
    <t>Global Administrator</t>
  </si>
  <si>
    <t>Cloud Device Administrator</t>
  </si>
  <si>
    <t>Cloud App Security Administrator</t>
  </si>
  <si>
    <t>Search Editor</t>
  </si>
  <si>
    <t>Teams Devices Administrator</t>
  </si>
  <si>
    <t>Attack Payload Author</t>
  </si>
  <si>
    <t>Subscription</t>
  </si>
  <si>
    <t>Azure subscription 1</t>
  </si>
  <si>
    <t>User Access Administrator</t>
  </si>
  <si>
    <t>External ID User Flow Administrator</t>
  </si>
  <si>
    <t>License Administrator</t>
  </si>
  <si>
    <t>Azure AD Joined Device Local Administrator</t>
  </si>
  <si>
    <t>Attribute Definition Administrator</t>
  </si>
  <si>
    <t>B2C IEF Keyset Administrator</t>
  </si>
  <si>
    <t>Attribute Assignment Administrator</t>
  </si>
  <si>
    <t>Directory Readers</t>
  </si>
  <si>
    <t>SharePoint Administrator</t>
  </si>
  <si>
    <t>Engineering Partnership Test</t>
  </si>
  <si>
    <t>IAM Team</t>
  </si>
  <si>
    <t>Azure DevOps Administrator</t>
  </si>
  <si>
    <t>Kaizala Administrator</t>
  </si>
  <si>
    <t>Insights Analyst</t>
  </si>
  <si>
    <t>Insights Business Leader</t>
  </si>
  <si>
    <t>Billing Administrator</t>
  </si>
  <si>
    <t>Sandbox</t>
  </si>
  <si>
    <t>Sustaining Engineering Team</t>
  </si>
  <si>
    <t>Visual Studio Enterprise Subscription – MPN</t>
  </si>
  <si>
    <t>Management Group</t>
  </si>
  <si>
    <t>Tenant Root Group</t>
  </si>
  <si>
    <t>docker.com</t>
  </si>
  <si>
    <t>skalable.tech@docker.com</t>
  </si>
  <si>
    <t>Azure Information Protection Administrator</t>
  </si>
  <si>
    <t>Directory Writers</t>
  </si>
  <si>
    <t>Reports Reader</t>
  </si>
  <si>
    <t>Global Reader</t>
  </si>
  <si>
    <t>Docker AI Agent</t>
  </si>
  <si>
    <t>Docker AI Runtime</t>
  </si>
  <si>
    <t>Docker Azure Marketplace</t>
  </si>
  <si>
    <t>Docker CI</t>
  </si>
  <si>
    <t>Application Developer</t>
  </si>
  <si>
    <t>Desktop Analytics Administrator</t>
  </si>
  <si>
    <t>Groups Administrator</t>
  </si>
  <si>
    <t>Security Administrator</t>
  </si>
  <si>
    <t>lsp integrations insights</t>
  </si>
  <si>
    <t>External Identity Provider Administrator</t>
  </si>
  <si>
    <t>Skype for Business Administrator</t>
  </si>
  <si>
    <t>Dynamics 365 Administrator</t>
  </si>
  <si>
    <t>Microsoft Azure Enterprise</t>
  </si>
  <si>
    <t>Migrating subscription</t>
  </si>
  <si>
    <t>Migrating Subscription</t>
  </si>
  <si>
    <t>official_github_actions</t>
  </si>
  <si>
    <t>Play with Docker</t>
  </si>
  <si>
    <t>TC Engineering</t>
  </si>
  <si>
    <t>Testcontainers</t>
  </si>
  <si>
    <t>Azure Sandbox - Marketplace Technical Audit</t>
  </si>
  <si>
    <t>skalable@docker.co</t>
  </si>
  <si>
    <t>Skalable Technologies</t>
  </si>
  <si>
    <t>Teams Communications Administrator</t>
  </si>
  <si>
    <t>Teams Administrator</t>
  </si>
  <si>
    <t>User Administrator</t>
  </si>
  <si>
    <t>Compliance Data Administrator</t>
  </si>
  <si>
    <t>Teams Communications Support Engineer</t>
  </si>
  <si>
    <t>Teams Communications Support Specialist</t>
  </si>
  <si>
    <t>Service Support Administrator</t>
  </si>
  <si>
    <t>Helpdesk Administrator</t>
  </si>
  <si>
    <t>sriram_devaraj@docker.co</t>
  </si>
  <si>
    <t>Sriram</t>
  </si>
  <si>
    <t>sriram_devaraj@docker.com</t>
  </si>
  <si>
    <t>voon_yee@docker.co</t>
  </si>
  <si>
    <t>Voon</t>
  </si>
  <si>
    <t>Contributor (via group: Sustaining Engineering Team)</t>
  </si>
  <si>
    <t>Group</t>
  </si>
  <si>
    <t>yongzhu_lai@docker.co</t>
  </si>
  <si>
    <t>Joe Lai</t>
  </si>
  <si>
    <t>aaron.solomon@docker.co</t>
  </si>
  <si>
    <t>Aaron</t>
  </si>
  <si>
    <t>Domain Name Administrator</t>
  </si>
  <si>
    <t>Windows Update Deployment Administrator</t>
  </si>
  <si>
    <t>Search Administrator</t>
  </si>
  <si>
    <t>Guest Inviter</t>
  </si>
  <si>
    <t>Authentication Policy Administrator</t>
  </si>
  <si>
    <t>Knowledge Manager</t>
  </si>
  <si>
    <t>Usage Summary Reports Reader</t>
  </si>
  <si>
    <t>Privileged Role Administrator</t>
  </si>
  <si>
    <t>Security Operator</t>
  </si>
  <si>
    <t>Insights Administrator</t>
  </si>
  <si>
    <t>Intune Administrator</t>
  </si>
  <si>
    <t>anca.iordache@docker.co</t>
  </si>
  <si>
    <t>Anca Iordache</t>
  </si>
  <si>
    <t>Contributor (via group: Engineering Partnership)</t>
  </si>
  <si>
    <t>Attack Simulation Administrator</t>
  </si>
  <si>
    <t>Conditional Access Administrator</t>
  </si>
  <si>
    <t>Security Reader</t>
  </si>
  <si>
    <t>Owner (via group: Engineering Partnership)</t>
  </si>
  <si>
    <t>anthony.pahl@docker.co</t>
  </si>
  <si>
    <t>AJ Pahl</t>
  </si>
  <si>
    <t>Contributor (via group: Solutions Engineering Team)</t>
  </si>
  <si>
    <t>bryan.short@docker.com</t>
  </si>
  <si>
    <t>Bryan</t>
  </si>
  <si>
    <t>Contributor</t>
  </si>
  <si>
    <t>External ID User Flow Attribute Administrator</t>
  </si>
  <si>
    <t>B2C IEF Policy Administrator</t>
  </si>
  <si>
    <t>Hybrid Identity Administrator</t>
  </si>
  <si>
    <t>Attribute Definition Reader</t>
  </si>
  <si>
    <t>Cloud Application Administrator</t>
  </si>
  <si>
    <t>Authentication Administrator</t>
  </si>
  <si>
    <t>david.karlsson@docker.co</t>
  </si>
  <si>
    <t>David</t>
  </si>
  <si>
    <t>diogo.ferreira@docker.co</t>
  </si>
  <si>
    <t>Diogo Ferreira</t>
  </si>
  <si>
    <t>Contributor (via group: Projects Team)</t>
  </si>
  <si>
    <t>ezequiel.russo@docker.com</t>
  </si>
  <si>
    <t>Eze Russo</t>
  </si>
  <si>
    <t>Contributor (via group: Desktop Marketplace Access)</t>
  </si>
  <si>
    <t>gabriela.georgieva@docker.co</t>
  </si>
  <si>
    <t>Gabriela</t>
  </si>
  <si>
    <t>jason.schmidt@docker.co</t>
  </si>
  <si>
    <t>Jay Schmidt</t>
  </si>
  <si>
    <t>Katina.Thongvong@cdw.com</t>
  </si>
  <si>
    <t>Katina Thongvong</t>
  </si>
  <si>
    <t>lance.haig@docker.co</t>
  </si>
  <si>
    <t>Lance Haig</t>
  </si>
  <si>
    <t>marc.capell@docker.co</t>
  </si>
  <si>
    <t>Marc</t>
  </si>
  <si>
    <t>matthew.gibbs@docker.co</t>
  </si>
  <si>
    <t>Matt Gibbs</t>
  </si>
  <si>
    <t>melissa.sussmann@docker.co</t>
  </si>
  <si>
    <t>Melissa</t>
  </si>
  <si>
    <t>michael.parker@docker.co</t>
  </si>
  <si>
    <t>Mike Parker</t>
  </si>
  <si>
    <t>nelson.espinal@docker.com</t>
  </si>
  <si>
    <t>Nelson Espinal</t>
  </si>
  <si>
    <t>pavel.grachev@docker.co</t>
  </si>
  <si>
    <t>Pavel</t>
  </si>
  <si>
    <t>peter.mckee@docker.co</t>
  </si>
  <si>
    <t>Peter Mckee</t>
  </si>
  <si>
    <t>richard.kiene@docker.co</t>
  </si>
  <si>
    <t>Richard</t>
  </si>
  <si>
    <t>rita.antunes@docker.co</t>
  </si>
  <si>
    <t>Rita</t>
  </si>
  <si>
    <t>ryan.hristovski@docker.co</t>
  </si>
  <si>
    <t>Ryan Hristovski</t>
  </si>
  <si>
    <t>Owner (via group: Infra Team)</t>
  </si>
  <si>
    <t>ServicePrincipal: CloudPosture/securityOperators/DefenderCSPMSecurityOperator</t>
  </si>
  <si>
    <t>CloudPosture/securityOperators/DefenderCSPMSecurityOperator</t>
  </si>
  <si>
    <t>Role Based Access Control Administrator</t>
  </si>
  <si>
    <t>Service Principal</t>
  </si>
  <si>
    <t>ServicePrincipal: StorageAccounts/securityOperators/DefenderForStorageSecurityOperator</t>
  </si>
  <si>
    <t>StorageAccounts/securityOperators/DefenderForStorageSecurityOperator</t>
  </si>
  <si>
    <t>ServicePrincipal: dockerdevboxidentity</t>
  </si>
  <si>
    <t>dockerdevboxidentity</t>
  </si>
  <si>
    <t>ServicePrincipal: devcenter2</t>
  </si>
  <si>
    <t>devcenter2</t>
  </si>
  <si>
    <t>ServicePrincipal: thedevcenternew</t>
  </si>
  <si>
    <t>thedevcenternew</t>
  </si>
  <si>
    <t>ServicePrincipal: testdevcenternew</t>
  </si>
  <si>
    <t>testdevcenternew</t>
  </si>
  <si>
    <t>ryan.hristovski@docker.com</t>
  </si>
  <si>
    <t>Global Administrator (via group: Infrastructure Team)</t>
  </si>
  <si>
    <t>Owner (via group: Infra)</t>
  </si>
  <si>
    <t>azure-sub@docker.com</t>
  </si>
  <si>
    <t>azure-sub@azuresubdocker.onmicrosoft.com</t>
  </si>
  <si>
    <t>Owner (via group: azure admins)</t>
  </si>
  <si>
    <t>Owner (via group: Infrastructure Team)</t>
  </si>
  <si>
    <t>scott.johnston@docker.co</t>
  </si>
  <si>
    <t>Scott Johnston</t>
  </si>
  <si>
    <t>stephen.day@docker.com</t>
  </si>
  <si>
    <t>Stephen</t>
  </si>
  <si>
    <t>Contributor (via group: AI runtime Team)</t>
  </si>
  <si>
    <t>steven.thwaites@docker.co</t>
  </si>
  <si>
    <t>Steven</t>
  </si>
  <si>
    <t>thomas.psyhogeos@docker.co</t>
  </si>
  <si>
    <t>Thomas</t>
  </si>
  <si>
    <t>thomas.twyman@docker.co</t>
  </si>
  <si>
    <t>Tom Twyman</t>
  </si>
  <si>
    <t>timothy.welsh@docker.co</t>
  </si>
  <si>
    <t>Tim Welsh</t>
  </si>
  <si>
    <t>Contributor (via group: IAM Team)</t>
  </si>
  <si>
    <t>User Access Administrator (via group: IAM Team)</t>
  </si>
  <si>
    <t>ulysses.souza@docker.co</t>
  </si>
  <si>
    <t>Ulysses</t>
  </si>
  <si>
    <t>vincent.gschwend@docker.co</t>
  </si>
  <si>
    <t>Vincent</t>
  </si>
  <si>
    <t>vlad.budica@docker.co</t>
  </si>
  <si>
    <t>Vlad Budica</t>
  </si>
  <si>
    <t>yeevon.ooi@docker.co</t>
  </si>
  <si>
    <t>Yeevon</t>
  </si>
  <si>
    <t>yves.brissaud@docker.co</t>
  </si>
  <si>
    <t>Yves Brissaud</t>
  </si>
  <si>
    <t>zubair.aslam@docker.co</t>
  </si>
  <si>
    <t>Zubair</t>
  </si>
  <si>
    <t>zhelyazko.petrov@docker.co</t>
  </si>
  <si>
    <t>Zhel Petrov</t>
  </si>
  <si>
    <t>Contributor (via group: Security Team)</t>
  </si>
  <si>
    <t>NO</t>
  </si>
  <si>
    <t>Owner (via group: Security Team)</t>
  </si>
  <si>
    <t>akhilesh.yarabarla@docker.co</t>
  </si>
  <si>
    <t>Akhilesh</t>
  </si>
  <si>
    <t>alex.hokanson@docker.co</t>
  </si>
  <si>
    <t>Alex</t>
  </si>
  <si>
    <t>ServicePrincipal: TestServicePrincipal</t>
  </si>
  <si>
    <t>TestServicePrincipal</t>
  </si>
  <si>
    <t>alex.hokanson@dotcloud.onmicrosoft.com</t>
  </si>
  <si>
    <t>Alex Hokanson</t>
  </si>
  <si>
    <t>ServicePrincipal: TestServicePrincipal2</t>
  </si>
  <si>
    <t>TestServicePrincipal2</t>
  </si>
  <si>
    <t>ServicePrincipal: MyTestServicePrincipal</t>
  </si>
  <si>
    <t>MyTestServicePrincipal</t>
  </si>
  <si>
    <t>ServicePrincipal: ChrisTestServicePrincipal</t>
  </si>
  <si>
    <t>ChrisTestServicePrincipal</t>
  </si>
  <si>
    <t>ServicePrincipal: Terraform</t>
  </si>
  <si>
    <t>Terraform</t>
  </si>
  <si>
    <t>alexandre.valliereslagace@docker.co</t>
  </si>
  <si>
    <t>Alexandre</t>
  </si>
  <si>
    <t>andre.silva@docker.co</t>
  </si>
  <si>
    <t>André Silva</t>
  </si>
  <si>
    <t>Andrei</t>
  </si>
  <si>
    <t>ashime.ashime@docker.co</t>
  </si>
  <si>
    <t>Ashime Amandong</t>
  </si>
  <si>
    <t>bjorn.neergaard@docker.co</t>
  </si>
  <si>
    <t>Bjorn</t>
  </si>
  <si>
    <t>brent_seaton@docker.co</t>
  </si>
  <si>
    <t>Brent</t>
  </si>
  <si>
    <t>Brianna</t>
  </si>
  <si>
    <t>bruno.sousa@docker.co</t>
  </si>
  <si>
    <t>Bruno</t>
  </si>
  <si>
    <t>Chaimaa</t>
  </si>
  <si>
    <t>Owner (via group: Desktop Admin)</t>
  </si>
  <si>
    <t>christian.dupuis@docker.co</t>
  </si>
  <si>
    <t>Christian</t>
  </si>
  <si>
    <t>christian.farris@docker.co</t>
  </si>
  <si>
    <t>christopher.crone@docker.co</t>
  </si>
  <si>
    <t>christopher.petito@docker.co</t>
  </si>
  <si>
    <t>Christopher</t>
  </si>
  <si>
    <t>cody.rigney@docker.co</t>
  </si>
  <si>
    <t>Cody Rigney</t>
  </si>
  <si>
    <t>ServicePrincipal: GHACIServicePrincipal</t>
  </si>
  <si>
    <t>GHACIServicePrincipal</t>
  </si>
  <si>
    <t>colin.hemmings@docker.co</t>
  </si>
  <si>
    <t>Colin</t>
  </si>
  <si>
    <t>colin.mcneil@docker.co</t>
  </si>
  <si>
    <t>craig.gumbley@docker.co</t>
  </si>
  <si>
    <t>Craig</t>
  </si>
  <si>
    <t>dalin.stone@docker.co</t>
  </si>
  <si>
    <t>Dalin</t>
  </si>
  <si>
    <t>daniel.kolev@docker.co</t>
  </si>
  <si>
    <t>Daniel</t>
  </si>
  <si>
    <t>daniel.schultz@docker.co</t>
  </si>
  <si>
    <t>dave.scott@docker.co</t>
  </si>
  <si>
    <t>David Scott</t>
  </si>
  <si>
    <t>david.gageot@docker.co</t>
  </si>
  <si>
    <t>devboxtest_bmatuszek@dotcloud.onmicrosoft.com</t>
  </si>
  <si>
    <t>DevBoxTest Bmatuszek</t>
  </si>
  <si>
    <t>devboxtest_garora@dotcloud.onmicrosoft.com</t>
  </si>
  <si>
    <t>DevBoxTest Garora</t>
  </si>
  <si>
    <t>devboxtest_jbaker@dotcloud.onmicrosoft.com</t>
  </si>
  <si>
    <t>DevBoxTest Jbaker</t>
  </si>
  <si>
    <t>devboxtest_jbivins@dotcloud.onmicrosoft.com</t>
  </si>
  <si>
    <t>DevBox Test Jbivins</t>
  </si>
  <si>
    <t>devboxtest_jgonzalez@dotcloud.onmicrosoft.com</t>
  </si>
  <si>
    <t>DevBoxTest Jgonzalez</t>
  </si>
  <si>
    <t>djordje.lukic@docker.co</t>
  </si>
  <si>
    <t>Djordje Lukic</t>
  </si>
  <si>
    <t>Dorin Geman</t>
  </si>
  <si>
    <t>Eddú</t>
  </si>
  <si>
    <t>Emily</t>
  </si>
  <si>
    <t>Contributor (via group: Testcontainers)</t>
  </si>
  <si>
    <t>ServicePrincipal: azure-cli-2023-09-25-15-35-24</t>
  </si>
  <si>
    <t>azure-cli-2023-09-25-15-35-24</t>
  </si>
  <si>
    <t>Owner (via group: Testcontainers)</t>
  </si>
  <si>
    <t>ServicePrincipal: jb-managed-identity</t>
  </si>
  <si>
    <t>jb-managed-identity</t>
  </si>
  <si>
    <t>ServicePrincipal: monica-managedidentity</t>
  </si>
  <si>
    <t>monica-managedidentity</t>
  </si>
  <si>
    <t>ServicePrincipal: infra-terraform</t>
  </si>
  <si>
    <t>infra-terraform</t>
  </si>
  <si>
    <t>ServicePrincipal: sustaining-devbox-identity</t>
  </si>
  <si>
    <t>sustaining-devbox-identity</t>
  </si>
  <si>
    <t>esther.abishai@docker.co</t>
  </si>
  <si>
    <t>Pauline Abishai</t>
  </si>
  <si>
    <t>ewa.sarotaraczek@docker.co</t>
  </si>
  <si>
    <t>Ewa</t>
  </si>
  <si>
    <t>fazlan.nazeem@docker.co</t>
  </si>
  <si>
    <t>Fazlan Nazeem</t>
  </si>
  <si>
    <t>fiona.mcshane@docker.co</t>
  </si>
  <si>
    <t>Francesco</t>
  </si>
  <si>
    <t>gagan.arora@docker.co</t>
  </si>
  <si>
    <t>Gagan</t>
  </si>
  <si>
    <t>George Gabolaev</t>
  </si>
  <si>
    <t>guillaume.lours@docker.co</t>
  </si>
  <si>
    <t>Guillaume Lours</t>
  </si>
  <si>
    <t>Guillaume Tardif</t>
  </si>
  <si>
    <t>gurleen.sethi@docker.co</t>
  </si>
  <si>
    <t>Gurleen</t>
  </si>
  <si>
    <t>hugo.azevedo@docker.co</t>
  </si>
  <si>
    <t>Hugo</t>
  </si>
  <si>
    <t>Ignasi Lopez Luna</t>
  </si>
  <si>
    <t>ivan.californias@docker.co</t>
  </si>
  <si>
    <t>Iván</t>
  </si>
  <si>
    <t>svc_OKTA_sync_0oao4oxuczPJjruYq1t7@azuresubdocker.onmicrosoft.com</t>
  </si>
  <si>
    <t>SVC Okta Sync 0oao4oxuczPJjruYq1t7</t>
  </si>
  <si>
    <t>Directory Synchronization Accounts</t>
  </si>
  <si>
    <t>Jacob Howard</t>
  </si>
  <si>
    <t>okta.auth@azuresubdocker.onmicrosoft.com</t>
  </si>
  <si>
    <t>james.braden@docker.co</t>
  </si>
  <si>
    <t>ServicePrincipal: thedevcenter</t>
  </si>
  <si>
    <t>thedevcenter</t>
  </si>
  <si>
    <t>bryantest@dotcloud.onmicrosoft.com</t>
  </si>
  <si>
    <t>bryan test</t>
  </si>
  <si>
    <t>bryanshortnosso@azuresubdocker.onmicrosoft.com</t>
  </si>
  <si>
    <t>Bryan Short NoSSO</t>
  </si>
  <si>
    <t>james.hall@docker.co</t>
  </si>
  <si>
    <t>James Dolan-Hall</t>
  </si>
  <si>
    <t>jason.bivins@docker.co</t>
  </si>
  <si>
    <t>Jason</t>
  </si>
  <si>
    <t>Javier Garcia Manzano</t>
  </si>
  <si>
    <t>jeanlaurent@docker.co</t>
  </si>
  <si>
    <t>jeff.carter@docker.co</t>
  </si>
  <si>
    <t>Jeff Carter</t>
  </si>
  <si>
    <t>jeffrey.strauss@docker.co</t>
  </si>
  <si>
    <t>Jeffrey</t>
  </si>
  <si>
    <t>jeremy.dull@docker.co</t>
  </si>
  <si>
    <t>Jeremy</t>
  </si>
  <si>
    <t>johnny.gonzalez@docker.co</t>
  </si>
  <si>
    <t>Gonzo Gonzalez</t>
  </si>
  <si>
    <t>jonathan.dieu@docker.co</t>
  </si>
  <si>
    <t>Jonathan</t>
  </si>
  <si>
    <t>ServicePrincipal: terraform</t>
  </si>
  <si>
    <t>terraform</t>
  </si>
  <si>
    <t>ServicePrincipal: PackerBuildCICD</t>
  </si>
  <si>
    <t>PackerBuildCICD</t>
  </si>
  <si>
    <t>jonathan.roberts@docker.co</t>
  </si>
  <si>
    <t>Jonny Roberts</t>
  </si>
  <si>
    <t>josh.newman@docker.co</t>
  </si>
  <si>
    <t>Josh Newman</t>
  </si>
  <si>
    <t>kavindira.amarendiran@docker.co</t>
  </si>
  <si>
    <t>Kavindira</t>
  </si>
  <si>
    <t>Kevin</t>
  </si>
  <si>
    <t>ServicePrincipal: docker_jenkins_ci_sp</t>
  </si>
  <si>
    <t>docker_jenkins_ci_sp</t>
  </si>
  <si>
    <t>Kirill</t>
  </si>
  <si>
    <t>kyle.seely@docker.co</t>
  </si>
  <si>
    <t>Kyle</t>
  </si>
  <si>
    <t>Contributor (via group: Docker Design System)</t>
  </si>
  <si>
    <t>lizz.thabet@docker.co</t>
  </si>
  <si>
    <t>Lizz Thabet</t>
  </si>
  <si>
    <t>Lorena Rangel Hernandez</t>
  </si>
  <si>
    <t>luca.guerra@docker.co</t>
  </si>
  <si>
    <t>Luca</t>
  </si>
  <si>
    <t>luciano.ciccariello@docker.co</t>
  </si>
  <si>
    <t>Luciano</t>
  </si>
  <si>
    <t>luke.sowinski@docker.co</t>
  </si>
  <si>
    <t>Luke</t>
  </si>
  <si>
    <t>manh.huynh@docker.co</t>
  </si>
  <si>
    <t>Duy Huynh</t>
  </si>
  <si>
    <t>manju.karikatti@docker.co</t>
  </si>
  <si>
    <t>Manju Karikatti</t>
  </si>
  <si>
    <t>Manu de la Peña Peña</t>
  </si>
  <si>
    <t>mariusz_napieralski@docker.co</t>
  </si>
  <si>
    <t>Mariusz Napieralski</t>
  </si>
  <si>
    <t>mariusz.napieralski@docker.co</t>
  </si>
  <si>
    <t>mark.allen@docker.co</t>
  </si>
  <si>
    <t>Mark</t>
  </si>
  <si>
    <t>Mathieu Champlon</t>
  </si>
  <si>
    <t>matt.landis@docker.co</t>
  </si>
  <si>
    <t>Matt Landis</t>
  </si>
  <si>
    <t>Maxime</t>
  </si>
  <si>
    <t>megan.callaghan@docker.co</t>
  </si>
  <si>
    <t>Megan</t>
  </si>
  <si>
    <t>monica.chao@docker.co</t>
  </si>
  <si>
    <t>Monica</t>
  </si>
  <si>
    <t>nicholas.orefice@docker.co</t>
  </si>
  <si>
    <t>Nick Orefice</t>
  </si>
  <si>
    <t>nick.bercea@docker.co</t>
  </si>
  <si>
    <t>Chad Bercea</t>
  </si>
  <si>
    <t>nick.hazlett@docker.co</t>
  </si>
  <si>
    <t>Nick Hazlett</t>
  </si>
  <si>
    <t>nicolas.deloof@docker.co</t>
  </si>
  <si>
    <t>Nicolas De Loof</t>
  </si>
  <si>
    <t>nuno.coracao@docker.co</t>
  </si>
  <si>
    <t>Nuno Coração</t>
  </si>
  <si>
    <t>paco.valverde@docker.co</t>
  </si>
  <si>
    <t>Paco Valverde</t>
  </si>
  <si>
    <t>Piotr Stankiewicz</t>
  </si>
  <si>
    <t>pooja.agrawal@docker.co</t>
  </si>
  <si>
    <t>Pooja</t>
  </si>
  <si>
    <t>prashant.khanchandani@docker.co</t>
  </si>
  <si>
    <t>Prashant</t>
  </si>
  <si>
    <t>quentin.laplanche@docker.co</t>
  </si>
  <si>
    <t>Quentin</t>
  </si>
  <si>
    <t>rebeca.pereira@docker.co</t>
  </si>
  <si>
    <t>Rebeca</t>
  </si>
  <si>
    <t>remy.suen@docker.co</t>
  </si>
  <si>
    <t>Remy Suen</t>
  </si>
  <si>
    <t>Rick</t>
  </si>
  <si>
    <t>R.J. Lorimer</t>
  </si>
  <si>
    <t>romain.belorgey@docker.co</t>
  </si>
  <si>
    <t>Romain Bélorgey</t>
  </si>
  <si>
    <t>marcosnils@azuresubdocker.onmicrosoft.com</t>
  </si>
  <si>
    <t>Marcos Nils</t>
  </si>
  <si>
    <t>Owner (via group: play-with-docker)</t>
  </si>
  <si>
    <t>ServicePrincipal: play-with-docker</t>
  </si>
  <si>
    <t>play-with-docker</t>
  </si>
  <si>
    <t>Ross</t>
  </si>
  <si>
    <t>shannyn.bessoni@docker.co</t>
  </si>
  <si>
    <t>shawn.shakir@docker.co</t>
  </si>
  <si>
    <t>Shawn</t>
  </si>
  <si>
    <t>siarhei.karneichyk@docker.co</t>
  </si>
  <si>
    <t>silvin.lubecki@docker.co</t>
  </si>
  <si>
    <t>Silvin Lubecki</t>
  </si>
  <si>
    <t>Stan Hamara</t>
  </si>
  <si>
    <t>stefan.scherer@docker.co</t>
  </si>
  <si>
    <t>Stefan Scherer</t>
  </si>
  <si>
    <t>stephane.montri@docker.co</t>
  </si>
  <si>
    <t>Stephane</t>
  </si>
  <si>
    <t>tadashi.nemoto@docker.co</t>
  </si>
  <si>
    <t>Tadashi</t>
  </si>
  <si>
    <t>temenuzhka.thede@docker.co</t>
  </si>
  <si>
    <t>todd.densmore@docker.co</t>
  </si>
  <si>
    <t>Todd</t>
  </si>
  <si>
    <t>trung.nguyen@docker.co</t>
  </si>
  <si>
    <t>Trung Nguyen</t>
  </si>
  <si>
    <t>william.bunselmeyer@docker.co</t>
  </si>
  <si>
    <t>william.lambert@docker.co</t>
  </si>
  <si>
    <t>William</t>
  </si>
  <si>
    <t>account_id</t>
  </si>
  <si>
    <t>account_name</t>
  </si>
  <si>
    <t>permission_set</t>
  </si>
  <si>
    <t>user_name</t>
  </si>
  <si>
    <t>group_name</t>
  </si>
  <si>
    <t>Docker Data Stage</t>
  </si>
  <si>
    <t>Administrators</t>
  </si>
  <si>
    <t>gabriela.georgieva@docker.com</t>
  </si>
  <si>
    <t>AWSSSO_Administrators</t>
  </si>
  <si>
    <t>Docker Security Tooling Stage</t>
  </si>
  <si>
    <t>Docker Image Signing - Stage</t>
  </si>
  <si>
    <t>Docker Platform Stage</t>
  </si>
  <si>
    <t>Docker Atomist</t>
  </si>
  <si>
    <t>Docker Sandbox</t>
  </si>
  <si>
    <t>Docker Security</t>
  </si>
  <si>
    <t>Docker Harmonia Root</t>
  </si>
  <si>
    <t>Docker Offload Customer Workloads - TIAA</t>
  </si>
  <si>
    <t>Docker Hub Stage</t>
  </si>
  <si>
    <t>Docker AtomicJar Control Plane</t>
  </si>
  <si>
    <t>Docker AtomicJar Business Workloads</t>
  </si>
  <si>
    <t>Docker Serverless Stage</t>
  </si>
  <si>
    <t>Docker Databricks</t>
  </si>
  <si>
    <t>Docker Billing</t>
  </si>
  <si>
    <t>OrgAdministratorAccess</t>
  </si>
  <si>
    <t>Docker Build - Stage</t>
  </si>
  <si>
    <t>Docker Cloud Untrusted Compute Stage</t>
  </si>
  <si>
    <t>Docker Mutagen</t>
  </si>
  <si>
    <t>Docker Sales</t>
  </si>
  <si>
    <t>Docker Build - Production</t>
  </si>
  <si>
    <t>Docker Cloud Offload Business Stage</t>
  </si>
  <si>
    <t>Docker AtomicJar StreamNative</t>
  </si>
  <si>
    <t>Docker Cloud Untrusted Workloads Stage</t>
  </si>
  <si>
    <t>Docker AtomicJar Customer Workloads</t>
  </si>
  <si>
    <t>Docker Platform Prod</t>
  </si>
  <si>
    <t>Docker Support Engineering Prod</t>
  </si>
  <si>
    <t>Docker Harmonia User</t>
  </si>
  <si>
    <t>Docker Image Signing - Production</t>
  </si>
  <si>
    <t>Docker ECR Shared</t>
  </si>
  <si>
    <t>Docker Atomist ECR Integration</t>
  </si>
  <si>
    <t>Docker Main</t>
  </si>
  <si>
    <t>Docker Infosiftr</t>
  </si>
  <si>
    <t>Docker Identity</t>
  </si>
  <si>
    <t>Docker DevRel</t>
  </si>
  <si>
    <t>Docker Highland</t>
  </si>
  <si>
    <t>Docker Data</t>
  </si>
  <si>
    <t>Docker Secure Kubernetes Dev</t>
  </si>
  <si>
    <t>Docker IT</t>
  </si>
  <si>
    <t>Docker Developer Platform</t>
  </si>
  <si>
    <t>Docker IT Stage</t>
  </si>
  <si>
    <t>Docker Support Engineering Stage</t>
  </si>
  <si>
    <t>Docker Data Dev</t>
  </si>
  <si>
    <t>Docker Hub ECR</t>
  </si>
  <si>
    <t>Docker Highland Staging</t>
  </si>
  <si>
    <t>Docker Infrastructure</t>
  </si>
  <si>
    <t>Docker Security Tooling</t>
  </si>
  <si>
    <t>Docker AWS Marketplace</t>
  </si>
  <si>
    <t>kateryna.nezdolii@docker.com</t>
  </si>
  <si>
    <t>Email</t>
  </si>
  <si>
    <t>Scope ID</t>
  </si>
  <si>
    <t>Roles</t>
  </si>
  <si>
    <t>eddu@atomicjar.com</t>
  </si>
  <si>
    <t>Project</t>
  </si>
  <si>
    <t>Testcontainers OSS</t>
  </si>
  <si>
    <t>testcontainers-oss</t>
  </si>
  <si>
    <t>roles/owner</t>
  </si>
  <si>
    <t>?</t>
  </si>
  <si>
    <t>eddu.melendez@docker.com?</t>
  </si>
  <si>
    <t>kevin@atomicjar.com</t>
  </si>
  <si>
    <t>brett.inman@docker.com</t>
  </si>
  <si>
    <t>docker-looker</t>
  </si>
  <si>
    <t>Ask Docker</t>
  </si>
  <si>
    <t>ask-docker</t>
  </si>
  <si>
    <t>Dear Moby Extension</t>
  </si>
  <si>
    <t>dear-moby-extension</t>
  </si>
  <si>
    <t>1Password SCIM Bridge</t>
  </si>
  <si>
    <t>password-scim-bridge-360620</t>
  </si>
  <si>
    <t>FeatureFlags</t>
  </si>
  <si>
    <t>deep-lore-323516</t>
  </si>
  <si>
    <t>On-call automation</t>
  </si>
  <si>
    <t>mikes-on-call-automation</t>
  </si>
  <si>
    <t>docker-oauth2proxy</t>
  </si>
  <si>
    <t>cloudfront-bq</t>
  </si>
  <si>
    <t>roadMapDiffGenerator</t>
  </si>
  <si>
    <t>roadmapdiffgenerator</t>
  </si>
  <si>
    <t>colin.mcneil@docker.com</t>
  </si>
  <si>
    <t>roles/bigquery.admin</t>
  </si>
  <si>
    <t>gianluca.brindisi@docker.com</t>
  </si>
  <si>
    <t>InfoSec Internal Apps</t>
  </si>
  <si>
    <t>infosec-internal-apps</t>
  </si>
  <si>
    <t>hanh.do@docker.com</t>
  </si>
  <si>
    <t>Tines-GoogleSheet Integration</t>
  </si>
  <si>
    <t>valid-moment-385016</t>
  </si>
  <si>
    <t>justin.cormack@docker.com</t>
  </si>
  <si>
    <t>karen.hajioannou@docker.com</t>
  </si>
  <si>
    <t>tines-gcp-integration'</t>
  </si>
  <si>
    <t>tines-gcp-integration</t>
  </si>
  <si>
    <t>michael.parker@docker.com</t>
  </si>
  <si>
    <t>Hub google integration</t>
  </si>
  <si>
    <t>positive-cacao-docker</t>
  </si>
  <si>
    <t>docker-public</t>
  </si>
  <si>
    <t>docker-public-445216</t>
  </si>
  <si>
    <t>noreply@docker.com</t>
  </si>
  <si>
    <t>Website Notifications</t>
  </si>
  <si>
    <t>website-notifications-350900</t>
  </si>
  <si>
    <t>rachel.taylor@docker.com</t>
  </si>
  <si>
    <t>rebecca.floyd@docker.com</t>
  </si>
  <si>
    <t>sandbox</t>
  </si>
  <si>
    <t>sandbox-298914</t>
  </si>
  <si>
    <t>roles/editor</t>
  </si>
  <si>
    <t>linkerd-viz</t>
  </si>
  <si>
    <t>shelley.benhoff@docker.com</t>
  </si>
  <si>
    <t>vertexaigooglecloud</t>
  </si>
  <si>
    <t>docker-vertexai</t>
  </si>
  <si>
    <t>simeon_ratliff@docker.com</t>
  </si>
  <si>
    <t>My Project</t>
  </si>
  <si>
    <t>my-project-1673652083107</t>
  </si>
  <si>
    <t>password-scim-bridge-359115</t>
  </si>
  <si>
    <t>My First Project</t>
  </si>
  <si>
    <t>manifest-campus-349917</t>
  </si>
  <si>
    <t>svc-google-pather-alerting@docker.com</t>
  </si>
  <si>
    <t>Panther Integration</t>
  </si>
  <si>
    <t>panther-integration-376501</t>
  </si>
  <si>
    <t>Assignment type mislabeled? Should be Service Account</t>
  </si>
  <si>
    <t>svc-midasbot@docker.com</t>
  </si>
  <si>
    <t>data-team</t>
  </si>
  <si>
    <t>data-team-231118</t>
  </si>
  <si>
    <t>tackle-service-gcp@tackle.io</t>
  </si>
  <si>
    <t>thomas.psyhogeos@docker.com</t>
  </si>
  <si>
    <t>rare-gate-377301</t>
  </si>
  <si>
    <t>k8sproject</t>
  </si>
  <si>
    <t>k8sproject-378311</t>
  </si>
  <si>
    <t>emerald-vent-378714</t>
  </si>
  <si>
    <t>victor.bersy@docker.com</t>
  </si>
  <si>
    <t>Runtime Team</t>
  </si>
  <si>
    <t>runtime-team</t>
  </si>
  <si>
    <t>adm-brent_seaton@docker.com</t>
  </si>
  <si>
    <t>Chorus</t>
  </si>
  <si>
    <t>chorus-464720</t>
  </si>
  <si>
    <t>GAM Project</t>
  </si>
  <si>
    <t>gam-project-lmr3q</t>
  </si>
  <si>
    <t>gam-project-xb6-drw-v6z</t>
  </si>
  <si>
    <t>ajeet_raina@docker.com</t>
  </si>
  <si>
    <t>Meetup-Demo</t>
  </si>
  <si>
    <t>meetup-demo-384606</t>
  </si>
  <si>
    <t>jamie_newell@docker.com</t>
  </si>
  <si>
    <t>Web Recaptcha</t>
  </si>
  <si>
    <t>web-recaptcha-396022</t>
  </si>
  <si>
    <t>Organization</t>
  </si>
  <si>
    <t>Organization 756105189467</t>
  </si>
  <si>
    <t>roles/resourcemanager.organizationAdmin</t>
  </si>
  <si>
    <t>roles/billing.admin; roles/orgpolicy.policyAdmin; roles/resourcemanager.organizationAdmin; roles/resourcemanager.projectCreator; roles/resourcemanager.projectDeleter; roles/resourcemanager.projectMover</t>
  </si>
  <si>
    <t>robert.lorimer@docker.com</t>
  </si>
  <si>
    <t>roles/orgpolicy.policyAdmin; roles/resourcemanager.organizationAdmin</t>
  </si>
  <si>
    <t>roles/orgpolicy.policyAdmin; roles/resourcemanager.projectCreator</t>
  </si>
  <si>
    <t>neon-glyph-389219</t>
  </si>
  <si>
    <t>adm-daniel.schultz@docker.com</t>
  </si>
  <si>
    <t>Calm GCP Project</t>
  </si>
  <si>
    <t>calm-gcp-project</t>
  </si>
  <si>
    <t>roles/owner; roles/storage.admin</t>
  </si>
  <si>
    <t>gam-project-aa9-i1u-0ab</t>
  </si>
  <si>
    <t>adm-fiona.mcshane@docker.com</t>
  </si>
  <si>
    <t>gam-project-44xz9</t>
  </si>
  <si>
    <t>adm-jeffrey.strauss@docker.com</t>
  </si>
  <si>
    <t>gam-project-8ck8h</t>
  </si>
  <si>
    <t>gam-project-zw0to</t>
  </si>
  <si>
    <t>adm-shawn.shakir@docker.com</t>
  </si>
  <si>
    <t>gam-project-as6bu</t>
  </si>
  <si>
    <t>MCP catalog</t>
  </si>
  <si>
    <t>mcp-catalog</t>
  </si>
  <si>
    <t>Prophet AI</t>
  </si>
  <si>
    <t>prophet-ai-468218</t>
  </si>
  <si>
    <t>Sustaining Issues Dashboard</t>
  </si>
  <si>
    <t>sustaining-issues-dashboard</t>
  </si>
  <si>
    <t>Zubair Aslam Test Area</t>
  </si>
  <si>
    <t>zubair-aslam</t>
  </si>
  <si>
    <t>Docker Hub Stage - Recaptcha</t>
  </si>
  <si>
    <t>docker-hub-stage-1692880343243</t>
  </si>
  <si>
    <t>Docker Hub Prod - Recaptcha</t>
  </si>
  <si>
    <t>docker-hub-prod--1692880767377</t>
  </si>
  <si>
    <t>Testcontainers Cloud</t>
  </si>
  <si>
    <t>testcontainers-cloud</t>
  </si>
  <si>
    <t>Docker Sponsored Open Source</t>
  </si>
  <si>
    <t>docker-sponsored-open-source</t>
  </si>
  <si>
    <t>Docker Videos Analytics</t>
  </si>
  <si>
    <t>docker-videos-analytics</t>
  </si>
  <si>
    <t>Instruqt</t>
  </si>
  <si>
    <t>docker-instruqt</t>
  </si>
  <si>
    <t>river-tiger-363911</t>
  </si>
  <si>
    <t>trans-array-363911</t>
  </si>
  <si>
    <t>Hey Moby</t>
  </si>
  <si>
    <t>hey-moby</t>
  </si>
  <si>
    <t>local-dialect-358516</t>
  </si>
  <si>
    <t>docker-ai-sandbox</t>
  </si>
  <si>
    <t>Docker GRC</t>
  </si>
  <si>
    <t>docker-grc</t>
  </si>
  <si>
    <t>IT GAM Project</t>
  </si>
  <si>
    <t>gam-project-x1y-40z-z32</t>
  </si>
  <si>
    <t>My Project 1490</t>
  </si>
  <si>
    <t>my-project-1490-1692139228747</t>
  </si>
  <si>
    <t>Gemini API Users</t>
  </si>
  <si>
    <t>gemini-api-users</t>
  </si>
  <si>
    <t>solutions-engineering-sandbox</t>
  </si>
  <si>
    <t>starlit-tube-469623-d9</t>
  </si>
  <si>
    <t>shaped-manifest-350522</t>
  </si>
  <si>
    <t>docker-cagent</t>
  </si>
  <si>
    <t>Gemini API</t>
  </si>
  <si>
    <t>gen-lang-client-0862120673</t>
  </si>
  <si>
    <t>My Project 28117</t>
  </si>
  <si>
    <t>steady-hallway-337209</t>
  </si>
  <si>
    <t>docker-ai-ml</t>
  </si>
  <si>
    <t>Braden Testing Stuff</t>
  </si>
  <si>
    <t>braden-testing-stuff</t>
  </si>
  <si>
    <t>tushar-agent</t>
  </si>
  <si>
    <t>tushar-agent-467523</t>
  </si>
  <si>
    <t>sa-ai-sandbox</t>
  </si>
  <si>
    <t>roles/owner; roles/resourcemanager.organizationAdmin</t>
  </si>
  <si>
    <t>Docker Web</t>
  </si>
  <si>
    <t>docker-web-1627682468283</t>
  </si>
  <si>
    <t>gen-lang-client-0972095716</t>
  </si>
  <si>
    <t>empmap</t>
  </si>
  <si>
    <t>Auth0 Social</t>
  </si>
  <si>
    <t>auth0-social-396021</t>
  </si>
  <si>
    <t>roles/owner; roles/resourcemanager.organizationAdmin; roles/resourcemanager.projectDeleter; roles/resourcemanager.projectMover</t>
  </si>
  <si>
    <t>onboard</t>
  </si>
  <si>
    <t>onboard-321212</t>
  </si>
  <si>
    <t>Docker Desktop MCP</t>
  </si>
  <si>
    <t>docker-desktop-mcp</t>
  </si>
  <si>
    <t>gen-lang-client-0692346200</t>
  </si>
  <si>
    <t>docker-app-stage-recaptcha</t>
  </si>
  <si>
    <t>docker-app-stage-1728334763771</t>
  </si>
  <si>
    <t>docker-app-prod-recaptcha</t>
  </si>
  <si>
    <t>docker-app-prod--1728334760922</t>
  </si>
  <si>
    <t>app-ui</t>
  </si>
  <si>
    <t>app-ui-1728333641492</t>
  </si>
  <si>
    <t>app-ui-1728333999024</t>
  </si>
  <si>
    <t>ai-review-editor-addon</t>
  </si>
  <si>
    <t>Docker Audit Logs</t>
  </si>
  <si>
    <t>docker-audit-logs</t>
  </si>
  <si>
    <t>roles/iam.securityAdmin; roles/owner; roles/resourcemanager.organizationAdmin</t>
  </si>
  <si>
    <t>kirill@atomicjar.com</t>
  </si>
  <si>
    <t>Testcontainers Cloud Dev</t>
  </si>
  <si>
    <t>testcontainers-cloud-dev</t>
  </si>
  <si>
    <t>vibrant-keyword-368818</t>
  </si>
  <si>
    <t>roles/resourcemanager.projectMover</t>
  </si>
  <si>
    <t>rich-karma-435815-m0</t>
  </si>
  <si>
    <t>roles/bigquery.admin; roles/editor</t>
  </si>
  <si>
    <t>1066536109736@cloudservices.gserviceaccount.com</t>
  </si>
  <si>
    <t>Service Account</t>
  </si>
  <si>
    <t>1072588105150-compute@developer.gserviceaccount.com</t>
  </si>
  <si>
    <t>1072588105150@cloudservices.gserviceaccount.com</t>
  </si>
  <si>
    <t>13492051104-compute@developer.gserviceaccount.com</t>
  </si>
  <si>
    <t>13492051104@cloudservices.gserviceaccount.com</t>
  </si>
  <si>
    <t>272326217981-compute@developer.gserviceaccount.com</t>
  </si>
  <si>
    <t>272326217981@cloudservices.gserviceaccount.com</t>
  </si>
  <si>
    <t>38528517963-compute@developer.gserviceaccount.com</t>
  </si>
  <si>
    <t>417679349889-compute@developer.gserviceaccount.com</t>
  </si>
  <si>
    <t>417679349889@cloudservices.gserviceaccount.com</t>
  </si>
  <si>
    <t>422840896494-compute@developer.gserviceaccount.com</t>
  </si>
  <si>
    <t>422840896494@cloudservices.gserviceaccount.com</t>
  </si>
  <si>
    <t>426743942581-compute@developer.gserviceaccount.com</t>
  </si>
  <si>
    <t>426743942581@cloudservices.gserviceaccount.com</t>
  </si>
  <si>
    <t>553710312684-compute@developer.gserviceaccount.com</t>
  </si>
  <si>
    <t>553710312684@cloudservices.gserviceaccount.com</t>
  </si>
  <si>
    <t>580497323773-compute@developer.gserviceaccount.com</t>
  </si>
  <si>
    <t>580497323773@cloudservices.gserviceaccount.com</t>
  </si>
  <si>
    <t>668871651245-compute@developer.gserviceaccount.com</t>
  </si>
  <si>
    <t>668871651245@cloudservices.gserviceaccount.com</t>
  </si>
  <si>
    <t>740224390982-compute@developer.gserviceaccount.com</t>
  </si>
  <si>
    <t>740224390982@cloudservices.gserviceaccount.com</t>
  </si>
  <si>
    <t>867597114362-compute@developer.gserviceaccount.com</t>
  </si>
  <si>
    <t>963256154112-compute@developer.gserviceaccount.com</t>
  </si>
  <si>
    <t>981855438795-compute@developer.gserviceaccount.com</t>
  </si>
  <si>
    <t>981855438795@cloudservices.gserviceaccount.com</t>
  </si>
  <si>
    <t>991852852789-compute@developer.gserviceaccount.com</t>
  </si>
  <si>
    <t>991852852789@cloudservices.gserviceaccount.com</t>
  </si>
  <si>
    <t>appsdev-apps-dev-script-auth@system.gserviceaccount.com</t>
  </si>
  <si>
    <t>buildOffloadForecast</t>
  </si>
  <si>
    <t>sys-70421547228984784582496780</t>
  </si>
  <si>
    <t>Offload</t>
  </si>
  <si>
    <t>sys-23946732366258502757606878</t>
  </si>
  <si>
    <t>TimeStamp</t>
  </si>
  <si>
    <t>sys-60779222951430280213632866</t>
  </si>
  <si>
    <t>Untitled project</t>
  </si>
  <si>
    <t>sys-82219894613868036271806221</t>
  </si>
  <si>
    <t>sys-06293693974352001314478446</t>
  </si>
  <si>
    <t>sys-30714318618108075349292973</t>
  </si>
  <si>
    <t>H2'26 Sales Hierarchy   Capaci</t>
  </si>
  <si>
    <t>sys-87203281947260458701735064</t>
  </si>
  <si>
    <t>sys-57655649819451235553581189</t>
  </si>
  <si>
    <t>sys-17728179236355669699925620</t>
  </si>
  <si>
    <t>sys-98832904251019093491124226</t>
  </si>
  <si>
    <t>sys-43233503975962319858316958</t>
  </si>
  <si>
    <t>DHI Tracker functions</t>
  </si>
  <si>
    <t>sys-02720419885494633613898637</t>
  </si>
  <si>
    <t>sys-82425094837230254639824287</t>
  </si>
  <si>
    <t>sys-81909251359640164418081990</t>
  </si>
  <si>
    <t>sys-03149947053654621190426267</t>
  </si>
  <si>
    <t>sys-87590654656042859904778395</t>
  </si>
  <si>
    <t>go script</t>
  </si>
  <si>
    <t>sys-16598335883301916999210465</t>
  </si>
  <si>
    <t>sys-93756983084395885659944829</t>
  </si>
  <si>
    <t>ASC606-Material-Right-Calculat</t>
  </si>
  <si>
    <t>sys-47538007900310765005538813</t>
  </si>
  <si>
    <t>sys-09899760812038038543193272</t>
  </si>
  <si>
    <t>sys-27281091505977252063089181</t>
  </si>
  <si>
    <t>sys-35745718803629687811770136</t>
  </si>
  <si>
    <t>Salesforce Account Linker</t>
  </si>
  <si>
    <t>sys-79905429896082890798273748</t>
  </si>
  <si>
    <t>Master Sheet Connector</t>
  </si>
  <si>
    <t>sys-85697671558002916611023616</t>
  </si>
  <si>
    <t>sys-16933113676863129423105007</t>
  </si>
  <si>
    <t>sys-57434438226701648471674935</t>
  </si>
  <si>
    <t>sys-45116940829650068623145287</t>
  </si>
  <si>
    <t>sys-97651352251959851247831929</t>
  </si>
  <si>
    <t>sys-37337289202769217166063569</t>
  </si>
  <si>
    <t>sys-53847442415640426558597674</t>
  </si>
  <si>
    <t>AuditAPI call</t>
  </si>
  <si>
    <t>sys-50986167339742571767122777</t>
  </si>
  <si>
    <t>insertMeetingTemplateAtCursor</t>
  </si>
  <si>
    <t>sys-16637851862778258598873688</t>
  </si>
  <si>
    <t>sys-36831343178380600688759231</t>
  </si>
  <si>
    <t>sys-20755676578623511093850553</t>
  </si>
  <si>
    <t>MeetingTemplate</t>
  </si>
  <si>
    <t>sys-44919457227357949586771842</t>
  </si>
  <si>
    <t>sys-54883680173516862895059239</t>
  </si>
  <si>
    <t>sys-22784033245805082680513796</t>
  </si>
  <si>
    <t>sys-60683360057012995032693743</t>
  </si>
  <si>
    <t>Training Automation</t>
  </si>
  <si>
    <t>sys-33385364732451582312631096</t>
  </si>
  <si>
    <t>sys-66384727800264769283482884</t>
  </si>
  <si>
    <t>Unified Cash Application Tool</t>
  </si>
  <si>
    <t>sys-12854721929071366422572925</t>
  </si>
  <si>
    <t>sys-56240015008271019038798892</t>
  </si>
  <si>
    <t>sys-03647005974238507052179405</t>
  </si>
  <si>
    <t>sys-05797730919719396131073471</t>
  </si>
  <si>
    <t>Multiselect</t>
  </si>
  <si>
    <t>sys-71011154250117595118259852</t>
  </si>
  <si>
    <t>sys-14540304742378859297062566</t>
  </si>
  <si>
    <t>sys-36642722285420891729931100</t>
  </si>
  <si>
    <t>Project Management Accounting</t>
  </si>
  <si>
    <t>sys-67323079351994802169500112</t>
  </si>
  <si>
    <t>sys-61256518472230374446825494</t>
  </si>
  <si>
    <t>DuplicateSheet</t>
  </si>
  <si>
    <t>sys-93730085740081954316032614</t>
  </si>
  <si>
    <t>sys-82425204487878546378631659</t>
  </si>
  <si>
    <t>sys-03632915434874934560517704</t>
  </si>
  <si>
    <t>sys-39725171338105282680790188</t>
  </si>
  <si>
    <t>sys-19017128217175703208005214</t>
  </si>
  <si>
    <t>sys-58480857975642756473816301</t>
  </si>
  <si>
    <t>Gmail Sheets mail merge</t>
  </si>
  <si>
    <t>sys-27640187340959683366783109</t>
  </si>
  <si>
    <t>Deal Review Tracker Automation</t>
  </si>
  <si>
    <t>sys-35362608404645198652828785</t>
  </si>
  <si>
    <t>Recorded Macros  Copy of  Test</t>
  </si>
  <si>
    <t>sys-14974385910393890311108372</t>
  </si>
  <si>
    <t>Macro</t>
  </si>
  <si>
    <t>sys-35697036048009001397648365</t>
  </si>
  <si>
    <t>Formula Extender - Personal</t>
  </si>
  <si>
    <t>sys-96293853670314801047532475</t>
  </si>
  <si>
    <t>sys-13098122929293769062228291</t>
  </si>
  <si>
    <t>sys-72867389877736892644799168</t>
  </si>
  <si>
    <t>sys-77833431295267560021922966</t>
  </si>
  <si>
    <t>Micro Formula</t>
  </si>
  <si>
    <t>sys-63920243155667691862802568</t>
  </si>
  <si>
    <t>Test Formula Dragger</t>
  </si>
  <si>
    <t>sys-17865824910385494684239122</t>
  </si>
  <si>
    <t>sys-75407686823659570114960498</t>
  </si>
  <si>
    <t>sys-64343442514934912933840429</t>
  </si>
  <si>
    <t>Formula Extender</t>
  </si>
  <si>
    <t>sys-61996679151263583868813962</t>
  </si>
  <si>
    <t>sys-27264901821214785084954522</t>
  </si>
  <si>
    <t>sys-98844224515149508126020843</t>
  </si>
  <si>
    <t>sys-14147881787332871610156169</t>
  </si>
  <si>
    <t>sys-87886929001126659371084765</t>
  </si>
  <si>
    <t>sys-45786568571842781410768682</t>
  </si>
  <si>
    <t>sys-92223604131846243472134345</t>
  </si>
  <si>
    <t>sys-91314582368772846187703592</t>
  </si>
  <si>
    <t>sys-25487972836389815060538536</t>
  </si>
  <si>
    <t>sys-82570869935672224129203203</t>
  </si>
  <si>
    <t>sys-87865046153389472488746202</t>
  </si>
  <si>
    <t>sys-85629275519335698217275509</t>
  </si>
  <si>
    <t>sys-02633055895266211953536918</t>
  </si>
  <si>
    <t>sys-59063398743697382947934039</t>
  </si>
  <si>
    <t>sys-55869516483894544162330432</t>
  </si>
  <si>
    <t>sys-61564205113948665103455582</t>
  </si>
  <si>
    <t>sys-63123141229998045243208666</t>
  </si>
  <si>
    <t>Influencer View Tracking</t>
  </si>
  <si>
    <t>sys-80571888405838637591803207</t>
  </si>
  <si>
    <t>sys-30068970569066859229637031</t>
  </si>
  <si>
    <t>sys-77956798627119935643447717</t>
  </si>
  <si>
    <t>sys-03443906034502121273318814</t>
  </si>
  <si>
    <t>sys-63138023466160608834773033</t>
  </si>
  <si>
    <t>Calendly Importer</t>
  </si>
  <si>
    <t>sys-17195200439442642268451469</t>
  </si>
  <si>
    <t>sys-27539607577620381904518998</t>
  </si>
  <si>
    <t>sys-15909908154191295864723233</t>
  </si>
  <si>
    <t>sys-78838880044628093849336071</t>
  </si>
  <si>
    <t>CPQ Proration</t>
  </si>
  <si>
    <t>sys-31432867329682974697689135</t>
  </si>
  <si>
    <t>120 Day Notice</t>
  </si>
  <si>
    <t>sys-80699633856303875535864684</t>
  </si>
  <si>
    <t>sys-04907803005301597346518112</t>
  </si>
  <si>
    <t>sys-99107214824115613780942281</t>
  </si>
  <si>
    <t>sys-43630650054009088934781285</t>
  </si>
  <si>
    <t>sys-30804181041198996334078135</t>
  </si>
  <si>
    <t>sys-57841470804397608307440168</t>
  </si>
  <si>
    <t>sys-77663977323347043837114531</t>
  </si>
  <si>
    <t>Master Script  Multi-Response</t>
  </si>
  <si>
    <t>sys-00583047029339651481601454</t>
  </si>
  <si>
    <t>sys-23105540726122312640629174</t>
  </si>
  <si>
    <t>sys-97855119888189976487301678</t>
  </si>
  <si>
    <t>sys-52901497404697358511672364</t>
  </si>
  <si>
    <t>sys-61451463693815691204887384</t>
  </si>
  <si>
    <t>Master Script</t>
  </si>
  <si>
    <t>sys-84111742518876497706709970</t>
  </si>
  <si>
    <t>sys-79580951018414323212847889</t>
  </si>
  <si>
    <t>sys-53989910334480486986297280</t>
  </si>
  <si>
    <t>sys-86423128190502862214519457</t>
  </si>
  <si>
    <t>sys-40095903899675663087238779</t>
  </si>
  <si>
    <t>sys-74723744089490611213085433</t>
  </si>
  <si>
    <t>sys-75517495853668825564661186</t>
  </si>
  <si>
    <t>TEST - clearInputTab</t>
  </si>
  <si>
    <t>sys-39579519904862551084757893</t>
  </si>
  <si>
    <t>sys-02561709349424965145056448</t>
  </si>
  <si>
    <t>sys-56538329466380440728146595</t>
  </si>
  <si>
    <t>sys-64586035806362343233087701</t>
  </si>
  <si>
    <t>Headcount Manager Chain</t>
  </si>
  <si>
    <t>sys-96725696385731449091466553</t>
  </si>
  <si>
    <t>sys-16925489179685456605062917</t>
  </si>
  <si>
    <t>TEST -GCN Exec Experience Emai</t>
  </si>
  <si>
    <t>sys-49719980173788105019017245</t>
  </si>
  <si>
    <t>sys-83130305129772629410744897</t>
  </si>
  <si>
    <t>Scrub</t>
  </si>
  <si>
    <t>sys-07342823446307555195052692</t>
  </si>
  <si>
    <t>sys-51281256025958435854294466</t>
  </si>
  <si>
    <t>sys-73908928327405122388160576</t>
  </si>
  <si>
    <t>CreateCustomerDriveDev</t>
  </si>
  <si>
    <t>sys-08067319085971619607597990</t>
  </si>
  <si>
    <t>sys-84299855998464059073611384</t>
  </si>
  <si>
    <t>sys-20224211595858222301998755</t>
  </si>
  <si>
    <t>sys-31038988632965205602673268</t>
  </si>
  <si>
    <t>sortingscriptforbigdeals</t>
  </si>
  <si>
    <t>sys-46781627039544880761935713</t>
  </si>
  <si>
    <t>sys-07273270069319645447794775</t>
  </si>
  <si>
    <t>sys-50418652002053557392123394</t>
  </si>
  <si>
    <t>Clear Details</t>
  </si>
  <si>
    <t>sys-59324103334117279390288689</t>
  </si>
  <si>
    <t>sys-00130408286190381344207589</t>
  </si>
  <si>
    <t>Meetings</t>
  </si>
  <si>
    <t>sys-62622862011764299293361936</t>
  </si>
  <si>
    <t>sys-44835155989093254094560480</t>
  </si>
  <si>
    <t>sys-65857550469105302635252731</t>
  </si>
  <si>
    <t>sys-95449272032328599536833507</t>
  </si>
  <si>
    <t>sys-40278894657117674587869069</t>
  </si>
  <si>
    <t>Count Customer Drives</t>
  </si>
  <si>
    <t>sys-90831503025486046289315815</t>
  </si>
  <si>
    <t>Remittance Data</t>
  </si>
  <si>
    <t>sys-10434181488187063161861550</t>
  </si>
  <si>
    <t>Recorded Macros  Untitled spre</t>
  </si>
  <si>
    <t>sys-10194511454211099556570545</t>
  </si>
  <si>
    <t>DailyRefresh</t>
  </si>
  <si>
    <t>sys-00254200998297914081553919</t>
  </si>
  <si>
    <t>Recorded Macros  Finance WBR</t>
  </si>
  <si>
    <t>sys-65023202539603231937149803</t>
  </si>
  <si>
    <t>sys-28206632423902943689989567</t>
  </si>
  <si>
    <t>ICS Parser</t>
  </si>
  <si>
    <t>sys-21566711234441395186566679</t>
  </si>
  <si>
    <t>sys-99928057761811337227102746</t>
  </si>
  <si>
    <t>Import Account Health</t>
  </si>
  <si>
    <t>sys-98629391290781462049635037</t>
  </si>
  <si>
    <t>sys-34558265119446108834745889</t>
  </si>
  <si>
    <t>Finance Remittance Data</t>
  </si>
  <si>
    <t>sys-82811726476687428088505178</t>
  </si>
  <si>
    <t>sys-38197402574858690083978561</t>
  </si>
  <si>
    <t>Copy of Copy of Copy of MailMe</t>
  </si>
  <si>
    <t>sys-61796113958846461205000228</t>
  </si>
  <si>
    <t>Finance Data</t>
  </si>
  <si>
    <t>sys-52608626449403506149645164</t>
  </si>
  <si>
    <t>sys-43672641766239938870020038</t>
  </si>
  <si>
    <t>sys-12258680086417087151322758</t>
  </si>
  <si>
    <t>sys-22379783416960784855815955</t>
  </si>
  <si>
    <t>sys-69183040238282061888742670</t>
  </si>
  <si>
    <t>sys-62650357819495825138962065</t>
  </si>
  <si>
    <t>UpdateForm</t>
  </si>
  <si>
    <t>sys-99179428531436301017108398</t>
  </si>
  <si>
    <t>sys-55930710656636649899200280</t>
  </si>
  <si>
    <t>CountingCells</t>
  </si>
  <si>
    <t>sys-18087113715110736674580020</t>
  </si>
  <si>
    <t>sys-46031023643544476981014838</t>
  </si>
  <si>
    <t>sys-18386396909951445105319803</t>
  </si>
  <si>
    <t>sys-50185208772061995492940765</t>
  </si>
  <si>
    <t>sys-62704971986647354860152638</t>
  </si>
  <si>
    <t>sys-43539474321069783626178174</t>
  </si>
  <si>
    <t>sys-89908322711946970061938814</t>
  </si>
  <si>
    <t>Reservation Emails</t>
  </si>
  <si>
    <t>sys-06134653404251229123085814</t>
  </si>
  <si>
    <t>sys-20846423928355354415275475</t>
  </si>
  <si>
    <t>sys-86134309057875427972517767</t>
  </si>
  <si>
    <t>sys-75628296083107153827366492</t>
  </si>
  <si>
    <t>JD Tracker</t>
  </si>
  <si>
    <t>sys-80161256023802310844426905</t>
  </si>
  <si>
    <t>sys-23765565915876843212913930</t>
  </si>
  <si>
    <t>sys-42748469733347604827714146</t>
  </si>
  <si>
    <t>sys-08825497024699912003505704</t>
  </si>
  <si>
    <t>Translate Google Slide</t>
  </si>
  <si>
    <t>sys-93840625291777242498761191</t>
  </si>
  <si>
    <t>Time Log</t>
  </si>
  <si>
    <t>sys-21637435975740282463269241</t>
  </si>
  <si>
    <t>Recorded Macros  HUB User Acco</t>
  </si>
  <si>
    <t>sys-72948360590671475843490465</t>
  </si>
  <si>
    <t>sys-91542278601827473357600958</t>
  </si>
  <si>
    <t>sys-88753073374609140480862170</t>
  </si>
  <si>
    <t>Recorded Macros  Federal Reser</t>
  </si>
  <si>
    <t>sys-42241545074940557731154818</t>
  </si>
  <si>
    <t>CreateCustomerDrive</t>
  </si>
  <si>
    <t>sys-54279913660492323698706958</t>
  </si>
  <si>
    <t>sys-20454728445108083934814794</t>
  </si>
  <si>
    <t>sys-66229830885931222719932968</t>
  </si>
  <si>
    <t>sys-85831828538401408580715037</t>
  </si>
  <si>
    <t>sys-08397783867361533819250510</t>
  </si>
  <si>
    <t>sys-26675094054155426675971762</t>
  </si>
  <si>
    <t>sys-70148045912246418866516042</t>
  </si>
  <si>
    <t>sys-99206130767418830071443183</t>
  </si>
  <si>
    <t>Jimbotron</t>
  </si>
  <si>
    <t>sys-25244405847716624048732316</t>
  </si>
  <si>
    <t>Nurture Performance Project</t>
  </si>
  <si>
    <t>sys-49660886082718319021249353</t>
  </si>
  <si>
    <t>sys-72911439581159089617165031</t>
  </si>
  <si>
    <t>sys-86929748663459228652914232</t>
  </si>
  <si>
    <t>VOCNotion2GPT</t>
  </si>
  <si>
    <t>sys-94111373142402251316854867</t>
  </si>
  <si>
    <t>scout-notifications-feedback</t>
  </si>
  <si>
    <t>sys-73062475412413367664914486</t>
  </si>
  <si>
    <t>sys-47561494756520177128519273</t>
  </si>
  <si>
    <t>sys-83306540266556426786523664</t>
  </si>
  <si>
    <t>Update Roadmap</t>
  </si>
  <si>
    <t>sys-77141428579713314193407468</t>
  </si>
  <si>
    <t>sys-27742333651498111352324679</t>
  </si>
  <si>
    <t>sys-68198770212938662236000288</t>
  </si>
  <si>
    <t>Save AR Attachments</t>
  </si>
  <si>
    <t>sys-32892874541088371286310288</t>
  </si>
  <si>
    <t>sys-52179728637341873983275126</t>
  </si>
  <si>
    <t>sys-96278077455955874898701461</t>
  </si>
  <si>
    <t>sys-76755339503742013078838970</t>
  </si>
  <si>
    <t>sys-33249834297801406721365050</t>
  </si>
  <si>
    <t>sys-09682570999932533155713956</t>
  </si>
  <si>
    <t>sys-23272728959369547966496771</t>
  </si>
  <si>
    <t>sys-84934943434821949957345718</t>
  </si>
  <si>
    <t>sys-53959878881063894747732033</t>
  </si>
  <si>
    <t>sys-39967599169058379077631870</t>
  </si>
  <si>
    <t>sys-50189863323072392447259347</t>
  </si>
  <si>
    <t>Create Tabs</t>
  </si>
  <si>
    <t>sys-75244108251523481628669400</t>
  </si>
  <si>
    <t>sys-41407275284365734442460720</t>
  </si>
  <si>
    <t>LOA</t>
  </si>
  <si>
    <t>sys-70783220156475917489835574</t>
  </si>
  <si>
    <t>sys-93720493930848437083605939</t>
  </si>
  <si>
    <t>sys-80179099015074274914137254</t>
  </si>
  <si>
    <t>JFrog Filter</t>
  </si>
  <si>
    <t>sys-40958130688555802605512220</t>
  </si>
  <si>
    <t>sys-72024540975616520918334198</t>
  </si>
  <si>
    <t>Filter Sheets</t>
  </si>
  <si>
    <t>sys-45661856997279627653950335</t>
  </si>
  <si>
    <t>sys-66479436093184881743897257</t>
  </si>
  <si>
    <t>sys-82560905396327000912610156</t>
  </si>
  <si>
    <t>sys-24417574754596110801770588</t>
  </si>
  <si>
    <t>sys-91973293881980952584188643</t>
  </si>
  <si>
    <t>sys-94897688257518221279195573</t>
  </si>
  <si>
    <t>sys-96815926268851326666458718</t>
  </si>
  <si>
    <t>sys-68061075821120624473460511</t>
  </si>
  <si>
    <t>sys-50052829146640176690633215</t>
  </si>
  <si>
    <t>sys-22148349262304544283985416</t>
  </si>
  <si>
    <t>sys-35418842725211881085837952</t>
  </si>
  <si>
    <t>sys-06033396983781395279437719</t>
  </si>
  <si>
    <t>sys-94040318440922479015396893</t>
  </si>
  <si>
    <t>sys-32359022618251129344110582</t>
  </si>
  <si>
    <t>GetHexcolors</t>
  </si>
  <si>
    <t>sys-61246765908237234638980536</t>
  </si>
  <si>
    <t>sys-79509672192304195466545941</t>
  </si>
  <si>
    <t>sys-49836092062997068813039255</t>
  </si>
  <si>
    <t>sys-36826180929679557049993248</t>
  </si>
  <si>
    <t>sys-11384972530950568588221337</t>
  </si>
  <si>
    <t>sys-62198998767859968810767660</t>
  </si>
  <si>
    <t>sys-68988711119135034152261098</t>
  </si>
  <si>
    <t>sys-48299038644586969931179415</t>
  </si>
  <si>
    <t>sys-30632525343001618472110319</t>
  </si>
  <si>
    <t>sys-57009737022675321603813046</t>
  </si>
  <si>
    <t>sys-25011347632887118127080404</t>
  </si>
  <si>
    <t>sys-78743967689619226549179322</t>
  </si>
  <si>
    <t>sys-16134677614556095063851667</t>
  </si>
  <si>
    <t>sys-08853991109041544453194082</t>
  </si>
  <si>
    <t>ReadColors</t>
  </si>
  <si>
    <t>sys-16995970509312886553776198</t>
  </si>
  <si>
    <t>sys-77620273507679009736923341</t>
  </si>
  <si>
    <t>sys-67263749481980674657394827</t>
  </si>
  <si>
    <t>sys-46074712755220291510323208</t>
  </si>
  <si>
    <t>sys-08472415342003965288279215</t>
  </si>
  <si>
    <t>sys-36739942673604352101838998</t>
  </si>
  <si>
    <t>CP Vacation</t>
  </si>
  <si>
    <t>sys-25781996516480266123756900</t>
  </si>
  <si>
    <t>sys-14503615022267225000429903</t>
  </si>
  <si>
    <t>Marketing Plans</t>
  </si>
  <si>
    <t>sys-81214545332739781213679907</t>
  </si>
  <si>
    <t>sys-14216878907900465511688957</t>
  </si>
  <si>
    <t>sys-57598873241362050639801973</t>
  </si>
  <si>
    <t>Renewals Script</t>
  </si>
  <si>
    <t>sys-52387505974905641333221407</t>
  </si>
  <si>
    <t>sys-73107357124008299303564440</t>
  </si>
  <si>
    <t>sys-92150819905026491279783289</t>
  </si>
  <si>
    <t>sys-02527902056157605317818633</t>
  </si>
  <si>
    <t>Budget Scripts</t>
  </si>
  <si>
    <t>sys-78487211953576565943302678</t>
  </si>
  <si>
    <t>sys-47541637149483896047119321</t>
  </si>
  <si>
    <t>sys-70658245636841045512851070</t>
  </si>
  <si>
    <t>sys-31996251513499845411023710</t>
  </si>
  <si>
    <t>sys-54212933450318386081205147</t>
  </si>
  <si>
    <t>Recorded Macros  Requested int</t>
  </si>
  <si>
    <t>sys-76549205475462193554923429</t>
  </si>
  <si>
    <t>Coefficient Template Scripts</t>
  </si>
  <si>
    <t>sys-50196792382893143945486404</t>
  </si>
  <si>
    <t>sys-38476587425102677678349138</t>
  </si>
  <si>
    <t>sys-51905456105510779622317193</t>
  </si>
  <si>
    <t>sys-38847665863474749421271925</t>
  </si>
  <si>
    <t>sys-00182697699461771909531186</t>
  </si>
  <si>
    <t>CLI Feedback</t>
  </si>
  <si>
    <t>sys-71820690874704927625827819</t>
  </si>
  <si>
    <t>sys-61443808998771025661183824</t>
  </si>
  <si>
    <t>Docker Feedback</t>
  </si>
  <si>
    <t>sys-92585522810790236493987821</t>
  </si>
  <si>
    <t>sys-54902042340221471125889628</t>
  </si>
  <si>
    <t>sys-32324394323712193438928228</t>
  </si>
  <si>
    <t>sys-82470742884221848471159162</t>
  </si>
  <si>
    <t>Sync Personal Calendar</t>
  </si>
  <si>
    <t>sys-49071787554281221680571147</t>
  </si>
  <si>
    <t>sys-80714503135821064832658788</t>
  </si>
  <si>
    <t>sys-80703536654854553477826351</t>
  </si>
  <si>
    <t>Multi-select Dropdown Script</t>
  </si>
  <si>
    <t>sys-94919589630958270399919884</t>
  </si>
  <si>
    <t>sys-40771861711458499949202994</t>
  </si>
  <si>
    <t>Feedback from Docker Desktop S</t>
  </si>
  <si>
    <t>sys-66705517805008092450148997</t>
  </si>
  <si>
    <t>sys-87494129933859197282874397</t>
  </si>
  <si>
    <t>Automate Calendar</t>
  </si>
  <si>
    <t>sys-64922360425062263870951188</t>
  </si>
  <si>
    <t>Report Phishing Button</t>
  </si>
  <si>
    <t>sys-59009652626756537433745867</t>
  </si>
  <si>
    <t>Report Phishing  Testing</t>
  </si>
  <si>
    <t>sys-12084579406056173380434105</t>
  </si>
  <si>
    <t>sys-01638386612044947656793964</t>
  </si>
  <si>
    <t>Integration votes</t>
  </si>
  <si>
    <t>sys-67969816203379567426621947</t>
  </si>
  <si>
    <t>sys-15335306231508224280176590</t>
  </si>
  <si>
    <t>Request integrations form</t>
  </si>
  <si>
    <t>sys-37323207144389386829336793</t>
  </si>
  <si>
    <t>Forward As Attachment</t>
  </si>
  <si>
    <t>sys-65233326244217422189604803</t>
  </si>
  <si>
    <t>sys-40609394977501579970258765</t>
  </si>
  <si>
    <t>sys-52178572463650865918106394</t>
  </si>
  <si>
    <t>Integrations feedback</t>
  </si>
  <si>
    <t>sys-80013446365381452529596798</t>
  </si>
  <si>
    <t>sys-81587948329686453360652304</t>
  </si>
  <si>
    <t>sys-24200779976617687116069734</t>
  </si>
  <si>
    <t>Single Formula Calendar</t>
  </si>
  <si>
    <t>sys-34185103835809894602387585</t>
  </si>
  <si>
    <t>sys-79124658358226626377623340</t>
  </si>
  <si>
    <t>GetWeeklyNotionDB</t>
  </si>
  <si>
    <t>sys-68994566678359634946297720</t>
  </si>
  <si>
    <t>pullPromotions</t>
  </si>
  <si>
    <t>sys-12793903835898179620308667</t>
  </si>
  <si>
    <t>Teminations MEI</t>
  </si>
  <si>
    <t>sys-03838081333007714267041237</t>
  </si>
  <si>
    <t>sys-71244003081593858382040304</t>
  </si>
  <si>
    <t>sys-01800124951543603380473589</t>
  </si>
  <si>
    <t>sys-31139090281677440718562903</t>
  </si>
  <si>
    <t>sys-05818268573161905027810199</t>
  </si>
  <si>
    <t>sys-32990832139192825076079423</t>
  </si>
  <si>
    <t>sys-75426313129853781491491376</t>
  </si>
  <si>
    <t>Test</t>
  </si>
  <si>
    <t>sys-22272971980952752826994484</t>
  </si>
  <si>
    <t>RoadmapDiff</t>
  </si>
  <si>
    <t>sys-94189549674432674887383777</t>
  </si>
  <si>
    <t>BambooDataHistory</t>
  </si>
  <si>
    <t>sys-90608524796092954978825697</t>
  </si>
  <si>
    <t>sys-14349268503706676305769988</t>
  </si>
  <si>
    <t>sys-09840398007083540784062319</t>
  </si>
  <si>
    <t>sys-14071475638271318795403473</t>
  </si>
  <si>
    <t>sys-52743295775958384518867548</t>
  </si>
  <si>
    <t>sys-33002470822969035830702285</t>
  </si>
  <si>
    <t>sys-66441235119073966385170657</t>
  </si>
  <si>
    <t>GetData</t>
  </si>
  <si>
    <t>sys-46086281570851752976931016</t>
  </si>
  <si>
    <t>scout-dashboard-feedback</t>
  </si>
  <si>
    <t>sys-15202843221504596207563138</t>
  </si>
  <si>
    <t>sys-81594565174598952640613033</t>
  </si>
  <si>
    <t>sys-00557112575443590387343361</t>
  </si>
  <si>
    <t>sys-97153276985005714621381740</t>
  </si>
  <si>
    <t>sys-72064862225946553617579686</t>
  </si>
  <si>
    <t>sys-78637155045144843719860736</t>
  </si>
  <si>
    <t>sys-07376893175288256409029836</t>
  </si>
  <si>
    <t>Copy of GAS-ICS-Sync</t>
  </si>
  <si>
    <t>sys-98779421344383583510577639</t>
  </si>
  <si>
    <t>sys-86996638272122795828829132</t>
  </si>
  <si>
    <t>sys-72269846741845805350135253</t>
  </si>
  <si>
    <t>sys-17825517394405786509977515</t>
  </si>
  <si>
    <t>sys-41862432326146225550332426</t>
  </si>
  <si>
    <t>sys-66070461490441819682064535</t>
  </si>
  <si>
    <t>sys-50563969492872242754279108</t>
  </si>
  <si>
    <t>sys-94124259833878754298701716</t>
  </si>
  <si>
    <t>Recorded Macros  Get-started d</t>
  </si>
  <si>
    <t>sys-65654837587937282277690459</t>
  </si>
  <si>
    <t>sys-90383642500225908129118753</t>
  </si>
  <si>
    <t>kanoSurveyScript</t>
  </si>
  <si>
    <t>sys-93616368026233732455612601</t>
  </si>
  <si>
    <t>sys-67672945323332269391370419</t>
  </si>
  <si>
    <t>sys-57323733444682014810212060</t>
  </si>
  <si>
    <t>sys-44580144916297112858324459</t>
  </si>
  <si>
    <t>Hub feedback to slack  image a</t>
  </si>
  <si>
    <t>sys-49952655398108766734357840</t>
  </si>
  <si>
    <t>Looker Import</t>
  </si>
  <si>
    <t>sys-52336583926787475630792432</t>
  </si>
  <si>
    <t>sys-00924217380474177514545916</t>
  </si>
  <si>
    <t>sys-75069407909908960441666802</t>
  </si>
  <si>
    <t>Marketplace malicious reportin</t>
  </si>
  <si>
    <t>sys-77405408312724233760597246</t>
  </si>
  <si>
    <t>sys-73212719506234365885754171</t>
  </si>
  <si>
    <t>sys-83739033245581104901144770</t>
  </si>
  <si>
    <t>sys-27643198798441680215347778</t>
  </si>
  <si>
    <t>Zoom Personal Meeting ID Updat</t>
  </si>
  <si>
    <t>sys-55072384693613311285630390</t>
  </si>
  <si>
    <t>sys-60173227103795397578322835</t>
  </si>
  <si>
    <t>sys-00114519606370631390424512</t>
  </si>
  <si>
    <t>sys-92627517798131024547004822</t>
  </si>
  <si>
    <t>sys-72352586472847894050690658</t>
  </si>
  <si>
    <t>sys-85181556830069092398259062</t>
  </si>
  <si>
    <t>sys-20085613652540508399759556</t>
  </si>
  <si>
    <t>Voting</t>
  </si>
  <si>
    <t>sys-19453466118817638998296324</t>
  </si>
  <si>
    <t>sys-51005544206783505928200509</t>
  </si>
  <si>
    <t>Feedback to slack</t>
  </si>
  <si>
    <t>sys-68850579590944460204945837</t>
  </si>
  <si>
    <t>sys-19418859420478216297591295</t>
  </si>
  <si>
    <t>Exec Dashboard Looker Import</t>
  </si>
  <si>
    <t>sys-09785650576711250079648674</t>
  </si>
  <si>
    <t>sys-66445276952146453692602227</t>
  </si>
  <si>
    <t>ext-resources-usage</t>
  </si>
  <si>
    <t>sys-07614003186006004775008634</t>
  </si>
  <si>
    <t>sys-42530454951875368639856133</t>
  </si>
  <si>
    <t>sys-47313773376547568090368812</t>
  </si>
  <si>
    <t>sys-97257399907874202254838795</t>
  </si>
  <si>
    <t>sys-77994160043555333355200113</t>
  </si>
  <si>
    <t>sys-84840133790575607331295155</t>
  </si>
  <si>
    <t>sys-61818022914691528958902069</t>
  </si>
  <si>
    <t>sys-39956809799953334958432544</t>
  </si>
  <si>
    <t>sys-19136024377452463497616618</t>
  </si>
  <si>
    <t>sys-09996997821650141898400773</t>
  </si>
  <si>
    <t>sys-01046828171945018496367695</t>
  </si>
  <si>
    <t>Madlibs offsite kyi lightning</t>
  </si>
  <si>
    <t>sys-16576015910282731169702068</t>
  </si>
  <si>
    <t>sys-78572659370152899137898182</t>
  </si>
  <si>
    <t>extensions-requests</t>
  </si>
  <si>
    <t>sys-90602360154354410104798155</t>
  </si>
  <si>
    <t>containerd-feedback</t>
  </si>
  <si>
    <t>sys-72267391869653887179435423</t>
  </si>
  <si>
    <t>ext-volumes-backup-share</t>
  </si>
  <si>
    <t>sys-46689907683369447837775423</t>
  </si>
  <si>
    <t>sys-74976110482122835490272406</t>
  </si>
  <si>
    <t>dev velocity pull requests</t>
  </si>
  <si>
    <t>sys-67921980455399847723155288</t>
  </si>
  <si>
    <t>ext-disk-usage-feedback</t>
  </si>
  <si>
    <t>sys-16931396651602184855848722</t>
  </si>
  <si>
    <t>Multi-Selection</t>
  </si>
  <si>
    <t>sys-09006030915260837309869632</t>
  </si>
  <si>
    <t>ext-logs-explorer-feedback</t>
  </si>
  <si>
    <t>sys-90486392817454295738511851</t>
  </si>
  <si>
    <t>Feedback v2 homepage</t>
  </si>
  <si>
    <t>sys-06245963217326583996512954</t>
  </si>
  <si>
    <t>Docker Dashboard feedback</t>
  </si>
  <si>
    <t>sys-48209688920318619065194430</t>
  </si>
  <si>
    <t>Output google sheet responses</t>
  </si>
  <si>
    <t>sys-13610950485862608914654628</t>
  </si>
  <si>
    <t>Extensions Feedback</t>
  </si>
  <si>
    <t>sys-55849198463291070200984256</t>
  </si>
  <si>
    <t>Send forms response to slack</t>
  </si>
  <si>
    <t>sys-29866195738434886872659729</t>
  </si>
  <si>
    <t>sys-95862923701417141568896510</t>
  </si>
  <si>
    <t>Google forms feedback on inter</t>
  </si>
  <si>
    <t>sys-69535808646942570239519393</t>
  </si>
  <si>
    <t>Untitled</t>
  </si>
  <si>
    <t>sys-19738278559064384376530395</t>
  </si>
  <si>
    <t>sys-86396932796598108032188581</t>
  </si>
  <si>
    <t>sys-54819868604934646065866698</t>
  </si>
  <si>
    <t>sys-00687142573824549843005660</t>
  </si>
  <si>
    <t>sys-49601235327549804386366271</t>
  </si>
  <si>
    <t>sys-60747077920986072550583613</t>
  </si>
  <si>
    <t>sys-34294800456254434626511385</t>
  </si>
  <si>
    <t>sys-45117370408798013464375228</t>
  </si>
  <si>
    <t>sys-39908963931293467867057341</t>
  </si>
  <si>
    <t>sys-35835620749994346771957051</t>
  </si>
  <si>
    <t>sys-26694223298218107169172154</t>
  </si>
  <si>
    <t>sys-50635817939152321731635507</t>
  </si>
  <si>
    <t>sys-84660527484298601903799772</t>
  </si>
  <si>
    <t>sys-22150479188216090384306196</t>
  </si>
  <si>
    <t>sys-48391202085689058108393889</t>
  </si>
  <si>
    <t>sys-96677810995489098370674601</t>
  </si>
  <si>
    <t>sys-33431372241619925656206969</t>
  </si>
  <si>
    <t>sys-77920933806132642086083821</t>
  </si>
  <si>
    <t>sys-76618501383416751205434386</t>
  </si>
  <si>
    <t>sys-66272332149783352350898114</t>
  </si>
  <si>
    <t>sys-40095067862610977615373870</t>
  </si>
  <si>
    <t>sys-55298806242610067573228146</t>
  </si>
  <si>
    <t>sys-04229859190664870681056033</t>
  </si>
  <si>
    <t>sys-70082982318777543452553205</t>
  </si>
  <si>
    <t>sys-92166409910584068284012950</t>
  </si>
  <si>
    <t>sys-50626298978077569748637539</t>
  </si>
  <si>
    <t>sys-34654082784754045956440710</t>
  </si>
  <si>
    <t>sys-37444029488185034872939587</t>
  </si>
  <si>
    <t>sys-39854984886186903097400811</t>
  </si>
  <si>
    <t>sys-61997358222549185351739168</t>
  </si>
  <si>
    <t>sys-49125241562282233913824907</t>
  </si>
  <si>
    <t>sys-14129013022868329832701865</t>
  </si>
  <si>
    <t>sys-53242463368164671083161476</t>
  </si>
  <si>
    <t>sys-37119063154273190023238427</t>
  </si>
  <si>
    <t>sys-76920103432040663729920629</t>
  </si>
  <si>
    <t>sys-49103611152479581919376896</t>
  </si>
  <si>
    <t>sys-88730274836742737674670353</t>
  </si>
  <si>
    <t>sys-54745327219788131633376717</t>
  </si>
  <si>
    <t>Docker SSO Previews</t>
  </si>
  <si>
    <t>sys-12898945486627584322336236</t>
  </si>
  <si>
    <t>Copy of Vacation Calendar</t>
  </si>
  <si>
    <t>sys-24446483178206053936395912</t>
  </si>
  <si>
    <t>sys-42491981691567694942122797</t>
  </si>
  <si>
    <t>sys-86705933304046790155260973</t>
  </si>
  <si>
    <t>Featureflag Form</t>
  </si>
  <si>
    <t>sys-09486185858755372720245292</t>
  </si>
  <si>
    <t>sys-11175930323813868720174579</t>
  </si>
  <si>
    <t>sys-63438574924748960070961158</t>
  </si>
  <si>
    <t>IP Lookup App</t>
  </si>
  <si>
    <t>sys-45141546680408525184604871</t>
  </si>
  <si>
    <t>VanGoghlize Your Calendar</t>
  </si>
  <si>
    <t>sys-19749598203659278110733677</t>
  </si>
  <si>
    <t>sys-02473502518411005488105033</t>
  </si>
  <si>
    <t>IP Address App</t>
  </si>
  <si>
    <t>sys-00671989672380153404721528</t>
  </si>
  <si>
    <t>sys-29207358124246168053224535</t>
  </si>
  <si>
    <t>sys-14910459964415185087600577</t>
  </si>
  <si>
    <t>sys-46872984950851176725786076</t>
  </si>
  <si>
    <t>sys-81487701306440565501108390</t>
  </si>
  <si>
    <t>sys-55590098408097161774622365</t>
  </si>
  <si>
    <t>sys-50469492381524962045926923</t>
  </si>
  <si>
    <t>sys-88118436727709298751861498</t>
  </si>
  <si>
    <t>sys-33318764049685287179493078</t>
  </si>
  <si>
    <t>sys-72732892021149098528735272</t>
  </si>
  <si>
    <t>sys-30614605990026493476949715</t>
  </si>
  <si>
    <t>sys-80738838265012880699286582</t>
  </si>
  <si>
    <t>sys-26733697572443178828007224</t>
  </si>
  <si>
    <t>sys-00416622411113320166968832</t>
  </si>
  <si>
    <t>sys-53940705739693701008282850</t>
  </si>
  <si>
    <t>sys-74992938400836565489844969</t>
  </si>
  <si>
    <t>sys-52418599589009944778753877</t>
  </si>
  <si>
    <t>sys-92068818249923126288918385</t>
  </si>
  <si>
    <t>sys-65796443597578542677183512</t>
  </si>
  <si>
    <t>sys-37403026466434252799507765</t>
  </si>
  <si>
    <t>sys-08996023406330373658638898</t>
  </si>
  <si>
    <t>sys-58650568562663207081759143</t>
  </si>
  <si>
    <t>sys-71686706959223302273509338</t>
  </si>
  <si>
    <t>sys-41803696465401076894730380</t>
  </si>
  <si>
    <t>sys-87110975215436946723990399</t>
  </si>
  <si>
    <t>sys-72667346065993681415600026</t>
  </si>
  <si>
    <t>sys-29296741914456720898104102</t>
  </si>
  <si>
    <t>sys-15898509698607563284475312</t>
  </si>
  <si>
    <t>sys-81283860312359756854728969</t>
  </si>
  <si>
    <t>sys-82548733957958104993975883</t>
  </si>
  <si>
    <t>sys-18792804059040835072540856</t>
  </si>
  <si>
    <t>sys-20838245115433006740536210</t>
  </si>
  <si>
    <t>sys-54347418456815835443471352</t>
  </si>
  <si>
    <t>sys-44232910071714589774919588</t>
  </si>
  <si>
    <t>sys-61893844044530342334677304</t>
  </si>
  <si>
    <t>sys-92543990666393170710312907</t>
  </si>
  <si>
    <t>sys-28633709047244477099797798</t>
  </si>
  <si>
    <t>sys-74345254911223660686380291</t>
  </si>
  <si>
    <t>sys-70420734489956175290407759</t>
  </si>
  <si>
    <t>sys-43723748439891619350542248</t>
  </si>
  <si>
    <t>sys-64847990606275710318823615</t>
  </si>
  <si>
    <t>sys-01059827149446345310705536</t>
  </si>
  <si>
    <t>sys-68224738996952931246505689</t>
  </si>
  <si>
    <t>AMER Forecast</t>
  </si>
  <si>
    <t>sys-05906743184206438562383932</t>
  </si>
  <si>
    <t>sys-22044820790889680773918168</t>
  </si>
  <si>
    <t>sys-73405700669837841851026272</t>
  </si>
  <si>
    <t>sys-25465589907250882952502238</t>
  </si>
  <si>
    <t>sys-41518843673291849891596660</t>
  </si>
  <si>
    <t>sys-80619407945698635586198206</t>
  </si>
  <si>
    <t>sys-85391854796422748591973551</t>
  </si>
  <si>
    <t>sys-76853070643827536233593835</t>
  </si>
  <si>
    <t>Docker Deployment Methodology</t>
  </si>
  <si>
    <t>sys-74667322632118027158922148</t>
  </si>
  <si>
    <t>sys-32026175209592996778924300</t>
  </si>
  <si>
    <t>sys-27699580390981836881168864</t>
  </si>
  <si>
    <t>sys-52354321399609714351113285</t>
  </si>
  <si>
    <t>sys-53907769968045493124227163</t>
  </si>
  <si>
    <t>Indent Text</t>
  </si>
  <si>
    <t>sys-23810841568208839343533344</t>
  </si>
  <si>
    <t>sys-05841276540906032908802685</t>
  </si>
  <si>
    <t>sys-67423229967579791328837428</t>
  </si>
  <si>
    <t>Segment Onboarding Plan Script</t>
  </si>
  <si>
    <t>sys-26138362127941927232325139</t>
  </si>
  <si>
    <t>sys-02344952338587367513048305</t>
  </si>
  <si>
    <t>delete rows</t>
  </si>
  <si>
    <t>sys-63310791732290531664576002</t>
  </si>
  <si>
    <t>sys-57463076556686162057042343</t>
  </si>
  <si>
    <t>sys-34661470397040009638958070</t>
  </si>
  <si>
    <t>Extract</t>
  </si>
  <si>
    <t>sys-92141129298761796353042220</t>
  </si>
  <si>
    <t>Extract E-mail Addresses</t>
  </si>
  <si>
    <t>sys-22614596506199248797819282</t>
  </si>
  <si>
    <t>sys-00921831631050522776351537</t>
  </si>
  <si>
    <t>sys-66607066716650792985304084</t>
  </si>
  <si>
    <t>Get Response Edit LInks</t>
  </si>
  <si>
    <t>sys-98564619757621917373443306</t>
  </si>
  <si>
    <t>sys-61487057894262176863221802</t>
  </si>
  <si>
    <t>sys-89917738238801466792469659</t>
  </si>
  <si>
    <t>sys-54279899371438440217600602</t>
  </si>
  <si>
    <t>sys-58583987661432783991024476</t>
  </si>
  <si>
    <t>sys-36631404499402319352098764</t>
  </si>
  <si>
    <t>Copy of Test</t>
  </si>
  <si>
    <t>sys-27395599789929542815249784</t>
  </si>
  <si>
    <t>sys-90168386838248229853804794</t>
  </si>
  <si>
    <t>sys-37888220677296368701974620</t>
  </si>
  <si>
    <t>sys-07153618251298142282120983</t>
  </si>
  <si>
    <t>sys-33944896512711446975715144</t>
  </si>
  <si>
    <t>Service Template Builder</t>
  </si>
  <si>
    <t>sys-82349038052037623221897424</t>
  </si>
  <si>
    <t>Calendar</t>
  </si>
  <si>
    <t>sys-98611662507982074206108133</t>
  </si>
  <si>
    <t>sys-81555726447584611984767086</t>
  </si>
  <si>
    <t>sys-96390385482021903981757711</t>
  </si>
  <si>
    <t>sys-72056595672823226860643587</t>
  </si>
  <si>
    <t>sys-42682980394965334789470929</t>
  </si>
  <si>
    <t>sys-53522304668100525923956424</t>
  </si>
  <si>
    <t>Service Template</t>
  </si>
  <si>
    <t>sys-28781449143815762596029589</t>
  </si>
  <si>
    <t>PS AMER Forecasts</t>
  </si>
  <si>
    <t>sys-77069582126842052359128744</t>
  </si>
  <si>
    <t>sumColor</t>
  </si>
  <si>
    <t>sys-11011854666483053969634984</t>
  </si>
  <si>
    <t>sys-08804051656415100043927015</t>
  </si>
  <si>
    <t>sys-53297908947256822965492387</t>
  </si>
  <si>
    <t>atomist-build@sandbox-298914.iam.gserviceaccount.com</t>
  </si>
  <si>
    <t>roles/storage.admin</t>
  </si>
  <si>
    <t>chorus-calendar-access@chorus-464720.iam.gserviceaccount.com</t>
  </si>
  <si>
    <t>cloudfront-bq@appspot.gserviceaccount.com</t>
  </si>
  <si>
    <t>docker-gcp-marketplace-listing@docker-public-445216.iam.gserviceaccount.com</t>
  </si>
  <si>
    <t>dockersamples@meetup-demo-384606.iam.gserviceaccount.com</t>
  </si>
  <si>
    <t>github-actions-to-sheets@mikes-on-call-automation.iam.gserviceaccount.com</t>
  </si>
  <si>
    <t>gsuite-service-account@data-team-231118.iam.gserviceaccount.com</t>
  </si>
  <si>
    <t>machine-controller@testcontainers-cloud.iam.gserviceaccount.com</t>
  </si>
  <si>
    <t>onboard@onboard-321212.iam.gserviceaccount.com</t>
  </si>
  <si>
    <t>pulumi@sandbox-298914.iam.gserviceaccount.com</t>
  </si>
  <si>
    <t>service-580497323773@containerregistry.iam.gserviceaccount.com</t>
  </si>
  <si>
    <t>sheets-uploader-jasper@sustaining-issues-dashboard.iam.gserviceaccount.com</t>
  </si>
  <si>
    <t>terraform@sandbox-298914.iam.gserviceaccount.com</t>
  </si>
  <si>
    <t>zoompersonalmeetingidspreadshe@gam-project-xb6-drw-v6z.iam.gserviceaccount.com</t>
  </si>
  <si>
    <t>User Name</t>
  </si>
  <si>
    <t>User Email</t>
  </si>
  <si>
    <t>User Is Disabled (Yes / No)</t>
  </si>
  <si>
    <t>Is Active Employee</t>
  </si>
  <si>
    <t>User Created Date</t>
  </si>
  <si>
    <t>Last UI Login Date</t>
  </si>
  <si>
    <t>User Role Role List</t>
  </si>
  <si>
    <t>Team Extensions Service Account</t>
  </si>
  <si>
    <t>guillaume.tardif+looker_service@docker.com</t>
  </si>
  <si>
    <t>Docker for Desktops Read Only,Gemini,Universal Viewer</t>
  </si>
  <si>
    <t>Login with API</t>
  </si>
  <si>
    <t>Looker Panther Service User</t>
  </si>
  <si>
    <t>panther-looker-integration@docker.com</t>
  </si>
  <si>
    <t>Gemini,Panther Logs Integration,Universal Viewer</t>
  </si>
  <si>
    <t>svc-coefficient@docker.com</t>
  </si>
  <si>
    <t>Finance User,Gemini,Marketing SalesOps User,Product User</t>
  </si>
  <si>
    <t>Employees flag as FALSE are mostly external consultants</t>
  </si>
  <si>
    <t>Exit Script Service Account</t>
  </si>
  <si>
    <t>svc-exit-script+looker@docker.com</t>
  </si>
  <si>
    <t>Admin,Gemini,Universal Viewer</t>
  </si>
  <si>
    <t>Anecdotes User</t>
  </si>
  <si>
    <t>svc-infosec+anecdotes@docker.com</t>
  </si>
  <si>
    <t>Anecdotes Integration Role,Gemini,Universal Viewer</t>
  </si>
  <si>
    <t>temp_hackathon_service@docker.com</t>
  </si>
  <si>
    <t>Core Monitor User,Gemini,Universal Viewer</t>
  </si>
  <si>
    <t>Skalable Tech</t>
  </si>
  <si>
    <t>Gemini,ProductivRole,Universal Viewer</t>
  </si>
  <si>
    <t>JT Ibe</t>
  </si>
  <si>
    <t>jt.ibe@docker.com</t>
  </si>
  <si>
    <t>Gemini,Universal Viewer</t>
  </si>
  <si>
    <t>Amn Rahman</t>
  </si>
  <si>
    <t>Admin,Central Data Dev,Central Data User,Core Monitor Dev,Core Monitor User,Gemini,Universal Viewer</t>
  </si>
  <si>
    <t>Luke Sowinski</t>
  </si>
  <si>
    <t>Paweł Gronowski</t>
  </si>
  <si>
    <t>Gemini,Product User,Universal Viewer</t>
  </si>
  <si>
    <t>Jamie Newell</t>
  </si>
  <si>
    <t>Laurent Goderre</t>
  </si>
  <si>
    <t>Derek McGowan</t>
  </si>
  <si>
    <t>Gemini,Product User</t>
  </si>
  <si>
    <t>Mahesan Param</t>
  </si>
  <si>
    <t>mahesan_param@docker.com</t>
  </si>
  <si>
    <t>Nicole Tiu</t>
  </si>
  <si>
    <t>nicole_tiu@docker.com</t>
  </si>
  <si>
    <t>Gabriele Di Bernardo</t>
  </si>
  <si>
    <t>Chris Yee</t>
  </si>
  <si>
    <t>Jonathan Dieu</t>
  </si>
  <si>
    <t>Mark Higson</t>
  </si>
  <si>
    <t>Kathleen Swift</t>
  </si>
  <si>
    <t>Voon Yee</t>
  </si>
  <si>
    <t>voon_yee@docker.com</t>
  </si>
  <si>
    <t>Gurleen Sethi</t>
  </si>
  <si>
    <t>Oleg Šelajev</t>
  </si>
  <si>
    <t>Philippe Charrière</t>
  </si>
  <si>
    <t>Austin Berry</t>
  </si>
  <si>
    <t>Sylvialynn Favello</t>
  </si>
  <si>
    <t>Derek Misler</t>
  </si>
  <si>
    <t>Maria O'Clair</t>
  </si>
  <si>
    <t>Monica Chao</t>
  </si>
  <si>
    <t>Ian Miller</t>
  </si>
  <si>
    <t>SuzAnne Sullivan</t>
  </si>
  <si>
    <t>Travis Roth</t>
  </si>
  <si>
    <t>Central Data User,Gemini,Marketing SalesOps User,Universal Viewer</t>
  </si>
  <si>
    <t>Leslie Hopp</t>
  </si>
  <si>
    <t>Finance User,Gemini,Universal Viewer</t>
  </si>
  <si>
    <t>Rodny Molina</t>
  </si>
  <si>
    <t>Aaron Cordova</t>
  </si>
  <si>
    <t>Anita Dzre</t>
  </si>
  <si>
    <t>Gemini,Hub User,IT User,Product User,Universal Viewer</t>
  </si>
  <si>
    <t>Nicolas de Loof</t>
  </si>
  <si>
    <t>Gemini,Product User,Product Viewer + Sql Runner,Universal Viewer</t>
  </si>
  <si>
    <t>Ola Prokhorova</t>
  </si>
  <si>
    <t>Admin,Central Data Dev,Gemini,Universal Viewer</t>
  </si>
  <si>
    <t>DVP User,Finance User,Gemini,Hub User,Product User,Universal Viewer</t>
  </si>
  <si>
    <t>data-engineering-team@docker.com</t>
  </si>
  <si>
    <t>Admin,Core Monitor User,Gemini,Universal Viewer</t>
  </si>
  <si>
    <t>Jarris Wilkins</t>
  </si>
  <si>
    <t>Gemini,Marketing SalesOps User,Universal Viewer</t>
  </si>
  <si>
    <t>Beck Matuszek</t>
  </si>
  <si>
    <t>Vincent Damery</t>
  </si>
  <si>
    <t>Olga Diachkova</t>
  </si>
  <si>
    <t>Daniel Kolev</t>
  </si>
  <si>
    <t>DVP User,Gemini,Product User,Universal Viewer</t>
  </si>
  <si>
    <t>Niklas Lotte</t>
  </si>
  <si>
    <t>Cesar Talledo</t>
  </si>
  <si>
    <t>Abi-Drey Totow</t>
  </si>
  <si>
    <t>Chris Kenna</t>
  </si>
  <si>
    <t>Peiwen Siew</t>
  </si>
  <si>
    <t>peiwen_siew@docker.com</t>
  </si>
  <si>
    <t>Benjamin Abarzua</t>
  </si>
  <si>
    <t>ben_abarzua@docker.com</t>
  </si>
  <si>
    <t>Christian Farris</t>
  </si>
  <si>
    <t>Gemini,Marketing SalesOps User,Product User,Universal Viewer</t>
  </si>
  <si>
    <t>Kanwalpreet Kaur</t>
  </si>
  <si>
    <t>Luca Druda</t>
  </si>
  <si>
    <t>Sarah Sanders</t>
  </si>
  <si>
    <t>Sebastiaan van Stijn</t>
  </si>
  <si>
    <t>Bjorn Neergaard</t>
  </si>
  <si>
    <t>David Gageot</t>
  </si>
  <si>
    <t>Matt Zagers</t>
  </si>
  <si>
    <t>Zachar Kotler</t>
  </si>
  <si>
    <t>Aaron Bost</t>
  </si>
  <si>
    <t>Faith Kam</t>
  </si>
  <si>
    <t>Iain Camacho</t>
  </si>
  <si>
    <t>Gemini,Product Dev,Universal Viewer</t>
  </si>
  <si>
    <t>Bobby House</t>
  </si>
  <si>
    <t>Finance Dev,Gemini,Universal Viewer</t>
  </si>
  <si>
    <t>Alba Roza</t>
  </si>
  <si>
    <t>Guillaume St-Pierre</t>
  </si>
  <si>
    <t>DVP User,Gemini,Marketing SalesOps User,Product Dev,Universal Viewer</t>
  </si>
  <si>
    <t>Javier Alonso</t>
  </si>
  <si>
    <t>Nick Sieger</t>
  </si>
  <si>
    <t>Chris Maki</t>
  </si>
  <si>
    <t>Finance User,Gemini,Product User,Universal Viewer</t>
  </si>
  <si>
    <t>Matthias Schrödl</t>
  </si>
  <si>
    <t>Dalin Stone</t>
  </si>
  <si>
    <t>Gemini,Marketing SalesOps User,Product User,SalesOps Viewer + SQL Runner,Universal Viewer</t>
  </si>
  <si>
    <t>Sean Brady</t>
  </si>
  <si>
    <t>Ozair Asim</t>
  </si>
  <si>
    <t>Becca Soch</t>
  </si>
  <si>
    <t>Cameron James</t>
  </si>
  <si>
    <t>Chaimaa Zegoumou</t>
  </si>
  <si>
    <t>Alberto García Hierro</t>
  </si>
  <si>
    <t>Gemini,Universal Viewer,User Plus System Activity</t>
  </si>
  <si>
    <t>Lucas Bernalte Pérez</t>
  </si>
  <si>
    <t>DVP User,Gemini,Product Dev,Universal Viewer</t>
  </si>
  <si>
    <t>Tim Horton</t>
  </si>
  <si>
    <t>Amanda Maderic</t>
  </si>
  <si>
    <t>Scott Musson</t>
  </si>
  <si>
    <t>Faten Hassan</t>
  </si>
  <si>
    <t>faten_hassan@docker.com</t>
  </si>
  <si>
    <t>Sundeep Gottipati</t>
  </si>
  <si>
    <t>Luciano Ciccariello</t>
  </si>
  <si>
    <t>Joseph Ferguson</t>
  </si>
  <si>
    <t>Craig Gumbley</t>
  </si>
  <si>
    <t>Eva Bojorges Rodriguez</t>
  </si>
  <si>
    <t>Varun Kapoor</t>
  </si>
  <si>
    <t>Chase Frankenfeld</t>
  </si>
  <si>
    <t>Andreas Heck</t>
  </si>
  <si>
    <t>Eli Aleyner</t>
  </si>
  <si>
    <t>elia.aleyner@docker.com</t>
  </si>
  <si>
    <t>Gavin Timbrell</t>
  </si>
  <si>
    <t>Misty Martin-Zimmerman</t>
  </si>
  <si>
    <t>Asel Vazirova</t>
  </si>
  <si>
    <t>Craig Osterhout</t>
  </si>
  <si>
    <t>Jackie Frederick</t>
  </si>
  <si>
    <t>jackie.frederick@docker.com</t>
  </si>
  <si>
    <t>Eddie Harrison</t>
  </si>
  <si>
    <t>Finance User,Gemini,Marketing SalesOps Dev,Product User,Universal Viewer</t>
  </si>
  <si>
    <t>John H. Ayub</t>
  </si>
  <si>
    <t>JP Heitz</t>
  </si>
  <si>
    <t>yongzhu_lai@docker.com</t>
  </si>
  <si>
    <t>Cezar Cezar-George</t>
  </si>
  <si>
    <t>Michalis Michaloliakos</t>
  </si>
  <si>
    <t>Nico Beck</t>
  </si>
  <si>
    <t>Nurul Syakirah</t>
  </si>
  <si>
    <t>nurul_syakirah@docker.com</t>
  </si>
  <si>
    <t>Ekaterina Tugarinova</t>
  </si>
  <si>
    <t>Kirill Merkushev</t>
  </si>
  <si>
    <t>David Sokoloff</t>
  </si>
  <si>
    <t>Albin Kerouanton</t>
  </si>
  <si>
    <t>Chris Barker</t>
  </si>
  <si>
    <t>Christopher Petito</t>
  </si>
  <si>
    <t>Kek Chee Young</t>
  </si>
  <si>
    <t>kek_cheeyoung@docker.com</t>
  </si>
  <si>
    <t>Alano Terblanche</t>
  </si>
  <si>
    <t>Kavindira Amarendiran</t>
  </si>
  <si>
    <t>Bryan Chan</t>
  </si>
  <si>
    <t>bryan_chan@docker.com</t>
  </si>
  <si>
    <t>Eddú Meléndez Gonzales</t>
  </si>
  <si>
    <t>Daniel Royalty</t>
  </si>
  <si>
    <t>Tonis Tiigi</t>
  </si>
  <si>
    <t>William Lambert</t>
  </si>
  <si>
    <t>Catherine Bendebury</t>
  </si>
  <si>
    <t>Core Monitor Dev,DVP Dev,Finance User,Gemini,Hub User,Marketing SalesOps User,Product Dev,Product User,Product Viewer + Sql Runner,Universal Viewer</t>
  </si>
  <si>
    <t>Jeff Schmitt</t>
  </si>
  <si>
    <t>Manuel de la Peña</t>
  </si>
  <si>
    <t>Sergio Garcez</t>
  </si>
  <si>
    <t>Keirah Dein</t>
  </si>
  <si>
    <t>Mat Wilson</t>
  </si>
  <si>
    <t>DVP User,Finance User,Gemini,Product User,Universal Viewer</t>
  </si>
  <si>
    <t>Matt Irick</t>
  </si>
  <si>
    <t>Motoki Nakamura</t>
  </si>
  <si>
    <t>Admin,Central Data User,Core Monitor Dev,Core Monitor User,Gemini,Universal Viewer</t>
  </si>
  <si>
    <t>Tadashi Nemoto</t>
  </si>
  <si>
    <t>Austin Vazquez</t>
  </si>
  <si>
    <t>Finance User,Gemini,Marketing SalesOps User,Product Dev,Product User,Universal Viewer</t>
  </si>
  <si>
    <t>Gemini,Hub User,Marketing SalesOps User,Universal Viewer</t>
  </si>
  <si>
    <t>Jonathan Gan</t>
  </si>
  <si>
    <t>jonathan_gan@docker.com</t>
  </si>
  <si>
    <t>Kevin Alvarez</t>
  </si>
  <si>
    <t>Jean-Philippe Briend</t>
  </si>
  <si>
    <t>Alex Griffen</t>
  </si>
  <si>
    <t>Aditya Tripathi</t>
  </si>
  <si>
    <t>Ajith Thilakan</t>
  </si>
  <si>
    <t>Steven Novick</t>
  </si>
  <si>
    <t>Central Data User,Finance User,Gemini,Marketing SalesOps User,Product User,Universal Viewer</t>
  </si>
  <si>
    <t>Alex Crum</t>
  </si>
  <si>
    <t>Anna Chernyshova</t>
  </si>
  <si>
    <t>Central Data User,Gemini,Universal Viewer</t>
  </si>
  <si>
    <t>Iván Californias</t>
  </si>
  <si>
    <t>Jordan Ganoff</t>
  </si>
  <si>
    <t>Maxime Clement</t>
  </si>
  <si>
    <t>Bianca Muraru</t>
  </si>
  <si>
    <t>Jaime Valeta</t>
  </si>
  <si>
    <t>Johannes Großmann</t>
  </si>
  <si>
    <t>Kamariah Saiful</t>
  </si>
  <si>
    <t>kamariah_saiful@docker.com</t>
  </si>
  <si>
    <t>Finance User,Gemini,Hub User,Marketing SalesOps Dev,Product Dev,Product User,Universal Viewer</t>
  </si>
  <si>
    <t>Michael Irwin</t>
  </si>
  <si>
    <t>DVP User,Gemini,Marketing SalesOps User,Product User,Universal Viewer</t>
  </si>
  <si>
    <t>Sam Platt</t>
  </si>
  <si>
    <t>Admin,Gemini,Product User,Universal Viewer</t>
  </si>
  <si>
    <t>Jennifer Angeles</t>
  </si>
  <si>
    <t>Martin Perez</t>
  </si>
  <si>
    <t>Admin,Central Data User,Core Monitor User,Finance User,Gemini,Marketing SalesOps User,Product User,Universal Viewer,User Plus System Activity</t>
  </si>
  <si>
    <t>Brian Driver</t>
  </si>
  <si>
    <t>Madisen Wolf</t>
  </si>
  <si>
    <t>Nick Adcock</t>
  </si>
  <si>
    <t>Gemini,Hub User,Product User,Universal Viewer</t>
  </si>
  <si>
    <t>Trevor Le</t>
  </si>
  <si>
    <t>Finance User,Gemini,Marketing SalesOps User,Product User,Universal Viewer</t>
  </si>
  <si>
    <t>Ben Elrod</t>
  </si>
  <si>
    <t>David Masciorini</t>
  </si>
  <si>
    <t>Hilda Monterrubio</t>
  </si>
  <si>
    <t>Martin Cerantonio</t>
  </si>
  <si>
    <t>Stephanie Walker</t>
  </si>
  <si>
    <t>Will Dane</t>
  </si>
  <si>
    <t>Ysfin Tazky</t>
  </si>
  <si>
    <t>ysfin_tazky@docker.com</t>
  </si>
  <si>
    <t>DVP User,Finance User,Gemini,Product User,Product Viewer + Sql Runner,Universal Viewer</t>
  </si>
  <si>
    <t>Dan Stelzer</t>
  </si>
  <si>
    <t>Kim Curschmann</t>
  </si>
  <si>
    <t>Roderick Albus</t>
  </si>
  <si>
    <t>Joelle Poole</t>
  </si>
  <si>
    <t>Tatia Markland</t>
  </si>
  <si>
    <t>Central Data User,Finance User,Gemini,Product User,Universal Viewer</t>
  </si>
  <si>
    <t>Kat Killeen</t>
  </si>
  <si>
    <t>Magali Briol</t>
  </si>
  <si>
    <t>Mark Allen</t>
  </si>
  <si>
    <t>Tianon Gravi</t>
  </si>
  <si>
    <t>Finance User,Gemini,Product User,Universal Viewer,User Plus System Activity</t>
  </si>
  <si>
    <t>Jeremy Dull</t>
  </si>
  <si>
    <t>Madison Silva</t>
  </si>
  <si>
    <t>Ming Tai Ha</t>
  </si>
  <si>
    <t>Syakirah Ghazali</t>
  </si>
  <si>
    <t>nurulsyakirah_ahmadghazali@docker.com</t>
  </si>
  <si>
    <t>Todd Densmore</t>
  </si>
  <si>
    <t>Will Strickland</t>
  </si>
  <si>
    <t>Finance User,Gemini,Marketing SalesOps User,Product User,Product Viewer + Sql Runner,Universal Viewer</t>
  </si>
  <si>
    <t>Grant Thompson</t>
  </si>
  <si>
    <t>Central Data User,Gemini,Product User,Universal Viewer</t>
  </si>
  <si>
    <t>Lindsay Smith</t>
  </si>
  <si>
    <t>Martin Podlubny</t>
  </si>
  <si>
    <t>Merinne Mesku</t>
  </si>
  <si>
    <t>Admin,Central Data Dev,Finance Dev,Gemini,Marketing SalesOps Dev,Product Dev,Universal Viewer</t>
  </si>
  <si>
    <t>Sophia Traywick</t>
  </si>
  <si>
    <t>Will Bell</t>
  </si>
  <si>
    <t>Central Data Dev,Finance Dev,Gemini,Marketing SalesOps Dev,Marketing SalesOps User,Product User,Universal Viewer</t>
  </si>
  <si>
    <t>Abby Allen Ridick</t>
  </si>
  <si>
    <t>Caspar Behnisch</t>
  </si>
  <si>
    <t>Deanna Sparks</t>
  </si>
  <si>
    <t>Matt Hitzeman</t>
  </si>
  <si>
    <t>Meghan Pacheco</t>
  </si>
  <si>
    <t>Payal Sharma</t>
  </si>
  <si>
    <t>Abel Young</t>
  </si>
  <si>
    <t>Eric Jia</t>
  </si>
  <si>
    <t>Francesco Corti</t>
  </si>
  <si>
    <t>Hasyir Hashim</t>
  </si>
  <si>
    <t>hasyir_hashim@docker.com</t>
  </si>
  <si>
    <t>John Craft</t>
  </si>
  <si>
    <t>Loren Muchnick</t>
  </si>
  <si>
    <t>Mariana Simon Paixao</t>
  </si>
  <si>
    <t>Narumi Hoyama</t>
  </si>
  <si>
    <t>Preet Chhokar</t>
  </si>
  <si>
    <t>Sonia Hochrein</t>
  </si>
  <si>
    <t>Suhaib Ahmed</t>
  </si>
  <si>
    <t>Finance User,Gemini,Marketing SalesOps Dev,Universal Viewer</t>
  </si>
  <si>
    <t>Usha Mandya</t>
  </si>
  <si>
    <t>Yiwen Xu</t>
  </si>
  <si>
    <t>Cecilia Liu</t>
  </si>
  <si>
    <t>Dave Scott</t>
  </si>
  <si>
    <t>Patrick Mason Port</t>
  </si>
  <si>
    <t>Zubair Aslam</t>
  </si>
  <si>
    <t>Erin Benson</t>
  </si>
  <si>
    <t>DVP User,Gemini,Hub User,Marketing SalesOps User,Product User,Universal Viewer</t>
  </si>
  <si>
    <t>Nicola Watson</t>
  </si>
  <si>
    <t>Admin,Central Data Dev,Core Monitor Dev,DVP Dev,Finance User,Gemini,Marketing SalesOps User,Product Dev,Universal Viewer,User Plus System Activity</t>
  </si>
  <si>
    <t>Trevor Smith</t>
  </si>
  <si>
    <t>Ben LeBlanc</t>
  </si>
  <si>
    <t>Anup Deshmukh</t>
  </si>
  <si>
    <t>Aurélien Suarez</t>
  </si>
  <si>
    <t>Bogdan Sporea</t>
  </si>
  <si>
    <t>Brinley Zheng</t>
  </si>
  <si>
    <t>Bruno de Sousa</t>
  </si>
  <si>
    <t>Colin Hemmings</t>
  </si>
  <si>
    <t>Core Monitor User,Finance User,Gemini,Product User,Universal Viewer</t>
  </si>
  <si>
    <t>Admin,Finance User,Gemini,Marketing SalesOps User,Product User,Universal Viewer</t>
  </si>
  <si>
    <t>Eugene Choe</t>
  </si>
  <si>
    <t>Gina Reese</t>
  </si>
  <si>
    <t>Irfan Rosli</t>
  </si>
  <si>
    <t>irfan_rosli@docker.com</t>
  </si>
  <si>
    <t>Jonathan Sternberg</t>
  </si>
  <si>
    <t>Julia Wilson</t>
  </si>
  <si>
    <t>Lauren Gallier</t>
  </si>
  <si>
    <t>Mark Madonna</t>
  </si>
  <si>
    <t>Central Data Dev,Finance User,Gemini,Marketing SalesOps Dev,Marketing SalesOps User,Product Dev,Product User,Universal Viewer,User Plus System Activity</t>
  </si>
  <si>
    <t>Neeha Kotte</t>
  </si>
  <si>
    <t>Central Data Dev,Finance Dev,Gemini,Marketing SalesOps Dev,Product Dev,Universal Viewer</t>
  </si>
  <si>
    <t>Paul Buote Jr.</t>
  </si>
  <si>
    <t>Peter Stiebler</t>
  </si>
  <si>
    <t>Scott Nelson</t>
  </si>
  <si>
    <t>Akshay Subramanian</t>
  </si>
  <si>
    <t>Alexandra Lebolt</t>
  </si>
  <si>
    <t>Brianna Hobbs</t>
  </si>
  <si>
    <t>Britney Blodget</t>
  </si>
  <si>
    <t>DVP User,Gemini,Hub User,Marketing SalesOps User,Product Dev,Universal Viewer</t>
  </si>
  <si>
    <t>Chris Rihm</t>
  </si>
  <si>
    <t>Dan Friedman</t>
  </si>
  <si>
    <t>Admin,Central Data Dev,Central Data User,Core Monitor User,Gemini,Universal Viewer</t>
  </si>
  <si>
    <t>Devin Castañeda</t>
  </si>
  <si>
    <t>Emily MacIntosh</t>
  </si>
  <si>
    <t>Jordan Hembling</t>
  </si>
  <si>
    <t>Leo Cross</t>
  </si>
  <si>
    <t>Oliver Green</t>
  </si>
  <si>
    <t>Admin,Gemini,Hub User</t>
  </si>
  <si>
    <t>Prashant Khanchandani</t>
  </si>
  <si>
    <t>Rob Burigo</t>
  </si>
  <si>
    <t>Shelton Graves</t>
  </si>
  <si>
    <t>Shivam Kulkarni</t>
  </si>
  <si>
    <t>Nurasyikin Roslan</t>
  </si>
  <si>
    <t>siti_roslan@docker.com</t>
  </si>
  <si>
    <t>Stacee Ballback</t>
  </si>
  <si>
    <t>Amanda Rodriguez</t>
  </si>
  <si>
    <t>Andrea Nguyen</t>
  </si>
  <si>
    <t>Anthony Contreras</t>
  </si>
  <si>
    <t>Benjamin Grandfond</t>
  </si>
  <si>
    <t>Brett Kohn</t>
  </si>
  <si>
    <t>David Fales</t>
  </si>
  <si>
    <t>James Ratliff</t>
  </si>
  <si>
    <t>Jana Clemons</t>
  </si>
  <si>
    <t>Jason Ching</t>
  </si>
  <si>
    <t>John Allen</t>
  </si>
  <si>
    <t>Kelsey Quirke</t>
  </si>
  <si>
    <t>Lily Kolesnikova</t>
  </si>
  <si>
    <t>Mallorie Saia</t>
  </si>
  <si>
    <t>Maxime Azhar</t>
  </si>
  <si>
    <t>Michael Carle</t>
  </si>
  <si>
    <t>Nathan Carlson</t>
  </si>
  <si>
    <t>Rickey Reed</t>
  </si>
  <si>
    <t>Salman D</t>
  </si>
  <si>
    <t>Jane Trinh</t>
  </si>
  <si>
    <t>Tsephel Dolma</t>
  </si>
  <si>
    <t>Alex Snelling</t>
  </si>
  <si>
    <t>Alton Dunkley</t>
  </si>
  <si>
    <t>Ary Sharif</t>
  </si>
  <si>
    <t>Jerry Phul</t>
  </si>
  <si>
    <t>Finance User,Gemini,Hub User,Marketing SalesOps User,Product Dev,Product User,Universal Viewer</t>
  </si>
  <si>
    <t>Brandon Roth</t>
  </si>
  <si>
    <t>Brian Pratt</t>
  </si>
  <si>
    <t>Central Data Dev,Central Data User,Gemini,Hub User,Marketing SalesOps User,Product Dev,Universal Viewer</t>
  </si>
  <si>
    <t>Brooke Roselle</t>
  </si>
  <si>
    <t>Camila Retes</t>
  </si>
  <si>
    <t>Chris Ainsworth-Patrick</t>
  </si>
  <si>
    <t>Christine Grant</t>
  </si>
  <si>
    <t>Universal Viewer</t>
  </si>
  <si>
    <t>Daisuke Aizawa</t>
  </si>
  <si>
    <t>Emmanuel Briney</t>
  </si>
  <si>
    <t>Florent Mallard</t>
  </si>
  <si>
    <t>Frank Steiler</t>
  </si>
  <si>
    <t>Harrison Crosse</t>
  </si>
  <si>
    <t>Hugo Azevedo</t>
  </si>
  <si>
    <t>Ian McNaughton</t>
  </si>
  <si>
    <t>Jen Fisher</t>
  </si>
  <si>
    <t>Kristian Murray</t>
  </si>
  <si>
    <t>Mae Dougherty</t>
  </si>
  <si>
    <t>Nicole Spray</t>
  </si>
  <si>
    <t>Riley Griffith</t>
  </si>
  <si>
    <t>Susan Neth</t>
  </si>
  <si>
    <t>Thales Loiola Ravelli</t>
  </si>
  <si>
    <t>Admin,Gemini,Hub User,Marketing SalesOps Dev,Universal Viewer</t>
  </si>
  <si>
    <t>Tharinda Basnayake</t>
  </si>
  <si>
    <t>Tim Scanlon</t>
  </si>
  <si>
    <t>Young Lee</t>
  </si>
  <si>
    <t>Abhi Singh</t>
  </si>
  <si>
    <t>Ali Mulla</t>
  </si>
  <si>
    <t>Dominik Kania</t>
  </si>
  <si>
    <t>Hiroki Kondo</t>
  </si>
  <si>
    <t>Jessica Orrala</t>
  </si>
  <si>
    <t>Central Data User,Finance Dev,Gemini,Marketing SalesOps Dev,Product Dev,Universal Viewer,User Plus System Activity</t>
  </si>
  <si>
    <t>Jorge Fernandez Ocana</t>
  </si>
  <si>
    <t>Juanjo Fernandez</t>
  </si>
  <si>
    <t>Matthew Walsh</t>
  </si>
  <si>
    <t>Ryan Prekker</t>
  </si>
  <si>
    <t>Selima Jeljeli</t>
  </si>
  <si>
    <t>Stephane Montri</t>
  </si>
  <si>
    <t>Yifeng Tek</t>
  </si>
  <si>
    <t>yifeng_tek@docker.com</t>
  </si>
  <si>
    <t>Name</t>
  </si>
  <si>
    <t>Is Disabled (Yes / No)</t>
  </si>
  <si>
    <t>Role List</t>
  </si>
  <si>
    <t>Created Date</t>
  </si>
  <si>
    <t>Last Attempted UI Login Date</t>
  </si>
  <si>
    <t>Login using API</t>
  </si>
  <si>
    <t>NAME</t>
  </si>
  <si>
    <t>EMAIL</t>
  </si>
  <si>
    <t>OWNER</t>
  </si>
  <si>
    <t>DEFAULT_ROLE</t>
  </si>
  <si>
    <t>ALL_ROLES</t>
  </si>
  <si>
    <t>LAST_SUCCESS_LOGIN</t>
  </si>
  <si>
    <t>Should Downgrade</t>
  </si>
  <si>
    <t>Should Delete</t>
  </si>
  <si>
    <t>BHAGWINDER_PHUL</t>
  </si>
  <si>
    <t>USERADMIN</t>
  </si>
  <si>
    <t>PRODUCT_ANALYST</t>
  </si>
  <si>
    <t/>
  </si>
  <si>
    <t>Y</t>
  </si>
  <si>
    <t>Never logged in</t>
  </si>
  <si>
    <t>BRYAN_ENGLISH</t>
  </si>
  <si>
    <t>bryan.english@docker.com</t>
  </si>
  <si>
    <t>DOCKER_DESKTOP_READONLY</t>
  </si>
  <si>
    <t>CHRIS_MCLELLAN</t>
  </si>
  <si>
    <t>EDDU_MELENDEZ</t>
  </si>
  <si>
    <t>PRODUCTION_HUB_READONLY</t>
  </si>
  <si>
    <t>JARRIS_WILKINS</t>
  </si>
  <si>
    <t>SECURITYADMIN</t>
  </si>
  <si>
    <t>DOCKER_DEFAULT_READONLY</t>
  </si>
  <si>
    <t>JEAN_LAURENT</t>
  </si>
  <si>
    <t>ACCOUNTADMIN</t>
  </si>
  <si>
    <t>JEFF_CARTER</t>
  </si>
  <si>
    <t>JONATHAN_STERNBERG</t>
  </si>
  <si>
    <t>JOSH_NEWMAN</t>
  </si>
  <si>
    <t>KATERINA_TOMRUSHKA</t>
  </si>
  <si>
    <t>CHRIS_AINSWORTH</t>
  </si>
  <si>
    <t>SALESOPS_ADMIN</t>
  </si>
  <si>
    <t>DOCKER_DEFAULT_READONLY, DVP_ADMIN, SALESOPS_ADMIN</t>
  </si>
  <si>
    <t>2024-10-03 09:50:28.298 -0400</t>
  </si>
  <si>
    <t>Login &gt; 90 days ago</t>
  </si>
  <si>
    <t>OZAIR_ASIM</t>
  </si>
  <si>
    <t>2024-11-06 08:33:30.277 -0500</t>
  </si>
  <si>
    <t>JAMES_CHILDS</t>
  </si>
  <si>
    <t>BILLING_UNIFIED_CONSUMPTION, DOCKER_DEFAULT_READONLY</t>
  </si>
  <si>
    <t>2024-11-12 13:29:07.112 -0500</t>
  </si>
  <si>
    <t>CHONGGHEE_LEE</t>
  </si>
  <si>
    <t>chongghee_lee@docker.com</t>
  </si>
  <si>
    <t>MARKETING_READONLY</t>
  </si>
  <si>
    <t>2024-11-14 21:28:37.866 -0500</t>
  </si>
  <si>
    <t>N</t>
  </si>
  <si>
    <t>External consultant</t>
  </si>
  <si>
    <t>MISAEL_MOURA</t>
  </si>
  <si>
    <t>misael_moura@docker.com</t>
  </si>
  <si>
    <t>SF_NEOCOL_TEMP_ROLE</t>
  </si>
  <si>
    <t>2024-11-16 14:39:10.212 -0500</t>
  </si>
  <si>
    <t>KAMARIAH_SAIFUL</t>
  </si>
  <si>
    <t>2024-11-17 20:30:05.937 -0500</t>
  </si>
  <si>
    <t>IGNACIO_LOPEZLUNA</t>
  </si>
  <si>
    <t>DOCKER_POWER_USER_READONLY</t>
  </si>
  <si>
    <t>DOCKER_DEFAULT_READONLY, DOCKER_POWER_USER_READONLY, TEST_CONTAINERS_READONLY</t>
  </si>
  <si>
    <t>2024-12-18 09:19:54.428 -0500</t>
  </si>
  <si>
    <t>OLEG</t>
  </si>
  <si>
    <t>2025-01-16 17:39:35.769 -0500</t>
  </si>
  <si>
    <t>BRYAN_CHAN</t>
  </si>
  <si>
    <t>2025-01-17 13:33:43.650 -0500</t>
  </si>
  <si>
    <t>NICHOLAS_OREFICE</t>
  </si>
  <si>
    <t>DOCKER_DEFAULT_READONLY, SEGMENT_DESKTOP_READONLY</t>
  </si>
  <si>
    <t>2025-01-17 15:05:27.527 -0500</t>
  </si>
  <si>
    <t>GABRIELE_DIBERNARDO</t>
  </si>
  <si>
    <t>ARCHIVE_EVENTS_READONLY</t>
  </si>
  <si>
    <t>2025-01-28 09:53:53.856 -0500</t>
  </si>
  <si>
    <t>JUSTIN_CORMACK</t>
  </si>
  <si>
    <t>2025-02-03 06:43:39.909 -0500</t>
  </si>
  <si>
    <t>Former employee</t>
  </si>
  <si>
    <t>SHAUN_THOMPSON</t>
  </si>
  <si>
    <t>DOCKER_DEFAULT_READONLY, DOCKER_POWER_USER_READONLY</t>
  </si>
  <si>
    <t>2025-02-10 16:22:39.661 -0500</t>
  </si>
  <si>
    <t>NICK_ADCOCK</t>
  </si>
  <si>
    <t>2025-02-24 12:22:25.380 -0500</t>
  </si>
  <si>
    <t>NICOLAS_DELOOF</t>
  </si>
  <si>
    <t>SEGMENT_DESKTOP_READONLY</t>
  </si>
  <si>
    <t>2025-02-26 04:55:57.617 -0500</t>
  </si>
  <si>
    <t>GEORGE_GABOLAEV</t>
  </si>
  <si>
    <t>2025-03-11 08:30:26.704 -0400</t>
  </si>
  <si>
    <t>DORIN_GEMAN</t>
  </si>
  <si>
    <t>PRODUCT_ENGINEER_READONLY</t>
  </si>
  <si>
    <t>DOCKER_DESKTOP_READONLY, PRODUCT_ENGINEER__READONLY</t>
  </si>
  <si>
    <t>2025-03-11 09:04:38.555 -0400</t>
  </si>
  <si>
    <t>AJITH_THILAKAN</t>
  </si>
  <si>
    <t>2025-03-16 22:07:18.085 -0400</t>
  </si>
  <si>
    <t>ALBERTO_GARCIA_HIERRO</t>
  </si>
  <si>
    <t>2025-03-19 11:59:05.968 -0400</t>
  </si>
  <si>
    <t>MAT_WILSON</t>
  </si>
  <si>
    <t>2025-03-20 07:42:05.490 -0400</t>
  </si>
  <si>
    <t>JAVIER_GARCIA</t>
  </si>
  <si>
    <t>2025-03-20 07:46:04.204 -0400</t>
  </si>
  <si>
    <t>EKATERINA_TUGARINOVA</t>
  </si>
  <si>
    <t>DOCKER_DEFAULT_AND_WORKSPACES_READONLY</t>
  </si>
  <si>
    <t>DOCKER_DEFAULT_AND_WORKSPACES_READONLY, DOCKER_DEFAULT_READONLY</t>
  </si>
  <si>
    <t>2025-03-26 11:07:40.438 -0400</t>
  </si>
  <si>
    <t>IVAN_PEDRAZAS</t>
  </si>
  <si>
    <t>DOCKER_DEFAULT_READONLY, DOCKER_DESKTOP_READONLY</t>
  </si>
  <si>
    <t>2025-04-09 13:06:45.142 -0400</t>
  </si>
  <si>
    <t>KAVINDIRA_AMARENDIRAN</t>
  </si>
  <si>
    <t>PRODUCTION_DESKTOP_READONLY</t>
  </si>
  <si>
    <t>2025-04-10 01:42:45.036 -0400</t>
  </si>
  <si>
    <t>TUSHAR_JAIN</t>
  </si>
  <si>
    <t>2025-04-18 12:27:37.617 -0400</t>
  </si>
  <si>
    <t>TERRY_SMITH</t>
  </si>
  <si>
    <t>PRODUCT_ENGINEER__READONLY</t>
  </si>
  <si>
    <t>2025-04-22 11:15:46.049 -0400</t>
  </si>
  <si>
    <t>DEREK_MISLER</t>
  </si>
  <si>
    <t>DOCKER_DEFAULT_READONLY, INSIGHTS_DEV</t>
  </si>
  <si>
    <t>2025-05-06 13:29:44.848 -0400</t>
  </si>
  <si>
    <t>DAVID_DOOLING</t>
  </si>
  <si>
    <t>2025-05-10 12:58:00.449 -0400</t>
  </si>
  <si>
    <t>YUSUF_CATTANEO</t>
  </si>
  <si>
    <t>2025-05-22 20:02:09.958 -0400</t>
  </si>
  <si>
    <t>NUNO_CORACAO</t>
  </si>
  <si>
    <t>2025-05-26 10:19:53.949 -0400</t>
  </si>
  <si>
    <t>LUCA_DRUDA</t>
  </si>
  <si>
    <t>DVP_READONLY</t>
  </si>
  <si>
    <t>CONSUMPTION_HUB_EXPERIENCES_ROLE, DOCKER_HUB_READONLY, DVP_ADMIN, IMAGE_CATEGORIZATION_DEV</t>
  </si>
  <si>
    <t>2025-05-30 04:47:47.423 -0400</t>
  </si>
  <si>
    <t>LUCIANO_CICCARIELLO</t>
  </si>
  <si>
    <t>2025-06-10 11:31:20.668 -0400</t>
  </si>
  <si>
    <t>STANISLAV_HAMARA</t>
  </si>
  <si>
    <t>2025-06-12 05:37:04.736 -0400</t>
  </si>
  <si>
    <t>DEVIN_CASTANEDA</t>
  </si>
  <si>
    <t>BILLING_UNIFIED_CONSUMPTION, DOCKER_DESKTOP_READONLY</t>
  </si>
  <si>
    <t>2025-06-16 14:51:45.878 -0400</t>
  </si>
  <si>
    <t>ALEX_BLACK</t>
  </si>
  <si>
    <t>DOCKER_DEFAULT_SALES_READONLY</t>
  </si>
  <si>
    <t>DOCKER_DEFAULT_READONLY, DOCKER_DEFAULT_SALES_READONLY, SALESFORCE_READONLY, SALESOPS_DB_READONLY</t>
  </si>
  <si>
    <t>2025-06-26 18:25:53.057 -0400</t>
  </si>
  <si>
    <t>VINCENT_DAMERY</t>
  </si>
  <si>
    <t>2025-06-27 12:30:12.095 -0400</t>
  </si>
  <si>
    <t>FRANCESCO_CORTI</t>
  </si>
  <si>
    <t>2025-07-02 11:35:32.711 -0400</t>
  </si>
  <si>
    <t>LUKE_BUNSELMEYER</t>
  </si>
  <si>
    <t>2025-07-07 11:23:07.849 -0400</t>
  </si>
  <si>
    <t>LUCAS_BERNALTE</t>
  </si>
  <si>
    <t>CONSUMPTION_HUB_EXPERIENCES_ROLE</t>
  </si>
  <si>
    <t>CONSUMPTION_HUB_EXPERIENCES_ROLE, DOCKER_DEFAULT_READONLY</t>
  </si>
  <si>
    <t>2025-07-10 03:25:52.634 -0400</t>
  </si>
  <si>
    <t>SHELTON_GRAVES</t>
  </si>
  <si>
    <t>2025-07-10 13:49:17.004 -0400</t>
  </si>
  <si>
    <t>ALANO_TERBLANCHE</t>
  </si>
  <si>
    <t>2025-07-14 09:17:31.886 -0400</t>
  </si>
  <si>
    <t>BRENT_PATERSON</t>
  </si>
  <si>
    <t>CONSUMPTION_BILLING, DOCKER_DEFAULT_READONLY</t>
  </si>
  <si>
    <t>2025-07-15 15:14:20.400 -0400</t>
  </si>
  <si>
    <t>MARK_CAVAGE</t>
  </si>
  <si>
    <t>2025-07-17 05:23:08.794 -0400</t>
  </si>
  <si>
    <t>GUILLAUME_LOURS</t>
  </si>
  <si>
    <t>SYSADMIN</t>
  </si>
  <si>
    <t>2025-07-18 06:05:35.289 -0400</t>
  </si>
  <si>
    <t>ANNA_CHERNYSHOVA</t>
  </si>
  <si>
    <t>2025-07-25 10:36:53.070 -0400</t>
  </si>
  <si>
    <t>ZHELYAZKO_PETROV</t>
  </si>
  <si>
    <t>SNOWFLAKE_READONLY</t>
  </si>
  <si>
    <t>INFOSEC, SNOWFLAKE_READONLY</t>
  </si>
  <si>
    <t>2025-07-29 10:53:11.420 -0400</t>
  </si>
  <si>
    <t>MARIANA_SIMON</t>
  </si>
  <si>
    <t>2025-07-31 16:29:39.503 -0400</t>
  </si>
  <si>
    <t>JAIME_LOZANO@DOCKER.COM</t>
  </si>
  <si>
    <t>jaime_lozano@docker.com</t>
  </si>
  <si>
    <t>OKTA_PROVISIONER</t>
  </si>
  <si>
    <t>2025-08-13 18:00:54.009 -0400</t>
  </si>
  <si>
    <t>POOJA.AGRAWAL@DOCKER.COM</t>
  </si>
  <si>
    <t>2025-08-26 16:07:13.794 -0400</t>
  </si>
  <si>
    <t>ZOEY_KRAMER</t>
  </si>
  <si>
    <t>2025-08-27 10:38:21.290 -0400</t>
  </si>
  <si>
    <t>SYLVIA.FAVELLO@DOCKER.COM</t>
  </si>
  <si>
    <t>CONSUMPTION_BILLING</t>
  </si>
  <si>
    <t>2025-09-02 18:13:16.515 -0400</t>
  </si>
  <si>
    <t>JIM_CLARK</t>
  </si>
  <si>
    <t>2025-09-03 18:59:21.812 -0400</t>
  </si>
  <si>
    <t>HASYIR_HASHIM</t>
  </si>
  <si>
    <t>2025-09-03 23:07:45.824 -0400</t>
  </si>
  <si>
    <t>CATHERINE_BENDEBURY</t>
  </si>
  <si>
    <t>DOCKER_DEFAULT_READONLY, MCP_SERVICE_ACCOUNT_TEMP</t>
  </si>
  <si>
    <t>2025-09-09 18:11:11.813 -0400</t>
  </si>
  <si>
    <t>BENJAMIN_GRANDFOND</t>
  </si>
  <si>
    <t>DVP_ADMIN</t>
  </si>
  <si>
    <t>CONSUMPTION_HUB_EXPERIENCES_ROLE, DVP_ADMIN, IMAGE_CATEGORIZATION_DEV, SALESOPS_ADMIN</t>
  </si>
  <si>
    <t>2025-09-10 04:28:47.319 -0400</t>
  </si>
  <si>
    <t>BOBBY_HOUSE</t>
  </si>
  <si>
    <t>2025-09-11 09:51:26.938 -0400</t>
  </si>
  <si>
    <t>RICK_REDONDO</t>
  </si>
  <si>
    <t>DOCKER_POWER_USER_READONLY, PRODUCT_ENGINEER__READONLY</t>
  </si>
  <si>
    <t>2025-09-11 11:17:34.583 -0400</t>
  </si>
  <si>
    <t>KELLY_FREET</t>
  </si>
  <si>
    <t>BILLING_UNIFIED_CONSUMPTION, CONSUMPTION_BILLING, DOCKER_DEFAULT_READONLY</t>
  </si>
  <si>
    <t>2025-09-12 15:33:01.743 -0400</t>
  </si>
  <si>
    <t>REMY_SUEN</t>
  </si>
  <si>
    <t>DOCKER_DEFAULT_READONLY, DOCKER_DESKTOP_READONLY, PRODUCT_ENGINEER__READONLY</t>
  </si>
  <si>
    <t>2025-09-15 14:05:49.107 -0400</t>
  </si>
  <si>
    <t>MATT.LANDIS@DOCKER.COM</t>
  </si>
  <si>
    <t>2025-09-15 14:34:27.013 -0400</t>
  </si>
  <si>
    <t>JOHANNES_GROSSMANN</t>
  </si>
  <si>
    <t>segment_readonly</t>
  </si>
  <si>
    <t>2025-09-16 04:29:02.285 -0400</t>
  </si>
  <si>
    <t>EDWARD_HARRISON</t>
  </si>
  <si>
    <t>MARKETING_DEV</t>
  </si>
  <si>
    <t>AI_DEV, MARKETING_DEV, MLOPS_DEV</t>
  </si>
  <si>
    <t>2025-09-17 15:16:23.563 -0400</t>
  </si>
  <si>
    <t>ALICE_FINIDORI</t>
  </si>
  <si>
    <t>alice.finidori@docker.com</t>
  </si>
  <si>
    <t>ENGINEERING_DEV</t>
  </si>
  <si>
    <t>ACCOUNTADMIN, ENGINEERING_ADMIN, ENGINEERING_DEV, SECURITYADMIN, SYSADMIN</t>
  </si>
  <si>
    <t>2025-09-19 06:30:26.615 -0400</t>
  </si>
  <si>
    <t>LUKE.SOWINSKI@DOCKER.COM</t>
  </si>
  <si>
    <t>2025-09-19 10:35:53.954 -0400</t>
  </si>
  <si>
    <t>SHAWN_AXSOM</t>
  </si>
  <si>
    <t>2025-09-19 16:29:49.783 -0400</t>
  </si>
  <si>
    <t>COLIN_HEMMINGS</t>
  </si>
  <si>
    <t>DOCKER_DEFAULT_READONLY, DOCKER_POWER_USER_READONLY, PRODUCT_ENGINEER__READONLY</t>
  </si>
  <si>
    <t>2025-09-23 05:21:56.616 -0400</t>
  </si>
  <si>
    <t>TRAVIS_ROTH</t>
  </si>
  <si>
    <t>DOCKER_DEFAULT_READONLY, DOCKER_DEFAULT_SALES_READONLY</t>
  </si>
  <si>
    <t>2025-09-23 16:01:27.956 -0400</t>
  </si>
  <si>
    <t>KEVIN_WITTEK</t>
  </si>
  <si>
    <t>DOCKER_DESKTOP_READONLY, PRODUCT_ANALYST</t>
  </si>
  <si>
    <t>2025-09-25 09:41:08.708 -0400</t>
  </si>
  <si>
    <t>ASHLEY.PALARDY@DOCKER.COM</t>
  </si>
  <si>
    <t>PEOPLE_OPS</t>
  </si>
  <si>
    <t>2025-09-25 10:22:33.032 -0400</t>
  </si>
  <si>
    <t>DRAGOS_GEORGESCU</t>
  </si>
  <si>
    <t>PRODUCT_ANALYST, SF_INTELLIGENCE_ADMIN, SNOWFLAKE_INTELLIGENCE_DEV</t>
  </si>
  <si>
    <t>2025-09-25 11:31:52.794 -0400</t>
  </si>
  <si>
    <t>JORDAN_GANOFF</t>
  </si>
  <si>
    <t>ACCOUNTADMIN, DBT, DOCKER_POWER_USER_READONLY</t>
  </si>
  <si>
    <t>2025-09-25 12:33:05.370 -0400</t>
  </si>
  <si>
    <t>AKHILESH_YARABARLA</t>
  </si>
  <si>
    <t>INSIGHTS_DEV</t>
  </si>
  <si>
    <t>INSIGHTS_DEV, INSIGHTS_SANDBOX_DEV, TEAM_CORE_EXPERIENCES</t>
  </si>
  <si>
    <t>2025-09-25 13:57:08.029 -0400</t>
  </si>
  <si>
    <t>SUSAN.NETH@DOCKER.COM</t>
  </si>
  <si>
    <t>PRODUCT_ANALYST, PRODUCT_ENGINEER__READONLY</t>
  </si>
  <si>
    <t>2025-09-25 15:42:04.825 -0400</t>
  </si>
  <si>
    <t>STEVEN_NOVICK</t>
  </si>
  <si>
    <t>2025-09-25 18:51:50.702 -0400</t>
  </si>
  <si>
    <t>KYLE.TRANTHAM@DOCKER.COM</t>
  </si>
  <si>
    <t>docker_default_readonly</t>
  </si>
  <si>
    <t>2025-09-26 12:38:08.192 -0400</t>
  </si>
  <si>
    <t>MIKHAIL_KACHEROVICH</t>
  </si>
  <si>
    <t>ACCOUNTADMIN, COREDATA_ADMIN, COREDATA_DEV, ENGINEERING_DEV, ORGADMIN, SECURITYADMIN, SYSADMIN, USERADMIN</t>
  </si>
  <si>
    <t>2025-09-29 08:34:52.092 -0400</t>
  </si>
  <si>
    <t>DAVE.MORRIS@DOCKER.COM</t>
  </si>
  <si>
    <t>ACCOUNTADMIN, DOCKER_POWER_USER_READONLY</t>
  </si>
  <si>
    <t>2025-09-29 14:30:41.059 -0400</t>
  </si>
  <si>
    <t>CHRISTOPHER_CRONE</t>
  </si>
  <si>
    <t>DOCKER_DEFAULT_READONLY, DOCKER_DESKTOP_READONLY, DOCKER_POWER_USER_READONLY</t>
  </si>
  <si>
    <t>2025-09-30 09:39:21.389 -0400</t>
  </si>
  <si>
    <t>CHRIS_MAKI</t>
  </si>
  <si>
    <t>2025-09-30 12:20:27.428 -0400</t>
  </si>
  <si>
    <t>JAMES_RATLIFF</t>
  </si>
  <si>
    <t>MARKETING_DEV, SALESOPS_DB_READONLY</t>
  </si>
  <si>
    <t>2025-10-01 09:18:34.016 -0400</t>
  </si>
  <si>
    <t>JESSICA_ORRALA</t>
  </si>
  <si>
    <t>FINANCE_ANALYST, PRODUCT_ANALYST</t>
  </si>
  <si>
    <t>2025-10-01 13:30:28.825 -0400</t>
  </si>
  <si>
    <t>MOTOKI_NAKAMURA</t>
  </si>
  <si>
    <t>SF_INTELLIGENCE_ADMIN</t>
  </si>
  <si>
    <t>ACCOUNTADMIN, ATLAN, COREDATA_DEV, DEV_DEPLOYMENTS, ENGINEERING_DEV, HACKATHON_ROLE, HR_AIRFLOW_DEPLOYMENTS, INFOSEC, MLOPS_POC_ADMIN, ORGADMIN, POLICY_ADMIN, PRODUCTION_READWRITE_ROLE, PROD_SNOWFLAKE_MONITOR, SECURITY_ALERTS, SYSADMIN</t>
  </si>
  <si>
    <t>2025-10-01 14:29:07.782 -0400</t>
  </si>
  <si>
    <t>MARK_GABRIEL</t>
  </si>
  <si>
    <t>2025-10-01 16:27:59.844 -0400</t>
  </si>
  <si>
    <t>GINA_REESE</t>
  </si>
  <si>
    <t>2025-10-01 17:41:31.316 -0400</t>
  </si>
  <si>
    <t>TATIA_MARKLAND</t>
  </si>
  <si>
    <t>PRODUCT_ANALYST, SF_INTELLIGENCE_ADMIN</t>
  </si>
  <si>
    <t>2025-10-01 18:05:22.592 -0400</t>
  </si>
  <si>
    <t>YIFENG_TEK</t>
  </si>
  <si>
    <t>2025-10-01 21:03:05.645 -0400</t>
  </si>
  <si>
    <t>NICOLA_WATSON</t>
  </si>
  <si>
    <t>DBT, PRODUCT_ANALYST</t>
  </si>
  <si>
    <t>2025-10-02 02:41:20.705 -0400</t>
  </si>
  <si>
    <t>ANDREI.ALBU@DOCKER.COM</t>
  </si>
  <si>
    <t>2025-10-02 04:03:33.997 -0400</t>
  </si>
  <si>
    <t>ROB_BURIGO</t>
  </si>
  <si>
    <t>2025-10-02 09:31:20.092 -0400</t>
  </si>
  <si>
    <t>MERINNE_MESKU</t>
  </si>
  <si>
    <t>2025-10-02 10:00:03.026 -0400</t>
  </si>
  <si>
    <t>OLEKSANDRA_PROKHOROVA</t>
  </si>
  <si>
    <t>ACCOUNTADMIN, ENGINEERING_DEV, SYSADMIN</t>
  </si>
  <si>
    <t>2025-10-02 10:18:26.415 -0400</t>
  </si>
  <si>
    <t>MARK_MADONNA</t>
  </si>
  <si>
    <t>SALESOPS_DEV</t>
  </si>
  <si>
    <t>2025-10-02 11:11:14.368 -0400</t>
  </si>
  <si>
    <t>BRIAN_PRATT</t>
  </si>
  <si>
    <t>DOCKER_DEFAULT_READONLY, SEGMENT_CLOUD_READONLY</t>
  </si>
  <si>
    <t>2025-10-02 11:14:02.639 -0400</t>
  </si>
  <si>
    <t>DANIEL_FRIEDMAN</t>
  </si>
  <si>
    <t>ACCOUNTADMIN, BILLING_AND_COMPUTE_READONLY, COREDATA_ADMIN, COREDATA_DEV, DBT, ENGINEERING_ADMIN, ENGINEERING_DEV, SECURITYADMIN, SYSADMIN, USERADMIN</t>
  </si>
  <si>
    <t>2025-10-02 11:55:35.981 -0400</t>
  </si>
  <si>
    <t>NICK_SANTOS</t>
  </si>
  <si>
    <t>2025-10-02 11:59:15.712 -0400</t>
  </si>
  <si>
    <t>PACO_VALVERDE</t>
  </si>
  <si>
    <t>ACCOUNTADMIN, ADMIN_PIPES, AI_DEV, DEV_IDENTITY_GRAPH, DOCKER_DEFAULT_READONLY, DOCKER_DEV, DVP_READONLY, ENGINEERING_ADMIN, ENGINEERING_DEV, MLOPS_DEV, SALESOPS_ADMIN, SCOUT_DEVELOPER, SF_INTELLIGENCE_ADMIN</t>
  </si>
  <si>
    <t>2025-10-02 12:06:02.769 -0400</t>
  </si>
  <si>
    <t>ABHI_SINGH</t>
  </si>
  <si>
    <t>2025-10-02 12:55:50.918 -0400</t>
  </si>
  <si>
    <t>WILL_BELL</t>
  </si>
  <si>
    <t>will.bell@DOCKER.COM</t>
  </si>
  <si>
    <t>PRODUCT_ANALYST, SALESOPS_DEV</t>
  </si>
  <si>
    <t>2025-10-02 13:00:27.927 -0400</t>
  </si>
  <si>
    <t>THALES_RAVELLI</t>
  </si>
  <si>
    <t>DBT, DOCKER_DESKTOP_READONLY, DVP_ADMIN, DVP_DEV, PRODUCT_ANALYST</t>
  </si>
  <si>
    <t>2025-10-02 13:23:13.891 -0400</t>
  </si>
  <si>
    <t>JORDAN_HEMBLING</t>
  </si>
  <si>
    <t>ACCOUNTADMIN, COREDATA_DEV, ENGINEERING_DEV, HR_AIRFLOW_DEPLOYMENTS, SECURITYADMIN, SYSADMIN</t>
  </si>
  <si>
    <t>2025-10-02 15:18:39.618 -0400</t>
  </si>
  <si>
    <t>CHRISTOPHER_PLUNTKE</t>
  </si>
  <si>
    <t>2025-10-02 15:21:56.791 -0400</t>
  </si>
  <si>
    <t>ALEX_LEBOLT</t>
  </si>
  <si>
    <t>2025-10-02 15:23:58.778 -0400</t>
  </si>
  <si>
    <t>NEEHARIKA_KOTTE</t>
  </si>
  <si>
    <t>2025-10-02 15:27:04.379 -0400</t>
  </si>
  <si>
    <t>HARRISON_CROSSE</t>
  </si>
  <si>
    <t>ENGINEERING_DEV, SECURITYADMIN, SYSADMIN, USERADMIN</t>
  </si>
  <si>
    <t>2025-10-02 16:03:07.393 -0400</t>
  </si>
  <si>
    <t>SUHAIB_AHMED</t>
  </si>
  <si>
    <t>MARKETING_ADMIN</t>
  </si>
  <si>
    <t>AI_DEV, MARKETING_ADMIN, MARKETING_DEV, MLOPS_DEV, SALESOPS_DEV</t>
  </si>
  <si>
    <t>2025-10-02 16:05:06.579 -0400</t>
  </si>
  <si>
    <t>AMN</t>
  </si>
  <si>
    <t>ACCOUNTADMIN, COREDATA_ADMIN, COREDATA_DEV, ENGINEERING_DEV, ORGADMIN, SYSADMIN</t>
  </si>
  <si>
    <t>Amn</t>
  </si>
  <si>
    <t>CHRISTIAN_KREIS</t>
  </si>
  <si>
    <t>christian_kreis@docker.com</t>
  </si>
  <si>
    <t>PUBLIC</t>
  </si>
  <si>
    <t>EMILY.CASEY@DOCKER.COM</t>
  </si>
  <si>
    <t>GUILLAUME_STPIERRE</t>
  </si>
  <si>
    <t>INSIGHTS_DEV, TEAM_CORE_EXPERIENCES</t>
  </si>
  <si>
    <t>JEANPHILIPPE_BRIEND</t>
  </si>
  <si>
    <t>MALARVANNAN_VELU@DOCKER.COM</t>
  </si>
  <si>
    <t>malarvannan_velu@docker.com</t>
  </si>
  <si>
    <t>MASON.GRAYE@DOCKER.COM</t>
  </si>
  <si>
    <t>NICK.CHRISTOU@DOCKER.COM</t>
  </si>
  <si>
    <t>SNOWFLAKE</t>
  </si>
  <si>
    <t>snowflake</t>
  </si>
  <si>
    <t>Snowflake</t>
  </si>
  <si>
    <t>XINLU_LIU</t>
  </si>
  <si>
    <t>xinlu_liu@docker.com</t>
  </si>
  <si>
    <t>TYPE</t>
  </si>
  <si>
    <t>AIRFLOW_SALESOPS_DEV</t>
  </si>
  <si>
    <t>SERVICE</t>
  </si>
  <si>
    <t>AIRFLOW_SALESOPS</t>
  </si>
  <si>
    <t>Never Used</t>
  </si>
  <si>
    <t>DEV_IDENTITY_GRAPH_USER</t>
  </si>
  <si>
    <t>DEV_IDENTITY_GRAPH</t>
  </si>
  <si>
    <t>2025-06-18 10:51:40.351 -0400</t>
  </si>
  <si>
    <t>AIRFLOW_MONITOR_USER_DEV</t>
  </si>
  <si>
    <t>ACCOUNT_MONITOR</t>
  </si>
  <si>
    <t>2025-07-07 17:03:59.627 -0400</t>
  </si>
  <si>
    <t>CONSUMPTION_MONITOR_USER</t>
  </si>
  <si>
    <t>LEGACY_SERVICE</t>
  </si>
  <si>
    <t>CONSUMPTION_MONITOR</t>
  </si>
  <si>
    <t>2025-07-09 06:00:30.416 -0400</t>
  </si>
  <si>
    <t>PIGMENT_USER</t>
  </si>
  <si>
    <t>PIGMENT</t>
  </si>
  <si>
    <t>2025-07-09 14:32:39.949 -0400</t>
  </si>
  <si>
    <t>AIRFLOW_INFOSEC_EXPORT_DEV_USER</t>
  </si>
  <si>
    <t>INFOSEC_EXPORT_DEV</t>
  </si>
  <si>
    <t>2025-07-10 20:36:30.985 -0400</t>
  </si>
  <si>
    <t>CONSUMPTION_MONITOR_USER_PROD</t>
  </si>
  <si>
    <t>CONSUMPTION_MONITOR_PROD</t>
  </si>
  <si>
    <t>2025-07-14 06:00:30.699 -0400</t>
  </si>
  <si>
    <t>AIRFLOW_EVENTS_ADMIN_USER_DEV</t>
  </si>
  <si>
    <t>EVENTS_ADMIN_STAGING</t>
  </si>
  <si>
    <t>2025-07-21 11:00:03.074 -0400</t>
  </si>
  <si>
    <t>LOOKER_BAMBOOHR</t>
  </si>
  <si>
    <t>BAMBOOHR_READONLY</t>
  </si>
  <si>
    <t>2025-07-30 04:57:58.228 -0400</t>
  </si>
  <si>
    <t>LOOKER_PREVIEW_USER</t>
  </si>
  <si>
    <t>LOOKER_PREVIEW_READONLY_ROLE</t>
  </si>
  <si>
    <t>LOOKER_PREVIEW_READONLY_ROLE, PRODUCTION_READ_ROLE</t>
  </si>
  <si>
    <t>2025-07-30 06:53:51.879 -0400</t>
  </si>
  <si>
    <t>SNOWFLAKE_EXTENSIONS</t>
  </si>
  <si>
    <t>SNOWFLAKE_EXTENSIONS_ADMIN</t>
  </si>
  <si>
    <t>2025-08-11 03:53:55.481 -0400</t>
  </si>
  <si>
    <t>DBT_DEV_DEPLOYMENT_WORKSPACES_USER</t>
  </si>
  <si>
    <t>DBT_DEPLOYMENTS_WORKSPACES</t>
  </si>
  <si>
    <t>2025-08-12 15:00:10.909 -0400</t>
  </si>
  <si>
    <t>AIRFLOW_DVPP_USER_DEV</t>
  </si>
  <si>
    <t>DVPP_STAGING</t>
  </si>
  <si>
    <t>2025-09-17 13:21:59.979 -0400</t>
  </si>
  <si>
    <t>MULESOFT_USER</t>
  </si>
  <si>
    <t>MULESOFT_WRITE_ROLE</t>
  </si>
  <si>
    <t>CONSUMPTION_BILLING, MULESOFT_SANDBOX_WRITE_ROLE, MULESOFT_WRITE_ROLE</t>
  </si>
  <si>
    <t>2025-09-18 06:00:17.014 -0400</t>
  </si>
  <si>
    <t>AEP_SERVICE_ACCOUNT</t>
  </si>
  <si>
    <t>AEP_SERVICE_ROLE</t>
  </si>
  <si>
    <t>2025-09-24 06:27:38.505 -0400</t>
  </si>
  <si>
    <t>STAGING_DVP_DBT_USER</t>
  </si>
  <si>
    <t>STAGING_DBT_DVP_DEPLOYMENTS</t>
  </si>
  <si>
    <t>DVP_DEV, STAGING_DBT_DVP_DEPLOYMENTS</t>
  </si>
  <si>
    <t>2025-09-24 10:02:28.490 -0400</t>
  </si>
  <si>
    <t>ZAPIER_USER</t>
  </si>
  <si>
    <t>ZAPIER_ROLE</t>
  </si>
  <si>
    <t>2025-09-25 10:43:06.647 -0400</t>
  </si>
  <si>
    <t>PROD_IDENTITY_GRAPH_USER</t>
  </si>
  <si>
    <t>PROD_IDENTITY_GRAPH</t>
  </si>
  <si>
    <t>2025-09-27 23:02:46.453 -0400</t>
  </si>
  <si>
    <t>GATO_SALES_RESEARCH_STAGE</t>
  </si>
  <si>
    <t>2025-10-01 17:44:28.804 -0400</t>
  </si>
  <si>
    <t>AIRFLOW_MONITOR_USER</t>
  </si>
  <si>
    <t>2025-10-01 20:01:49.349 -0400</t>
  </si>
  <si>
    <t>CONSUMPTION_MONITOR_USER_STAGE</t>
  </si>
  <si>
    <t>CONSUMPTION_MONITOR_STAGE</t>
  </si>
  <si>
    <t>2025-10-01 20:12:07.519 -0400</t>
  </si>
  <si>
    <t>GITHUB_ACTIONS_COREDATA_USER</t>
  </si>
  <si>
    <t>COREDATA_GITHUB_BOT</t>
  </si>
  <si>
    <t>2025-10-01 21:28:15.512 -0400</t>
  </si>
  <si>
    <t>CENSUS</t>
  </si>
  <si>
    <t>CENSUS_ROLE</t>
  </si>
  <si>
    <t>2025-10-01 22:13:46.962 -0400</t>
  </si>
  <si>
    <t>AIRFLOW_DVPP_USER_PROD</t>
  </si>
  <si>
    <t>DVPP_PROD</t>
  </si>
  <si>
    <t>2025-10-02 00:09:06.664 -0400</t>
  </si>
  <si>
    <t>DDQM_INTEGRATION_ACCOUNT</t>
  </si>
  <si>
    <t>DOCKER_DESKTOP_QUALITY_METRICS</t>
  </si>
  <si>
    <t>2025-10-02 05:01:09.662 -0400</t>
  </si>
  <si>
    <t>DATABRICKS_USER</t>
  </si>
  <si>
    <t>PROD_DATABRICKS</t>
  </si>
  <si>
    <t>2025-10-02 05:02:31.734 -0400</t>
  </si>
  <si>
    <t>SIGMA_INCR_WH_USER</t>
  </si>
  <si>
    <t>SIGMA_DATA_PROD</t>
  </si>
  <si>
    <t>2025-10-02 05:24:08.838 -0400</t>
  </si>
  <si>
    <t>GAINSIGHT</t>
  </si>
  <si>
    <t>2025-10-02 06:12:02.952 -0400</t>
  </si>
  <si>
    <t>AIRFLOW_WOOTRIC_USER_PROD</t>
  </si>
  <si>
    <t>WOOTRIC_INGESTION_PROD</t>
  </si>
  <si>
    <t>2025-10-02 07:00:39.556 -0400</t>
  </si>
  <si>
    <t>SIGMA_COREDATA</t>
  </si>
  <si>
    <t>SNOWFLAKE_MONITOR</t>
  </si>
  <si>
    <t>2025-10-02 07:24:10.703 -0400</t>
  </si>
  <si>
    <t>TEST_BI_GG_DEV</t>
  </si>
  <si>
    <t>DOCKER_DEFAULT_AND_WORKSPACES_READONLY, DOCKER_DESKTOP_READONLY</t>
  </si>
  <si>
    <t>2025-10-02 08:01:39.874 -0400</t>
  </si>
  <si>
    <t>PREVIEW_AIRFLOW_DEPLOYMENTS</t>
  </si>
  <si>
    <t>2025-10-02 10:48:15.699 -0400</t>
  </si>
  <si>
    <t>PREDICTED_ASSOCIATIONS_ETL</t>
  </si>
  <si>
    <t>2025-10-02 11:00:05.843 -0400</t>
  </si>
  <si>
    <t>SIGMA_CS_USER</t>
  </si>
  <si>
    <t>SIGMA_CS</t>
  </si>
  <si>
    <t>2025-10-02 11:02:09.406 -0400</t>
  </si>
  <si>
    <t>DEV_DATA_DBT_USER</t>
  </si>
  <si>
    <t>DEV_DBT_DEPLOYMENTS, ENGINEERING_DEV, MARKETING_ADMIN, MARKETING_DEV, PRODUCT_ANALYST, SALESOPS_DEV</t>
  </si>
  <si>
    <t>2025-10-02 11:47:46.014 -0400</t>
  </si>
  <si>
    <t>SIGMA_APP_OWNER</t>
  </si>
  <si>
    <t>SIGMA_APP_OWNER_ROLE</t>
  </si>
  <si>
    <t>2025-10-02 11:49:35.088 -0400</t>
  </si>
  <si>
    <t>SIGMA_DEV_USER</t>
  </si>
  <si>
    <t>SIGMA_DATA_DEV</t>
  </si>
  <si>
    <t>2025-10-02 12:51:26.968 -0400</t>
  </si>
  <si>
    <t>DBT_PROD_DEPLOYMENT_WORKSPACES_USER</t>
  </si>
  <si>
    <t>DBT_PROD_DEPLOYMENTS_WORKSPACES_ROLE</t>
  </si>
  <si>
    <t>2025-10-02 13:24:03.831 -0400</t>
  </si>
  <si>
    <t>MCP_SERVICE_ACCOUNT_TEMP</t>
  </si>
  <si>
    <t>2025-10-02 13:25:37.572 -0400</t>
  </si>
  <si>
    <t>GITHUB_ACTIONS_BUGSNAG_USER</t>
  </si>
  <si>
    <t>BUGSNAG</t>
  </si>
  <si>
    <t>2025-10-02 14:03:11.584 -0400</t>
  </si>
  <si>
    <t>LOOKER_COREDATA_USER</t>
  </si>
  <si>
    <t>LOOKER_COREDATA</t>
  </si>
  <si>
    <t>ACCOUNT_MONITOR, COREDATA_DEV, LOOKER_COREDATA, LOOKER_COREDATA_PII</t>
  </si>
  <si>
    <t>2025-10-02 14:26:39.950 -0400</t>
  </si>
  <si>
    <t>SEGMENT_USER</t>
  </si>
  <si>
    <t>SEGMENT_ROLE</t>
  </si>
  <si>
    <t>2025-10-02 15:18:11.675 -0400</t>
  </si>
  <si>
    <t>INSIGHTS_USER</t>
  </si>
  <si>
    <t>INSIGHTS_ROLE</t>
  </si>
  <si>
    <t>2025-10-02 15:18:18.870 -0400</t>
  </si>
  <si>
    <t>HIGHTOUCH_USER</t>
  </si>
  <si>
    <t>HIGHTOUCH_ROLE</t>
  </si>
  <si>
    <t>2025-10-02 15:44:50.762 -0400</t>
  </si>
  <si>
    <t>DBT_CI</t>
  </si>
  <si>
    <t>DBT_CI_DEPLOYMENTS</t>
  </si>
  <si>
    <t>2025-10-02 15:54:34.813 -0400</t>
  </si>
  <si>
    <t>LOOKER_DOCKER_DESKTOP_USER</t>
  </si>
  <si>
    <t>LOOKER_DOCKER_DESKTOP</t>
  </si>
  <si>
    <t>2025-10-02 15:59:56.135 -0400</t>
  </si>
  <si>
    <t>AIRFLOW_EVENTS_ADMIN_USER</t>
  </si>
  <si>
    <t>EVENTS_ADMIN</t>
  </si>
  <si>
    <t>EVENTS_ADMIN, EVENTS_ADMIN_STAGING</t>
  </si>
  <si>
    <t>2025-10-02 16:00:38.441 -0400</t>
  </si>
  <si>
    <t>2025-10-02 16:01:25.213 -0400</t>
  </si>
  <si>
    <t>FIVETRAN_USER</t>
  </si>
  <si>
    <t>FIVETRAN_ROLE</t>
  </si>
  <si>
    <t>FIVETRAN_JIRA_ROLE, FIVETRAN_ROLE</t>
  </si>
  <si>
    <t>2025-10-02 16:01:38.069 -0400</t>
  </si>
  <si>
    <t>INSIGHTS_SANDBOX_USER</t>
  </si>
  <si>
    <t>INSIGHTS_SANDBOX_DEV</t>
  </si>
  <si>
    <t>2025-10-02 16:03:07.086 -0400</t>
  </si>
  <si>
    <t>SIGMA_PROD_USER</t>
  </si>
  <si>
    <t>SIGMA_CUSTOMER_SUPPORT, SIGMA_DATA_PROD, SIGMA_ENGINEERING, SIGMA_EXEC, SIGMA_FINANCE, SIGMA_GA_GENERAL, SIGMA_MARKETING, SIGMA_PEOPLE, SIGMA_PRODUCT, SIGMA_SALES</t>
  </si>
  <si>
    <t>2025-10-02 16:04:15.037 -0400</t>
  </si>
  <si>
    <t>PROD_DATA_DBT_USER</t>
  </si>
  <si>
    <t>prod_dbt_deployments</t>
  </si>
  <si>
    <t>PROD_DBT_DEPLOYMENTS</t>
  </si>
  <si>
    <t>2025-10-02 16:04:17.442 -0400</t>
  </si>
  <si>
    <t>PROD_DVP_DBT_USER</t>
  </si>
  <si>
    <t>prod_dbt_dvp_deployments</t>
  </si>
  <si>
    <t>PROD_DBT_DVP_DEPLOYMENTS</t>
  </si>
  <si>
    <t>2025-10-02 16:04:40.610 -0400</t>
  </si>
  <si>
    <t>SIGMA_POC_USER</t>
  </si>
  <si>
    <t>SIGMA_POC_ROLE</t>
  </si>
  <si>
    <t>2025-10-02 16:04:46.407 -0400</t>
  </si>
  <si>
    <t>LOOKER_MARKETING_SALESOPS_USER</t>
  </si>
  <si>
    <t>LOOKER_SALESOPS_MARKETING</t>
  </si>
  <si>
    <t>LOOKER_SALESOPS_MARKETING, LOOKER_SALESOPS_MARKETING_PII</t>
  </si>
  <si>
    <t>2025-10-02 16:04:51.160 -0400</t>
  </si>
  <si>
    <t>LOOKER_USER</t>
  </si>
  <si>
    <t>LOOKER_ROLE</t>
  </si>
  <si>
    <t>LOOKER_FINANCE_USER</t>
  </si>
  <si>
    <t>LOOKER_FINANCE</t>
  </si>
  <si>
    <t>2025-10-02 16:04:51.233 -0400</t>
  </si>
  <si>
    <t>LOOKER_CENTRAL_DATA_USER</t>
  </si>
  <si>
    <t>LOOKER_PRESENTATION_ROLE</t>
  </si>
  <si>
    <t>LOOKER_PRESENTATION_ROLE, LOOKER_PRESENTATION_ROLE_PII</t>
  </si>
  <si>
    <t>2025-10-02 16:04:51.317 -0400</t>
  </si>
  <si>
    <t>SALESFORCE</t>
  </si>
  <si>
    <t>2025-10-02 16:04:56.080 -0400</t>
  </si>
  <si>
    <t>License Type</t>
  </si>
  <si>
    <t>Account Type</t>
  </si>
  <si>
    <t>User Created at (UTC)</t>
  </si>
  <si>
    <t>Last Query Time (UTC)</t>
  </si>
  <si>
    <t>Days Since Last Query</t>
  </si>
  <si>
    <t>Invited By User Name</t>
  </si>
  <si>
    <t>Invited By User Email</t>
  </si>
  <si>
    <t>Invite Date (UTC)</t>
  </si>
  <si>
    <t>Account Permissions</t>
  </si>
  <si>
    <t># Queries, Last 90 Days</t>
  </si>
  <si>
    <t>Teams</t>
  </si>
  <si>
    <t># Teams</t>
  </si>
  <si>
    <t>Org Member Is Email Verified</t>
  </si>
  <si>
    <t>Exit Test 1</t>
  </si>
  <si>
    <t>exit.test1@docker.com</t>
  </si>
  <si>
    <t>view</t>
  </si>
  <si>
    <t>View</t>
  </si>
  <si>
    <t>canComment, canDownloadLegacyDocs, canViewDashboard, canViewDatasetOrSql, canViewWorkbook, canViewWorksheet</t>
  </si>
  <si>
    <t>All Members, Product</t>
  </si>
  <si>
    <t>Test account</t>
  </si>
  <si>
    <t>Cheryl Lim</t>
  </si>
  <si>
    <t>Cheryl_lim@docker.com</t>
  </si>
  <si>
    <t>All Members, Customer-Support</t>
  </si>
  <si>
    <t>No queries</t>
  </si>
  <si>
    <t>Affandi Kamarolzaman</t>
  </si>
  <si>
    <t>affandi_kamarolzaman@docker.com</t>
  </si>
  <si>
    <t>[Invited via SAML]</t>
  </si>
  <si>
    <t>All Members, Marketing</t>
  </si>
  <si>
    <t>Alex Salkever</t>
  </si>
  <si>
    <t>alex_salkever@docker.com</t>
  </si>
  <si>
    <t>Arlie Queenie</t>
  </si>
  <si>
    <t>arlie_queenie@docker.com</t>
  </si>
  <si>
    <t>Bjorn Hovd</t>
  </si>
  <si>
    <t>bjorn.hovd@docker.com</t>
  </si>
  <si>
    <t>All Members, Sales Team</t>
  </si>
  <si>
    <t>Blaine Wilson</t>
  </si>
  <si>
    <t>blaine.wilson@docker.com</t>
  </si>
  <si>
    <t>All Members, G&amp;A</t>
  </si>
  <si>
    <t>Brent Seaton</t>
  </si>
  <si>
    <t>brent.seaton@docker.com</t>
  </si>
  <si>
    <t>All Members, Finance-Ops, G&amp;A</t>
  </si>
  <si>
    <t>Chongghee Lee</t>
  </si>
  <si>
    <t>Chooi Gaik Goh</t>
  </si>
  <si>
    <t>chooi_goh@docker.com</t>
  </si>
  <si>
    <t>Danielle Schwolow</t>
  </si>
  <si>
    <t>danielle_schwolow@docker.com</t>
  </si>
  <si>
    <t>David Oro</t>
  </si>
  <si>
    <t>david_oro@docker.com</t>
  </si>
  <si>
    <t>David Otero</t>
  </si>
  <si>
    <t>david_otero@docker.com</t>
  </si>
  <si>
    <t>Don Knieriem</t>
  </si>
  <si>
    <t>don_knieriem@docker.com</t>
  </si>
  <si>
    <t>Eddie Aguilar</t>
  </si>
  <si>
    <t>eddie_aguilar@docker.com</t>
  </si>
  <si>
    <t>Emily Lee</t>
  </si>
  <si>
    <t>emily_lee@docker.com</t>
  </si>
  <si>
    <t>Fotini Demetriou</t>
  </si>
  <si>
    <t>fotini_demetriou@docker.com</t>
  </si>
  <si>
    <t>Garth Avery</t>
  </si>
  <si>
    <t>garth_avery@docker.com</t>
  </si>
  <si>
    <t>All Members, Customer-Support, Engineering-Team</t>
  </si>
  <si>
    <t>Okta Integration</t>
  </si>
  <si>
    <t>it+okta@docker.com</t>
  </si>
  <si>
    <t>Ivan Wong</t>
  </si>
  <si>
    <t>ivan_wong@docker.com</t>
  </si>
  <si>
    <t>James Koons</t>
  </si>
  <si>
    <t>james_koons@docker.com</t>
  </si>
  <si>
    <t>All Members, Engineering-Team</t>
  </si>
  <si>
    <t>Jeff Kellner</t>
  </si>
  <si>
    <t>jeff_kellner@docker.com</t>
  </si>
  <si>
    <t>Jefferson Fletcher</t>
  </si>
  <si>
    <t>jefferson_fletcher@docker.com</t>
  </si>
  <si>
    <t>Jerry Chiew</t>
  </si>
  <si>
    <t>jerry_chiew@docker.com</t>
  </si>
  <si>
    <t>Kek Young</t>
  </si>
  <si>
    <t>Kenan Warren</t>
  </si>
  <si>
    <t>kenan_warren@docker.com</t>
  </si>
  <si>
    <t>Khushboo Verma</t>
  </si>
  <si>
    <t>khushboo_verma@docker.com</t>
  </si>
  <si>
    <t>Kottu Jessy Kanth</t>
  </si>
  <si>
    <t>kottu_jessykanth@docker.com</t>
  </si>
  <si>
    <t>Laszlo Zagyva</t>
  </si>
  <si>
    <t>laszlo_zagyva@docker.com</t>
  </si>
  <si>
    <t>Malarvannan Velu</t>
  </si>
  <si>
    <t>Nick Chiodo</t>
  </si>
  <si>
    <t>nick_chiodo@docker.com</t>
  </si>
  <si>
    <t>Nurul Syakirah Ahmad Ghazali</t>
  </si>
  <si>
    <t>Rachel Hugo</t>
  </si>
  <si>
    <t>rachel_hugo@docker.com</t>
  </si>
  <si>
    <t>Rebecca Hirsch</t>
  </si>
  <si>
    <t>rebecca_hirsch@docker.com</t>
  </si>
  <si>
    <t>Sales Integration</t>
  </si>
  <si>
    <t>sales-integration@docker.com</t>
  </si>
  <si>
    <t>Sasha Knipe</t>
  </si>
  <si>
    <t>sasha_knipe@docker.com</t>
  </si>
  <si>
    <t>Scott Smith</t>
  </si>
  <si>
    <t>scott_smith@docker.com</t>
  </si>
  <si>
    <t>Siti Roslan</t>
  </si>
  <si>
    <t>Slack Workflowtest</t>
  </si>
  <si>
    <t>slack.workflowtest@docker.com</t>
  </si>
  <si>
    <t>Srini Sekaran</t>
  </si>
  <si>
    <t>srini.sekaran@docker.com</t>
  </si>
  <si>
    <t>Sriram Devaraj</t>
  </si>
  <si>
    <t>Tom Yue</t>
  </si>
  <si>
    <t>tom.yue@docker.com</t>
  </si>
  <si>
    <t>Vasisth Kumar</t>
  </si>
  <si>
    <t>vasisth_kumar@docker.com</t>
  </si>
  <si>
    <t>External_consultant</t>
  </si>
  <si>
    <t>Sarb Adhikari</t>
  </si>
  <si>
    <t>sarbajit.adhikari@docker.com</t>
  </si>
  <si>
    <t>build</t>
  </si>
  <si>
    <t>admin</t>
  </si>
  <si>
    <t>canAdmin, canAnnotate, canApplyTag, canBadge, canBasicExploreWorkbook, canComment, canCreateDatasheet, canCreateWarehouseView, canCreateWorkspace, canDevelopPlugins, canDownloadLegacyDocs, canEditDashboard, canEditDatasetOrSql, canEditInputTable, canEditWorksheet, canEmbed, canExploreWorkbook, canExport, canExportToCloud, canJoin, canManageBranding, canManageConnection, canManageFontsThemes, canMaterialize, canOrganize, canSaveWorkbook, canScheduleExport, canSeeOrgUsage, canShare, canUpdateDataRefresh, canUpdateTable, canUploadCsv, canVersionTag, canViewConnection, canViewDashboard, canViewDatasetOrSql, canViewWorkbook, canViewWorksheet, canWriteCode</t>
  </si>
  <si>
    <t>All Members, PROD-Data &amp; Growth Group, Product</t>
  </si>
  <si>
    <t>Jonathan_gan@docker.com</t>
  </si>
  <si>
    <t>Ben_Abarzua@docker.com</t>
  </si>
  <si>
    <t>Ajeet Raina</t>
  </si>
  <si>
    <t>Bill Marozas</t>
  </si>
  <si>
    <t>bill.marozas@docker.com</t>
  </si>
  <si>
    <t>Tuna Icingir</t>
  </si>
  <si>
    <t>tuna.icingir@docker.com</t>
  </si>
  <si>
    <t>canAnnotate, canApplyTag, canBadge, canBasicExploreWorkbook, canComment, canCreateDatasheet, canDownloadLegacyDocs, canEditDashboard, canEditDatasetOrSql, canEditInputTable, canEditWorksheet, canExploreWorkbook, canExport, canJoin, canMaterialize, canOrganize, canSaveWorkbook, canScheduleExport, canSeeOrgUsage, canShare, canUpdateDataRefresh, canUpdateTable, canUploadCsv, canViewConnection, canViewDashboard, canViewDatasetOrSql, canViewWorkbook, canViewWorksheet</t>
  </si>
  <si>
    <t>Alec Carter</t>
  </si>
  <si>
    <t>All Members, G&amp;A, People Team</t>
  </si>
  <si>
    <t>Alec Warren</t>
  </si>
  <si>
    <t>Ali Mulla Mahmoud</t>
  </si>
  <si>
    <t>Allie Sadler</t>
  </si>
  <si>
    <t>Andrea Janov</t>
  </si>
  <si>
    <t>Andrew Breja</t>
  </si>
  <si>
    <t>Andy Levisay</t>
  </si>
  <si>
    <t>Anna Brawner</t>
  </si>
  <si>
    <t>All Members, Finance Team, Finance-Ops, G&amp;A</t>
  </si>
  <si>
    <t>Ben Griffiths</t>
  </si>
  <si>
    <t>Bill Pijewski</t>
  </si>
  <si>
    <t>Brent Paterson</t>
  </si>
  <si>
    <t>Bryan Ross</t>
  </si>
  <si>
    <t>Carmen Martinho</t>
  </si>
  <si>
    <t>Dan Deloff</t>
  </si>
  <si>
    <t>Daniel Nguyen</t>
  </si>
  <si>
    <t>Daniel Sears</t>
  </si>
  <si>
    <t>Domingo Fernández Gago</t>
  </si>
  <si>
    <t>Beth Granai</t>
  </si>
  <si>
    <t>Emre Ugurlu</t>
  </si>
  <si>
    <t>Eric Karnis</t>
  </si>
  <si>
    <t>Eric Muise</t>
  </si>
  <si>
    <t>Ewa Sarota-Raczek</t>
  </si>
  <si>
    <t>Fabienne Anhalt</t>
  </si>
  <si>
    <t>Forest Eckhardt</t>
  </si>
  <si>
    <t>Forrest Loomis</t>
  </si>
  <si>
    <t>Gauri Razdan</t>
  </si>
  <si>
    <t>Greg Jablonski</t>
  </si>
  <si>
    <t>Ian Wilson</t>
  </si>
  <si>
    <t>Innell Agodjro</t>
  </si>
  <si>
    <t>James Childs</t>
  </si>
  <si>
    <t>Jason Bivins</t>
  </si>
  <si>
    <t>Jin Kim</t>
  </si>
  <si>
    <t>Julianne Campbell</t>
  </si>
  <si>
    <t>Katja Gussmann</t>
  </si>
  <si>
    <t>analyze</t>
  </si>
  <si>
    <t>Analyze</t>
  </si>
  <si>
    <t>canBasicExploreWorkbook, canComment, canDownloadLegacyDocs, canEditInputTable, canExploreWorkbook, canExport, canScheduleExport, canViewDashboard, canViewDatasetOrSql, canViewWorkbook, canViewWorksheet</t>
  </si>
  <si>
    <t>Kelly Freet</t>
  </si>
  <si>
    <t>All Members, Exec, Marketing</t>
  </si>
  <si>
    <t>Kyle Marscellas</t>
  </si>
  <si>
    <t>Kyle Seely</t>
  </si>
  <si>
    <t>Kyle Trantham</t>
  </si>
  <si>
    <t>Larissa Abaidoo</t>
  </si>
  <si>
    <t>Luca Guerra</t>
  </si>
  <si>
    <t>Mahya Malek Khosravi</t>
  </si>
  <si>
    <t>Mia AlSaif</t>
  </si>
  <si>
    <t>Mark Gabriel</t>
  </si>
  <si>
    <t>All Members, Exec, Sales Team</t>
  </si>
  <si>
    <t>Megan Callaghan</t>
  </si>
  <si>
    <t>Meliza Estrella-Tennant</t>
  </si>
  <si>
    <t>Mike Coleman</t>
  </si>
  <si>
    <t>All Members</t>
  </si>
  <si>
    <t>Omar Pérez</t>
  </si>
  <si>
    <t>PeiFang Sung</t>
  </si>
  <si>
    <t>Rebeca Pereira</t>
  </si>
  <si>
    <t>Rodny Molina Maldonado</t>
  </si>
  <si>
    <t>Ross Russell</t>
  </si>
  <si>
    <t>Saurabh Davala</t>
  </si>
  <si>
    <t>All Members, Exec, Finance Team, Finance-Ops, G&amp;A</t>
  </si>
  <si>
    <t>All Members, Engineering-Team, Finance-Ops, G&amp;A</t>
  </si>
  <si>
    <t>Stephen Oriowo</t>
  </si>
  <si>
    <t>Sue Scott</t>
  </si>
  <si>
    <t>Terry Smith</t>
  </si>
  <si>
    <t>Tianon Gravi Page</t>
  </si>
  <si>
    <t>Ronnie Steiger</t>
  </si>
  <si>
    <t>Wes White</t>
  </si>
  <si>
    <t>Zoe Jones</t>
  </si>
  <si>
    <t>Rob Murray</t>
  </si>
  <si>
    <t>Ryan Phelps</t>
  </si>
  <si>
    <t>Oleg Burov</t>
  </si>
  <si>
    <t>Dan Berezin Stelzer</t>
  </si>
  <si>
    <t>Quentin Laplanche</t>
  </si>
  <si>
    <t>All Members, Exec, G&amp;A</t>
  </si>
  <si>
    <t>John Ayub</t>
  </si>
  <si>
    <t>Emily Casey</t>
  </si>
  <si>
    <t>Mandy Huey</t>
  </si>
  <si>
    <t>All Members, Engineering-Team, Sales Team</t>
  </si>
  <si>
    <t>Salman Danyial</t>
  </si>
  <si>
    <t>All Members, Exec, Product</t>
  </si>
  <si>
    <t>André Ramos</t>
  </si>
  <si>
    <t>All Members, Product, Sales Team</t>
  </si>
  <si>
    <t>Chad Fryer</t>
  </si>
  <si>
    <t>Grant Orndorff</t>
  </si>
  <si>
    <t>Akhilesh Yarabarla</t>
  </si>
  <si>
    <t>Benjamin LeBlanc</t>
  </si>
  <si>
    <t>Kimberly Miller-Olson</t>
  </si>
  <si>
    <t>Ashley Palardy</t>
  </si>
  <si>
    <t>All Members, Engineering-Team, Exec</t>
  </si>
  <si>
    <t>Lo English</t>
  </si>
  <si>
    <t>Audrey Park</t>
  </si>
  <si>
    <t>Eric Curtin</t>
  </si>
  <si>
    <t>Enin Kaduk</t>
  </si>
  <si>
    <t>All Members, Marketing, Product</t>
  </si>
  <si>
    <t>Nick Burleigh</t>
  </si>
  <si>
    <t>nick@sigmacomputing.com</t>
  </si>
  <si>
    <t>Abby Allen</t>
  </si>
  <si>
    <t>id</t>
  </si>
  <si>
    <t>email</t>
  </si>
  <si>
    <t>Reviewed by Josh</t>
  </si>
  <si>
    <t>samlp|docker|bryan.ross@docker.com</t>
  </si>
  <si>
    <t>["editor-specific-apps","viewer-config","support-access","elevated-support-access"]</t>
  </si>
  <si>
    <t>x</t>
  </si>
  <si>
    <t>samlp|docker|gurleen.sethi@docker.com</t>
  </si>
  <si>
    <t>["viewer-config","support-access","editor-users","editor-specific-apps","elevated-support-access","editor-connections"]</t>
  </si>
  <si>
    <t>samlp|docker|ivan.californias@docker.com</t>
  </si>
  <si>
    <t>["admin","elevated-support-access"]</t>
  </si>
  <si>
    <t>samlp|docker|jonathan.dieu@docker.com</t>
  </si>
  <si>
    <t>["elevated-support-access"]</t>
  </si>
  <si>
    <t>samlp|docker|josh.newman@docker.com</t>
  </si>
  <si>
    <t>samlp|docker|shawn.axsom@docker.com</t>
  </si>
  <si>
    <t>samlp|docker|siarhei.karneichyk@docker.com</t>
  </si>
  <si>
    <t>Role</t>
  </si>
  <si>
    <t>Checked</t>
  </si>
  <si>
    <t>Datadog Read Only Role</t>
  </si>
  <si>
    <t>C.F.</t>
  </si>
  <si>
    <t>Datadog Standard Role</t>
  </si>
  <si>
    <t>Datadog Admin Role</t>
  </si>
  <si>
    <t>tfa_enabled</t>
  </si>
  <si>
    <t>tfa_level</t>
  </si>
  <si>
    <t>tfa_required_by</t>
  </si>
  <si>
    <t>organization_roles_count</t>
  </si>
  <si>
    <t>AndreSilva1993</t>
  </si>
  <si>
    <t>insecure</t>
  </si>
  <si>
    <t>Member</t>
  </si>
  <si>
    <t>andrestylianos</t>
  </si>
  <si>
    <t>André Stylianos Ramos</t>
  </si>
  <si>
    <t>secure</t>
  </si>
  <si>
    <t>atomist-bot</t>
  </si>
  <si>
    <t>Atomist Bot</t>
  </si>
  <si>
    <t>benja-M-1</t>
  </si>
  <si>
    <t>Bkblodget</t>
  </si>
  <si>
    <t>chadfryer</t>
  </si>
  <si>
    <t>chasefrankenfeld</t>
  </si>
  <si>
    <t>chrispatrick</t>
  </si>
  <si>
    <t>ckenna</t>
  </si>
  <si>
    <t>Christopher Kenna</t>
  </si>
  <si>
    <t>Daniel-Kolev</t>
  </si>
  <si>
    <t>EmreUgurluDocker</t>
  </si>
  <si>
    <t>jcarter3</t>
  </si>
  <si>
    <t>jpbriend</t>
  </si>
  <si>
    <t>Kyle-Trantham</t>
  </si>
  <si>
    <t>LucaGuerra</t>
  </si>
  <si>
    <t>lukoboi</t>
  </si>
  <si>
    <t>quentin-laplanche</t>
  </si>
  <si>
    <t>Temenuzhka Thede</t>
  </si>
  <si>
    <t>uid0</t>
  </si>
  <si>
    <t>whalelines</t>
  </si>
  <si>
    <t>whostolebenfrog</t>
  </si>
  <si>
    <t>wolfshirts</t>
  </si>
  <si>
    <t>Note</t>
  </si>
  <si>
    <t>sakoht</t>
  </si>
  <si>
    <t>1wilkens</t>
  </si>
  <si>
    <t>Florian Wilkens</t>
  </si>
  <si>
    <t>ajeetraina</t>
  </si>
  <si>
    <t>Ajeet Singh Raina, Docker Captain, ARM Innovator,</t>
  </si>
  <si>
    <t>dimomatt</t>
  </si>
  <si>
    <t>Matthew Dimond</t>
  </si>
  <si>
    <t>jakoblell</t>
  </si>
  <si>
    <t>Jakob Lell</t>
  </si>
  <si>
    <t>kenanwarren</t>
  </si>
  <si>
    <t>MrWoo034</t>
  </si>
  <si>
    <t>Leif A Brockman</t>
  </si>
  <si>
    <t>stze</t>
  </si>
  <si>
    <t>Stephan Zeisberg</t>
  </si>
  <si>
    <t>dockermfies</t>
  </si>
  <si>
    <t>genco-srl</t>
  </si>
  <si>
    <t>hannahSiimpl</t>
  </si>
  <si>
    <t>disabled</t>
  </si>
  <si>
    <t>Ollrogge</t>
  </si>
  <si>
    <t>Nils</t>
  </si>
  <si>
    <t>trevorbye</t>
  </si>
  <si>
    <t>zubes1</t>
  </si>
  <si>
    <t>tianon-sso</t>
  </si>
  <si>
    <t>Andrew Page</t>
  </si>
  <si>
    <t>Name and email do not match</t>
  </si>
  <si>
    <t>a-dubs</t>
  </si>
  <si>
    <t>benharris-docker</t>
  </si>
  <si>
    <t>blueprismo</t>
  </si>
  <si>
    <t>brunoproduit</t>
  </si>
  <si>
    <t>craig-osterhout</t>
  </si>
  <si>
    <t>elliotrushton</t>
  </si>
  <si>
    <t>fabienne0708</t>
  </si>
  <si>
    <t>fazlan-nazeem</t>
  </si>
  <si>
    <t>ForestEckhardt</t>
  </si>
  <si>
    <t>john-craft</t>
  </si>
  <si>
    <t>jtwils17</t>
  </si>
  <si>
    <t>LaurentGoderre</t>
  </si>
  <si>
    <t>lizzthabet</t>
  </si>
  <si>
    <t>mikedon</t>
  </si>
  <si>
    <t>mpermar</t>
  </si>
  <si>
    <t>Martín Pérez</t>
  </si>
  <si>
    <t>natebDev</t>
  </si>
  <si>
    <t>nathancar11c-code</t>
  </si>
  <si>
    <t>neersighted</t>
  </si>
  <si>
    <t>orndorffgrant</t>
  </si>
  <si>
    <t>pkhanchandan</t>
  </si>
  <si>
    <t>sarahsanders-docker</t>
  </si>
  <si>
    <t>usha-mandya</t>
  </si>
  <si>
    <t>yosifkit</t>
  </si>
  <si>
    <t>dhi-bot</t>
  </si>
  <si>
    <t>Docker Hardened Images [bot]</t>
  </si>
  <si>
    <t>docker-scout</t>
  </si>
  <si>
    <t>Docker Scout [bot]</t>
  </si>
  <si>
    <t>Resource set</t>
  </si>
  <si>
    <t>Contained resources</t>
  </si>
  <si>
    <t>Resources constrained with conditions</t>
  </si>
  <si>
    <t>Contained permissions</t>
  </si>
  <si>
    <t>Permissions constrained with conditions</t>
  </si>
  <si>
    <t>Admin</t>
  </si>
  <si>
    <t>Login</t>
  </si>
  <si>
    <t>Last Login_ISO8601</t>
  </si>
  <si>
    <t>role assigned to</t>
  </si>
  <si>
    <t>Expires in</t>
  </si>
  <si>
    <t>Bundle name</t>
  </si>
  <si>
    <t>VSLOOKUP</t>
  </si>
  <si>
    <t>AWS IAM Identity Center</t>
  </si>
  <si>
    <t>AppAdmin</t>
  </si>
  <si>
    <t>Standard Role</t>
  </si>
  <si>
    <t>2025-10-02T14:05:02.000Z</t>
  </si>
  <si>
    <t>group: Infrastructure Team</t>
  </si>
  <si>
    <t>AWSSSO_OktaAppAccess</t>
  </si>
  <si>
    <t>GroupAdmin</t>
  </si>
  <si>
    <t>AWSSSO_BillingManagers</t>
  </si>
  <si>
    <t>AWSSSO_CloudExperimentEngineers</t>
  </si>
  <si>
    <t>AWSSSO_HubCloudEngineers</t>
  </si>
  <si>
    <t>AWSSSO_MarketplaceReportingUsers</t>
  </si>
  <si>
    <t>AWSSSO_SalesOperations</t>
  </si>
  <si>
    <t>AWSSSO_HubCloudAdministrators</t>
  </si>
  <si>
    <t>AWSSSO_ComplianceEngineers</t>
  </si>
  <si>
    <t>AWSSSO_DeveloperPlatformEngineers</t>
  </si>
  <si>
    <t>AWSSSO_DataEngineers</t>
  </si>
  <si>
    <t>AWSSSO_AutoBuildManagers</t>
  </si>
  <si>
    <t>AWSSSO_DocsEngineers</t>
  </si>
  <si>
    <t>AWSSSO_SupplyChainEngineers</t>
  </si>
  <si>
    <t>AWSSSO_DesktopEngineers</t>
  </si>
  <si>
    <t>AWSSSO_ViewOnlyEngineers</t>
  </si>
  <si>
    <t>AWSSSO_CIAdministrators</t>
  </si>
  <si>
    <t>AWSSSO_CloudBuildEngineers</t>
  </si>
  <si>
    <t>AWSSSO_SecurityEngineers</t>
  </si>
  <si>
    <t>AWSSSO_SalesEngineers</t>
  </si>
  <si>
    <t>AWSSSO_HarmoniaEngineers</t>
  </si>
  <si>
    <t>AWSSSO_SkalableTech</t>
  </si>
  <si>
    <t>AWSSSO_SupportEngineers</t>
  </si>
  <si>
    <t>AWSSSO_MobyAssistEngineers</t>
  </si>
  <si>
    <t>AWSSSO_ZeusPlatformEngineer</t>
  </si>
  <si>
    <t>AWSSSO_ZeusProductEngineer</t>
  </si>
  <si>
    <t>Office 365 Unlicensed Users (.com)</t>
  </si>
  <si>
    <t>Office365 Unlicensed Users (.co)</t>
  </si>
  <si>
    <t>AWSSSO_BillforwardReaders</t>
  </si>
  <si>
    <t>AWSSSO_HubAccountsAdmins</t>
  </si>
  <si>
    <t>AWSSSO_MarketplaceAdministrators</t>
  </si>
  <si>
    <t>AWSSSO_SecureKubernetesEngineers</t>
  </si>
  <si>
    <t>AWSSSO_ServerlessTeam</t>
  </si>
  <si>
    <t>AWSSSO_AIGatewayEngineers</t>
  </si>
  <si>
    <t>AWSSSO_GoToMarketAITeam</t>
  </si>
  <si>
    <t>All</t>
  </si>
  <si>
    <t>SuperOrgAdmin</t>
  </si>
  <si>
    <t>individual</t>
  </si>
  <si>
    <t>ReadOnlyAdmin</t>
  </si>
  <si>
    <t>2025-09-25T19:13:34.000Z</t>
  </si>
  <si>
    <t>2025-10-02T18:16:29.000Z</t>
  </si>
  <si>
    <t>2025-09-14T14:02:40.000Z</t>
  </si>
  <si>
    <t>Docker AI</t>
  </si>
  <si>
    <t>GroupMembershipAdmin</t>
  </si>
  <si>
    <t>2025-10-02T11:50:29.000Z</t>
  </si>
  <si>
    <t>2025-10-02T16:19:20.000Z</t>
  </si>
  <si>
    <t>2025-10-02T14:30:13.000Z</t>
  </si>
  <si>
    <t>2025-09-17T14:23:38.000Z</t>
  </si>
  <si>
    <t>2025-10-02T16:50:15.000Z</t>
  </si>
  <si>
    <t>2025-10-02T07:43:54.000Z</t>
  </si>
  <si>
    <t>2025-10-02T13:50:51.000Z</t>
  </si>
  <si>
    <t>Create Group Resource Set</t>
  </si>
  <si>
    <t>All groups</t>
  </si>
  <si>
    <t>Create Group Admin</t>
  </si>
  <si>
    <t>okta.groups.manage</t>
  </si>
  <si>
    <t>2025-10-02T17:19:19.000Z</t>
  </si>
  <si>
    <t>All OpenID Connect Client apps</t>
  </si>
  <si>
    <t>ApiAccessManagementAdmin</t>
  </si>
  <si>
    <t>HelpDeskAdmin</t>
  </si>
  <si>
    <t>2025-10-02T16:20:31.000Z</t>
  </si>
  <si>
    <t>Workflows Resource Set</t>
  </si>
  <si>
    <t>Workflows Administrator</t>
  </si>
  <si>
    <t>okta.workflows.invoke, okta.workflows.folders.manage, okta.workflows.connectors.manage, okta.workflows.tables.manage, okta.workflows.flows.invoke, okta.workflows.connections.manage, okta.workflows.flows.manage</t>
  </si>
  <si>
    <t>2025-10-02T14:09:47.000Z</t>
  </si>
  <si>
    <t>2025-10-02T01:06:52.000Z</t>
  </si>
  <si>
    <t>TeamOhana Users</t>
  </si>
  <si>
    <t>2025-10-01T22:02:16.000Z</t>
  </si>
  <si>
    <t>2025-10-02T12:47:17.000Z</t>
  </si>
  <si>
    <t>2025-10-02T17:26:32.000Z</t>
  </si>
  <si>
    <t>2025-10-02T15:36:19.000Z</t>
  </si>
  <si>
    <t>2025-10-02T16:57:02.000Z</t>
  </si>
  <si>
    <t>All Stripe apps</t>
  </si>
  <si>
    <t>2025-10-02T14:56:29.000Z</t>
  </si>
  <si>
    <t>2025-10-02T18:01:36.000Z</t>
  </si>
  <si>
    <t>2025-10-02T08:50:47.000Z</t>
  </si>
  <si>
    <t>2025-10-02T13:55:25.000Z</t>
  </si>
  <si>
    <t>2025-10-02T18:08:07.000Z</t>
  </si>
  <si>
    <t>anecdotes</t>
  </si>
  <si>
    <t>Anecdotes (SAML)</t>
  </si>
  <si>
    <t>All Tracebit (SAML) apps</t>
  </si>
  <si>
    <t>ArmorCode</t>
  </si>
  <si>
    <t>Armorcode Users</t>
  </si>
  <si>
    <t>Tracebit Users</t>
  </si>
  <si>
    <t>anecdotes anecdotes</t>
  </si>
  <si>
    <t>docker@anecdotes.ai</t>
  </si>
  <si>
    <t>2023-03-14T15:32:49.000Z</t>
  </si>
  <si>
    <t>API Integration</t>
  </si>
  <si>
    <t>svc-apiintegration@docker.com</t>
  </si>
  <si>
    <t>2025-03-25T16:48:19.000Z</t>
  </si>
  <si>
    <t>DataGrail Integrations</t>
  </si>
  <si>
    <t>datagrail-integration@docker.com</t>
  </si>
  <si>
    <t>2023-06-01T20:19:45.000Z</t>
  </si>
  <si>
    <t>Jira Automation Integration</t>
  </si>
  <si>
    <t>svc-jira-automation-integration@docker.com</t>
  </si>
  <si>
    <t>2025-10-02T15:29:58.000Z</t>
  </si>
  <si>
    <t>2024-07-22T17:05:33.000Z</t>
  </si>
  <si>
    <t>Okta Read-Only</t>
  </si>
  <si>
    <t>okta.readonly@docker.com</t>
  </si>
  <si>
    <t>2025-10-02T18:14:07.000Z</t>
  </si>
  <si>
    <t>Oomnitza Integration</t>
  </si>
  <si>
    <t>oomnitza-integration@docker.com</t>
  </si>
  <si>
    <t>2023-03-10T19:04:52.000Z</t>
  </si>
  <si>
    <t>pritunl integration</t>
  </si>
  <si>
    <t>pritunl-integration@docker.com</t>
  </si>
  <si>
    <t>2024-09-30T14:24:54.000Z</t>
  </si>
  <si>
    <t>ProphetAI Integration</t>
  </si>
  <si>
    <t>svc-prophet-integration@docker.com</t>
  </si>
  <si>
    <t>2025-06-05T13:32:18.000Z</t>
  </si>
  <si>
    <t>User &amp; Group Resource Set</t>
  </si>
  <si>
    <t>All users, All groups</t>
  </si>
  <si>
    <t>User &amp; Group Role</t>
  </si>
  <si>
    <t>okta.users.manage, okta.groups.manage</t>
  </si>
  <si>
    <t>Security Ownership</t>
  </si>
  <si>
    <t>security-ownership@docker.com</t>
  </si>
  <si>
    <t>2024-02-21T15:00:53.000Z</t>
  </si>
  <si>
    <t>2024-10-03T20:50:18.000Z</t>
  </si>
  <si>
    <t>svc-crowdstrike-integration account</t>
  </si>
  <si>
    <t>svc-crowdstrike-integration@docker.com</t>
  </si>
  <si>
    <t>2024-08-13T13:24:25.000Z</t>
  </si>
  <si>
    <t>OrgAdmin</t>
  </si>
  <si>
    <t>Tines Integration</t>
  </si>
  <si>
    <t>svc-tines-integration@docker.com</t>
  </si>
  <si>
    <t>2023-06-13T15:52:50.000Z</t>
  </si>
  <si>
    <t>Tracebit Access</t>
  </si>
  <si>
    <t>client</t>
  </si>
  <si>
    <t>TripActions Integration</t>
  </si>
  <si>
    <t>tripactions-okta@docker.com</t>
  </si>
  <si>
    <t>2022-04-07T15:30:29.000Z</t>
  </si>
  <si>
    <t>Elevated Support Access, Viewer - Users, Viewer - Config Settings</t>
  </si>
  <si>
    <t>yes</t>
  </si>
  <si>
    <t>Admin, Elevated Support Access</t>
  </si>
  <si>
    <t>Ivan Californias</t>
  </si>
  <si>
    <t>cybercyst</t>
  </si>
  <si>
    <t>eddumelendez</t>
  </si>
  <si>
    <t>fiam</t>
  </si>
  <si>
    <t>GannaChernyshova</t>
  </si>
  <si>
    <t>Ganna Chernyshova</t>
  </si>
  <si>
    <t>ilopezluna</t>
  </si>
  <si>
    <t>Ignasi</t>
  </si>
  <si>
    <t>ivan-curkovic</t>
  </si>
  <si>
    <t>kiview</t>
  </si>
  <si>
    <t>lanwen</t>
  </si>
  <si>
    <t>leocross</t>
  </si>
  <si>
    <t>Leo</t>
  </si>
  <si>
    <t>mdelapenya</t>
  </si>
  <si>
    <t>michnmi</t>
  </si>
  <si>
    <t>nicksieger</t>
  </si>
  <si>
    <t>pijewski</t>
  </si>
  <si>
    <t>qodesmith</t>
  </si>
  <si>
    <t>realjenius</t>
  </si>
  <si>
    <t>rmphelps</t>
  </si>
  <si>
    <t>sgarcez</t>
  </si>
  <si>
    <t>silvin-lubecki</t>
  </si>
  <si>
    <t>Joined</t>
  </si>
  <si>
    <t>Status</t>
  </si>
  <si>
    <t>ignasi.lopez.luna@gmail.com</t>
  </si>
  <si>
    <t>Active</t>
  </si>
  <si>
    <t>Removed</t>
  </si>
  <si>
    <t>Chun Tat Leow</t>
  </si>
  <si>
    <t>chuntat.leow@docker.com</t>
  </si>
  <si>
    <t>member</t>
  </si>
  <si>
    <t>Sam Morris</t>
  </si>
  <si>
    <t>sam.morris@docker.com</t>
  </si>
  <si>
    <t>Van Sullivan IV</t>
  </si>
  <si>
    <t>van.sullivan@docker.com</t>
  </si>
  <si>
    <t>Bryan English</t>
  </si>
  <si>
    <t>Jeff Kormanik</t>
  </si>
  <si>
    <t>jeffrey.kormanik@docker.com</t>
  </si>
  <si>
    <t>Frédéric Dalleau</t>
  </si>
  <si>
    <t>Frederic.dalleau@docker.com</t>
  </si>
  <si>
    <t>Surendren Sivaraj</t>
  </si>
  <si>
    <t>surendren_sivaraj@docker.com</t>
  </si>
  <si>
    <t>Giorgi Modebadze</t>
  </si>
  <si>
    <t>giorgi.modebadze@docker.com</t>
  </si>
  <si>
    <t>Cormac McMahon</t>
  </si>
  <si>
    <t>cormac.mcmahon@docker.com</t>
  </si>
  <si>
    <t>Paul Serilas</t>
  </si>
  <si>
    <t>paul.serilas@docker.com</t>
  </si>
  <si>
    <t>vlad.budica@docker.com</t>
  </si>
  <si>
    <t>thomas.twyman@docker.com</t>
  </si>
  <si>
    <t>benjamin.grandfond@gmail.com</t>
  </si>
  <si>
    <t>Felipe Cruz</t>
  </si>
  <si>
    <t>felipe.cruz@docker.com</t>
  </si>
  <si>
    <t>lukic.djordje@gmail.com</t>
  </si>
  <si>
    <t>loren.muchnick+sso@docker.co</t>
  </si>
  <si>
    <t>David left a couple weeks 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</si>
</sst>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/dd/yyyy"/>
    <numFmt numFmtId="165" formatCode="yyyy-mm-dd"/>
    <numFmt numFmtId="166" formatCode="yyyy-mm-dd h:mm:ss"/>
    <numFmt numFmtId="167" formatCode="M/d/yyyy"/>
    <numFmt numFmtId="168" formatCode="m/d/yyyy"/>
  </numFmts>
  <fonts count="23">
    <font>
      <sz val="10.0"/>
      <color rgb="FF000000"/>
      <name val="Arial"/>
      <scheme val="minor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1.0"/>
      <color rgb="FF313131"/>
      <name val="Arial"/>
      <scheme val="minor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0A2614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&quot;Google Sans Mono&quot;"/>
    </font>
    <font>
      <color rgb="FF000000"/>
      <name val="Arial"/>
      <scheme val="minor"/>
    </font>
    <font>
      <color rgb="FF000000"/>
      <name val="Arial"/>
    </font>
    <font>
      <color rgb="FF000000"/>
      <name val="NotoSans"/>
    </font>
    <font>
      <color theme="1"/>
      <name val="NotoSans"/>
    </font>
    <font>
      <color rgb="FF575079"/>
      <name val="Roboto"/>
    </font>
    <font>
      <color rgb="FF25503F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0F4F9"/>
        <bgColor rgb="FFF0F4F9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CCFBBC"/>
        <bgColor rgb="FFCCFBBC"/>
      </patternFill>
    </fill>
    <fill>
      <patternFill patternType="solid">
        <fgColor rgb="FFBCC0E5"/>
        <bgColor rgb="FFBCC0E5"/>
      </patternFill>
    </fill>
  </fills>
  <borders count="5">
    <border/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left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164" xfId="0" applyAlignment="1" applyFont="1" applyNumberFormat="1">
      <alignment horizontal="left" shrinkToFit="0" vertical="center" wrapText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left" vertical="bottom"/>
    </xf>
    <xf borderId="0" fillId="3" fontId="5" numFmtId="0" xfId="0" applyAlignment="1" applyFont="1">
      <alignment horizontal="left" shrinkToFit="0" vertical="bottom" wrapText="1"/>
    </xf>
    <xf borderId="0" fillId="3" fontId="6" numFmtId="0" xfId="0" applyAlignment="1" applyFont="1">
      <alignment horizontal="left" vertical="bottom"/>
    </xf>
    <xf borderId="0" fillId="3" fontId="6" numFmtId="0" xfId="0" applyAlignment="1" applyFont="1">
      <alignment horizontal="center" readingOrder="0" vertical="center"/>
    </xf>
    <xf borderId="0" fillId="3" fontId="7" numFmtId="0" xfId="0" applyAlignment="1" applyFont="1">
      <alignment horizontal="left" vertical="center"/>
    </xf>
    <xf borderId="0" fillId="3" fontId="7" numFmtId="0" xfId="0" applyAlignment="1" applyFont="1">
      <alignment horizontal="center" vertical="center"/>
    </xf>
    <xf borderId="0" fillId="3" fontId="8" numFmtId="0" xfId="0" applyAlignment="1" applyFont="1">
      <alignment horizontal="left" vertical="bottom"/>
    </xf>
    <xf borderId="0" fillId="3" fontId="8" numFmtId="0" xfId="0" applyAlignment="1" applyFont="1">
      <alignment horizontal="left" shrinkToFit="0" vertical="bottom" wrapText="1"/>
    </xf>
    <xf borderId="0" fillId="0" fontId="5" numFmtId="0" xfId="0" applyAlignment="1" applyFont="1">
      <alignment horizontal="left" vertical="bottom"/>
    </xf>
    <xf borderId="0" fillId="4" fontId="5" numFmtId="0" xfId="0" applyAlignment="1" applyFill="1" applyFont="1">
      <alignment horizontal="left" shrinkToFit="0" vertical="bottom" wrapText="1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left" vertical="center"/>
    </xf>
    <xf borderId="0" fillId="4" fontId="6" numFmtId="0" xfId="0" applyAlignment="1" applyFont="1">
      <alignment horizontal="left" shrinkToFit="0" vertical="bottom" wrapText="1"/>
    </xf>
    <xf borderId="0" fillId="0" fontId="8" numFmtId="0" xfId="0" applyAlignment="1" applyFont="1">
      <alignment horizontal="left" vertical="bottom"/>
    </xf>
    <xf borderId="0" fillId="4" fontId="8" numFmtId="0" xfId="0" applyAlignment="1" applyFont="1">
      <alignment horizontal="left" shrinkToFit="0" vertical="bottom" wrapText="1"/>
    </xf>
    <xf borderId="0" fillId="3" fontId="6" numFmtId="0" xfId="0" applyAlignment="1" applyFont="1">
      <alignment horizontal="center" vertical="center"/>
    </xf>
    <xf borderId="0" fillId="0" fontId="9" numFmtId="0" xfId="0" applyAlignment="1" applyFont="1">
      <alignment horizontal="center" vertical="bottom"/>
    </xf>
    <xf borderId="2" fillId="0" fontId="9" numFmtId="0" xfId="0" applyAlignment="1" applyBorder="1" applyFont="1">
      <alignment horizontal="center" vertical="bottom"/>
    </xf>
    <xf borderId="3" fillId="0" fontId="9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horizontal="left" vertical="bottom"/>
    </xf>
    <xf borderId="0" fillId="0" fontId="10" numFmtId="0" xfId="0" applyAlignment="1" applyFont="1">
      <alignment horizontal="left" readingOrder="0" vertical="bottom"/>
    </xf>
    <xf borderId="0" fillId="0" fontId="10" numFmtId="0" xfId="0" applyAlignment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left" readingOrder="0" vertical="bottom"/>
    </xf>
    <xf borderId="0" fillId="0" fontId="11" numFmtId="0" xfId="0" applyAlignment="1" applyFont="1">
      <alignment horizontal="left" vertical="bottom"/>
    </xf>
    <xf borderId="0" fillId="3" fontId="12" numFmtId="0" xfId="0" applyAlignment="1" applyFont="1">
      <alignment horizontal="left" vertical="bottom"/>
    </xf>
    <xf borderId="0" fillId="3" fontId="10" numFmtId="0" xfId="0" applyAlignment="1" applyFont="1">
      <alignment horizontal="left" vertical="bottom"/>
    </xf>
    <xf borderId="0" fillId="3" fontId="10" numFmtId="0" xfId="0" applyAlignment="1" applyFont="1">
      <alignment horizontal="left" readingOrder="0" vertical="bottom"/>
    </xf>
    <xf borderId="0" fillId="0" fontId="13" numFmtId="0" xfId="0" applyAlignment="1" applyFont="1">
      <alignment horizontal="left" readingOrder="0" vertical="bottom"/>
    </xf>
    <xf borderId="0" fillId="3" fontId="10" numFmtId="0" xfId="0" applyAlignment="1" applyFont="1">
      <alignment horizontal="center" vertical="bottom"/>
    </xf>
    <xf borderId="0" fillId="3" fontId="10" numFmtId="0" xfId="0" applyAlignment="1" applyFont="1">
      <alignment horizontal="center" readingOrder="0" vertical="bottom"/>
    </xf>
    <xf borderId="0" fillId="3" fontId="10" numFmtId="0" xfId="0" applyAlignment="1" applyFont="1">
      <alignment horizontal="center" readingOrder="0" shrinkToFit="0" vertical="bottom" wrapText="1"/>
    </xf>
    <xf borderId="4" fillId="0" fontId="14" numFmtId="0" xfId="0" applyAlignment="1" applyBorder="1" applyFont="1">
      <alignment horizontal="left" readingOrder="0" vertical="bottom"/>
    </xf>
    <xf borderId="0" fillId="0" fontId="4" numFmtId="0" xfId="0" applyAlignment="1" applyFont="1">
      <alignment horizontal="center" vertical="center"/>
    </xf>
    <xf borderId="4" fillId="0" fontId="15" numFmtId="0" xfId="0" applyAlignment="1" applyBorder="1" applyFont="1">
      <alignment horizontal="left" readingOrder="0" vertical="bottom"/>
    </xf>
    <xf borderId="4" fillId="0" fontId="15" numFmtId="165" xfId="0" applyAlignment="1" applyBorder="1" applyFont="1" applyNumberFormat="1">
      <alignment horizontal="left" readingOrder="0" vertical="bottom"/>
    </xf>
    <xf borderId="0" fillId="0" fontId="7" numFmtId="0" xfId="0" applyAlignment="1" applyFont="1">
      <alignment horizontal="center" readingOrder="0" vertical="center"/>
    </xf>
    <xf borderId="4" fillId="0" fontId="7" numFmtId="0" xfId="0" applyAlignment="1" applyBorder="1" applyFont="1">
      <alignment horizontal="left" vertical="bottom"/>
    </xf>
    <xf borderId="4" fillId="0" fontId="14" numFmtId="0" xfId="0" applyAlignment="1" applyBorder="1" applyFont="1">
      <alignment horizontal="center" readingOrder="0" vertical="bottom"/>
    </xf>
    <xf borderId="4" fillId="0" fontId="15" numFmtId="0" xfId="0" applyAlignment="1" applyBorder="1" applyFont="1">
      <alignment horizontal="center" readingOrder="0" vertical="bottom"/>
    </xf>
    <xf borderId="4" fillId="0" fontId="15" numFmtId="165" xfId="0" applyAlignment="1" applyBorder="1" applyFont="1" applyNumberFormat="1">
      <alignment horizontal="center" readingOrder="0" vertical="bottom"/>
    </xf>
    <xf borderId="0" fillId="5" fontId="4" numFmtId="0" xfId="0" applyAlignment="1" applyFill="1" applyFont="1">
      <alignment horizontal="left"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vertical="center"/>
    </xf>
    <xf borderId="0" fillId="0" fontId="7" numFmtId="0" xfId="0" applyAlignment="1" applyFont="1">
      <alignment horizontal="left" readingOrder="0" shrinkToFit="0" vertical="center" wrapText="1"/>
    </xf>
    <xf borderId="0" fillId="6" fontId="16" numFmtId="0" xfId="0" applyAlignment="1" applyFill="1" applyFon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center" shrinkToFit="0" vertical="center" wrapText="1"/>
    </xf>
    <xf borderId="0" fillId="5" fontId="4" numFmtId="0" xfId="0" applyAlignment="1" applyFont="1">
      <alignment horizontal="center" vertical="center"/>
    </xf>
    <xf borderId="0" fillId="0" fontId="7" numFmtId="0" xfId="0" applyAlignment="1" applyFont="1">
      <alignment horizontal="left" readingOrder="0" shrinkToFit="0" vertical="center" wrapText="1"/>
    </xf>
    <xf borderId="0" fillId="5" fontId="9" numFmtId="0" xfId="0" applyAlignment="1" applyFont="1">
      <alignment horizontal="left" readingOrder="0" shrinkToFit="0" vertical="bottom" wrapText="1"/>
    </xf>
    <xf borderId="0" fillId="5" fontId="9" numFmtId="0" xfId="0" applyAlignment="1" applyFont="1">
      <alignment horizontal="left" shrinkToFit="0" vertical="bottom" wrapText="1"/>
    </xf>
    <xf borderId="0" fillId="0" fontId="7" numFmtId="166" xfId="0" applyAlignment="1" applyFont="1" applyNumberFormat="1">
      <alignment horizontal="left" readingOrder="0" shrinkToFit="0" vertical="center" wrapText="1"/>
    </xf>
    <xf borderId="0" fillId="0" fontId="17" numFmtId="0" xfId="0" applyAlignment="1" applyFont="1">
      <alignment horizontal="left" readingOrder="0" vertical="center"/>
    </xf>
    <xf borderId="0" fillId="0" fontId="18" numFmtId="0" xfId="0" applyAlignment="1" applyFont="1">
      <alignment horizontal="left" readingOrder="0" vertical="top"/>
    </xf>
    <xf borderId="0" fillId="0" fontId="19" numFmtId="0" xfId="0" applyAlignment="1" applyFont="1">
      <alignment horizontal="left" readingOrder="0" vertical="top"/>
    </xf>
    <xf borderId="0" fillId="0" fontId="20" numFmtId="0" xfId="0" applyAlignment="1" applyFont="1">
      <alignment horizontal="left" readingOrder="0" vertical="top"/>
    </xf>
    <xf borderId="0" fillId="0" fontId="7" numFmtId="0" xfId="0" applyAlignment="1" applyFont="1">
      <alignment horizontal="left" readingOrder="0" vertical="center"/>
    </xf>
    <xf borderId="0" fillId="7" fontId="7" numFmtId="0" xfId="0" applyAlignment="1" applyFill="1" applyFont="1">
      <alignment horizontal="left" readingOrder="0" vertical="center"/>
    </xf>
    <xf borderId="0" fillId="7" fontId="7" numFmtId="0" xfId="0" applyAlignment="1" applyFont="1">
      <alignment horizontal="left" vertical="center"/>
    </xf>
    <xf borderId="0" fillId="7" fontId="7" numFmtId="0" xfId="0" applyAlignment="1" applyFont="1">
      <alignment horizontal="center" readingOrder="0" vertical="center"/>
    </xf>
    <xf borderId="0" fillId="7" fontId="7" numFmtId="0" xfId="0" applyAlignment="1" applyFont="1">
      <alignment horizontal="center" vertical="center"/>
    </xf>
    <xf borderId="0" fillId="8" fontId="7" numFmtId="0" xfId="0" applyAlignment="1" applyFill="1" applyFont="1">
      <alignment horizontal="left" readingOrder="0" vertical="center"/>
    </xf>
    <xf borderId="0" fillId="8" fontId="7" numFmtId="0" xfId="0" applyAlignment="1" applyFont="1">
      <alignment horizontal="left" vertical="center"/>
    </xf>
    <xf borderId="0" fillId="8" fontId="7" numFmtId="0" xfId="0" applyAlignment="1" applyFont="1">
      <alignment horizontal="center" readingOrder="0" vertical="center"/>
    </xf>
    <xf borderId="0" fillId="8" fontId="7" numFmtId="0" xfId="0" applyAlignment="1" applyFont="1">
      <alignment horizontal="center" vertical="center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3" fontId="7" numFmtId="0" xfId="0" applyAlignment="1" applyFont="1">
      <alignment horizontal="left" shrinkToFit="0" vertical="center" wrapText="0"/>
    </xf>
    <xf borderId="0" fillId="3" fontId="7" numFmtId="0" xfId="0" applyAlignment="1" applyFont="1">
      <alignment horizontal="center" shrinkToFit="0" vertical="center" wrapText="0"/>
    </xf>
    <xf borderId="0" fillId="3" fontId="7" numFmtId="167" xfId="0" applyAlignment="1" applyFont="1" applyNumberFormat="1">
      <alignment horizontal="center" shrinkToFit="0" vertical="center" wrapText="0"/>
    </xf>
    <xf borderId="0" fillId="3" fontId="7" numFmtId="0" xfId="0" applyAlignment="1" applyFont="1">
      <alignment horizontal="left" shrinkToFit="0" vertical="center" wrapText="0"/>
    </xf>
    <xf borderId="0" fillId="3" fontId="7" numFmtId="0" xfId="0" applyAlignment="1" applyFont="1">
      <alignment horizontal="center" readingOrder="0" vertical="center"/>
    </xf>
    <xf borderId="0" fillId="3" fontId="6" numFmtId="0" xfId="0" applyAlignment="1" applyFont="1">
      <alignment horizontal="left" readingOrder="0" vertical="bottom"/>
    </xf>
    <xf borderId="0" fillId="0" fontId="7" numFmtId="0" xfId="0" applyAlignment="1" applyFont="1">
      <alignment horizontal="left" shrinkToFit="0" vertical="center" wrapText="0"/>
    </xf>
    <xf borderId="0" fillId="0" fontId="7" numFmtId="0" xfId="0" applyAlignment="1" applyFont="1">
      <alignment horizontal="center" shrinkToFit="0" vertical="center" wrapText="0"/>
    </xf>
    <xf borderId="0" fillId="0" fontId="7" numFmtId="167" xfId="0" applyAlignment="1" applyFont="1" applyNumberFormat="1">
      <alignment horizontal="center"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21" numFmtId="168" xfId="0" applyAlignment="1" applyFont="1" applyNumberFormat="1">
      <alignment horizontal="left" readingOrder="0" shrinkToFit="0" vertical="center" wrapText="0"/>
    </xf>
    <xf borderId="0" fillId="9" fontId="22" numFmtId="0" xfId="0" applyAlignment="1" applyFill="1" applyFont="1">
      <alignment horizontal="left" readingOrder="0" shrinkToFit="0" vertical="center" wrapText="0"/>
    </xf>
    <xf borderId="0" fillId="0" fontId="21" numFmtId="0" xfId="0" applyAlignment="1" applyFont="1">
      <alignment horizontal="left" readingOrder="0" shrinkToFit="0" vertical="center" wrapText="0"/>
    </xf>
    <xf borderId="0" fillId="10" fontId="21" numFmtId="0" xfId="0" applyAlignment="1" applyFill="1" applyFont="1">
      <alignment horizontal="left" readingOrder="0" shrinkToFit="0" vertical="center" wrapText="0"/>
    </xf>
    <xf borderId="0" fillId="10" fontId="21" numFmtId="168" xfId="0" applyAlignment="1" applyFont="1" applyNumberFormat="1">
      <alignment horizontal="left" readingOrder="0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://docker.co" TargetMode="External"/><Relationship Id="rId194" Type="http://schemas.openxmlformats.org/officeDocument/2006/relationships/hyperlink" Target="http://docker.co" TargetMode="External"/><Relationship Id="rId193" Type="http://schemas.openxmlformats.org/officeDocument/2006/relationships/hyperlink" Target="http://docker.co" TargetMode="External"/><Relationship Id="rId192" Type="http://schemas.openxmlformats.org/officeDocument/2006/relationships/hyperlink" Target="http://docker.co" TargetMode="External"/><Relationship Id="rId191" Type="http://schemas.openxmlformats.org/officeDocument/2006/relationships/hyperlink" Target="http://docker.co" TargetMode="External"/><Relationship Id="rId187" Type="http://schemas.openxmlformats.org/officeDocument/2006/relationships/hyperlink" Target="http://docker.co" TargetMode="External"/><Relationship Id="rId186" Type="http://schemas.openxmlformats.org/officeDocument/2006/relationships/hyperlink" Target="http://docker.co" TargetMode="External"/><Relationship Id="rId185" Type="http://schemas.openxmlformats.org/officeDocument/2006/relationships/hyperlink" Target="http://docker.co" TargetMode="External"/><Relationship Id="rId184" Type="http://schemas.openxmlformats.org/officeDocument/2006/relationships/hyperlink" Target="http://docker.co" TargetMode="External"/><Relationship Id="rId189" Type="http://schemas.openxmlformats.org/officeDocument/2006/relationships/hyperlink" Target="http://docker.co" TargetMode="External"/><Relationship Id="rId188" Type="http://schemas.openxmlformats.org/officeDocument/2006/relationships/hyperlink" Target="http://docker.co" TargetMode="External"/><Relationship Id="rId183" Type="http://schemas.openxmlformats.org/officeDocument/2006/relationships/hyperlink" Target="http://docker.co" TargetMode="External"/><Relationship Id="rId182" Type="http://schemas.openxmlformats.org/officeDocument/2006/relationships/hyperlink" Target="http://docker.co" TargetMode="External"/><Relationship Id="rId181" Type="http://schemas.openxmlformats.org/officeDocument/2006/relationships/hyperlink" Target="http://docker.co" TargetMode="External"/><Relationship Id="rId180" Type="http://schemas.openxmlformats.org/officeDocument/2006/relationships/hyperlink" Target="http://docker.co" TargetMode="External"/><Relationship Id="rId176" Type="http://schemas.openxmlformats.org/officeDocument/2006/relationships/hyperlink" Target="http://docker.co" TargetMode="External"/><Relationship Id="rId297" Type="http://schemas.openxmlformats.org/officeDocument/2006/relationships/hyperlink" Target="http://docker.co" TargetMode="External"/><Relationship Id="rId175" Type="http://schemas.openxmlformats.org/officeDocument/2006/relationships/hyperlink" Target="http://docker.co" TargetMode="External"/><Relationship Id="rId296" Type="http://schemas.openxmlformats.org/officeDocument/2006/relationships/hyperlink" Target="http://docker.co" TargetMode="External"/><Relationship Id="rId174" Type="http://schemas.openxmlformats.org/officeDocument/2006/relationships/hyperlink" Target="http://docker.co" TargetMode="External"/><Relationship Id="rId295" Type="http://schemas.openxmlformats.org/officeDocument/2006/relationships/hyperlink" Target="http://docker.com" TargetMode="External"/><Relationship Id="rId173" Type="http://schemas.openxmlformats.org/officeDocument/2006/relationships/hyperlink" Target="http://docker.com" TargetMode="External"/><Relationship Id="rId294" Type="http://schemas.openxmlformats.org/officeDocument/2006/relationships/hyperlink" Target="http://docker.com" TargetMode="External"/><Relationship Id="rId179" Type="http://schemas.openxmlformats.org/officeDocument/2006/relationships/hyperlink" Target="http://docker.co" TargetMode="External"/><Relationship Id="rId178" Type="http://schemas.openxmlformats.org/officeDocument/2006/relationships/hyperlink" Target="http://docker.co" TargetMode="External"/><Relationship Id="rId299" Type="http://schemas.openxmlformats.org/officeDocument/2006/relationships/hyperlink" Target="http://docker.co" TargetMode="External"/><Relationship Id="rId177" Type="http://schemas.openxmlformats.org/officeDocument/2006/relationships/hyperlink" Target="http://docker.co" TargetMode="External"/><Relationship Id="rId298" Type="http://schemas.openxmlformats.org/officeDocument/2006/relationships/hyperlink" Target="http://docker.co" TargetMode="External"/><Relationship Id="rId198" Type="http://schemas.openxmlformats.org/officeDocument/2006/relationships/hyperlink" Target="http://docker.com" TargetMode="External"/><Relationship Id="rId197" Type="http://schemas.openxmlformats.org/officeDocument/2006/relationships/hyperlink" Target="http://docker.com" TargetMode="External"/><Relationship Id="rId196" Type="http://schemas.openxmlformats.org/officeDocument/2006/relationships/hyperlink" Target="http://docker.co" TargetMode="External"/><Relationship Id="rId195" Type="http://schemas.openxmlformats.org/officeDocument/2006/relationships/hyperlink" Target="http://docker.co" TargetMode="External"/><Relationship Id="rId199" Type="http://schemas.openxmlformats.org/officeDocument/2006/relationships/hyperlink" Target="http://docker.com" TargetMode="External"/><Relationship Id="rId150" Type="http://schemas.openxmlformats.org/officeDocument/2006/relationships/hyperlink" Target="http://docker.co" TargetMode="External"/><Relationship Id="rId271" Type="http://schemas.openxmlformats.org/officeDocument/2006/relationships/hyperlink" Target="http://docker.com" TargetMode="External"/><Relationship Id="rId392" Type="http://schemas.openxmlformats.org/officeDocument/2006/relationships/hyperlink" Target="http://docker.com" TargetMode="External"/><Relationship Id="rId270" Type="http://schemas.openxmlformats.org/officeDocument/2006/relationships/hyperlink" Target="http://docker.com" TargetMode="External"/><Relationship Id="rId391" Type="http://schemas.openxmlformats.org/officeDocument/2006/relationships/hyperlink" Target="http://docker.co" TargetMode="External"/><Relationship Id="rId390" Type="http://schemas.openxmlformats.org/officeDocument/2006/relationships/hyperlink" Target="http://docker.co" TargetMode="External"/><Relationship Id="rId1" Type="http://schemas.openxmlformats.org/officeDocument/2006/relationships/hyperlink" Target="http://docker.co" TargetMode="External"/><Relationship Id="rId2" Type="http://schemas.openxmlformats.org/officeDocument/2006/relationships/hyperlink" Target="http://docker.co" TargetMode="External"/><Relationship Id="rId3" Type="http://schemas.openxmlformats.org/officeDocument/2006/relationships/hyperlink" Target="http://docker.co" TargetMode="External"/><Relationship Id="rId149" Type="http://schemas.openxmlformats.org/officeDocument/2006/relationships/hyperlink" Target="http://docker.co" TargetMode="External"/><Relationship Id="rId4" Type="http://schemas.openxmlformats.org/officeDocument/2006/relationships/hyperlink" Target="http://docker.co" TargetMode="External"/><Relationship Id="rId148" Type="http://schemas.openxmlformats.org/officeDocument/2006/relationships/hyperlink" Target="http://docker.co" TargetMode="External"/><Relationship Id="rId269" Type="http://schemas.openxmlformats.org/officeDocument/2006/relationships/hyperlink" Target="http://docker.co" TargetMode="External"/><Relationship Id="rId9" Type="http://schemas.openxmlformats.org/officeDocument/2006/relationships/hyperlink" Target="http://docker.co" TargetMode="External"/><Relationship Id="rId143" Type="http://schemas.openxmlformats.org/officeDocument/2006/relationships/hyperlink" Target="http://docker.co" TargetMode="External"/><Relationship Id="rId264" Type="http://schemas.openxmlformats.org/officeDocument/2006/relationships/hyperlink" Target="http://docker.co" TargetMode="External"/><Relationship Id="rId385" Type="http://schemas.openxmlformats.org/officeDocument/2006/relationships/hyperlink" Target="http://docker.co" TargetMode="External"/><Relationship Id="rId142" Type="http://schemas.openxmlformats.org/officeDocument/2006/relationships/hyperlink" Target="http://docker.co" TargetMode="External"/><Relationship Id="rId263" Type="http://schemas.openxmlformats.org/officeDocument/2006/relationships/hyperlink" Target="http://docker.co" TargetMode="External"/><Relationship Id="rId384" Type="http://schemas.openxmlformats.org/officeDocument/2006/relationships/hyperlink" Target="http://docker.co" TargetMode="External"/><Relationship Id="rId141" Type="http://schemas.openxmlformats.org/officeDocument/2006/relationships/hyperlink" Target="http://docker.co" TargetMode="External"/><Relationship Id="rId262" Type="http://schemas.openxmlformats.org/officeDocument/2006/relationships/hyperlink" Target="http://docker.co" TargetMode="External"/><Relationship Id="rId383" Type="http://schemas.openxmlformats.org/officeDocument/2006/relationships/hyperlink" Target="http://docker.co" TargetMode="External"/><Relationship Id="rId140" Type="http://schemas.openxmlformats.org/officeDocument/2006/relationships/hyperlink" Target="http://docker.co" TargetMode="External"/><Relationship Id="rId261" Type="http://schemas.openxmlformats.org/officeDocument/2006/relationships/hyperlink" Target="http://docker.co" TargetMode="External"/><Relationship Id="rId382" Type="http://schemas.openxmlformats.org/officeDocument/2006/relationships/hyperlink" Target="http://docker.com" TargetMode="External"/><Relationship Id="rId5" Type="http://schemas.openxmlformats.org/officeDocument/2006/relationships/hyperlink" Target="http://docker.co" TargetMode="External"/><Relationship Id="rId147" Type="http://schemas.openxmlformats.org/officeDocument/2006/relationships/hyperlink" Target="http://docker.co" TargetMode="External"/><Relationship Id="rId268" Type="http://schemas.openxmlformats.org/officeDocument/2006/relationships/hyperlink" Target="http://docker.co" TargetMode="External"/><Relationship Id="rId389" Type="http://schemas.openxmlformats.org/officeDocument/2006/relationships/hyperlink" Target="http://docker.co" TargetMode="External"/><Relationship Id="rId6" Type="http://schemas.openxmlformats.org/officeDocument/2006/relationships/hyperlink" Target="http://docker.co" TargetMode="External"/><Relationship Id="rId146" Type="http://schemas.openxmlformats.org/officeDocument/2006/relationships/hyperlink" Target="http://docker.co" TargetMode="External"/><Relationship Id="rId267" Type="http://schemas.openxmlformats.org/officeDocument/2006/relationships/hyperlink" Target="http://docker.co" TargetMode="External"/><Relationship Id="rId388" Type="http://schemas.openxmlformats.org/officeDocument/2006/relationships/hyperlink" Target="http://docker.co" TargetMode="External"/><Relationship Id="rId7" Type="http://schemas.openxmlformats.org/officeDocument/2006/relationships/hyperlink" Target="http://docker.co" TargetMode="External"/><Relationship Id="rId145" Type="http://schemas.openxmlformats.org/officeDocument/2006/relationships/hyperlink" Target="http://docker.co" TargetMode="External"/><Relationship Id="rId266" Type="http://schemas.openxmlformats.org/officeDocument/2006/relationships/hyperlink" Target="http://docker.co" TargetMode="External"/><Relationship Id="rId387" Type="http://schemas.openxmlformats.org/officeDocument/2006/relationships/hyperlink" Target="http://docker.co" TargetMode="External"/><Relationship Id="rId8" Type="http://schemas.openxmlformats.org/officeDocument/2006/relationships/hyperlink" Target="http://docker.co" TargetMode="External"/><Relationship Id="rId144" Type="http://schemas.openxmlformats.org/officeDocument/2006/relationships/hyperlink" Target="http://docker.co" TargetMode="External"/><Relationship Id="rId265" Type="http://schemas.openxmlformats.org/officeDocument/2006/relationships/hyperlink" Target="http://docker.co" TargetMode="External"/><Relationship Id="rId386" Type="http://schemas.openxmlformats.org/officeDocument/2006/relationships/hyperlink" Target="http://docker.com" TargetMode="External"/><Relationship Id="rId260" Type="http://schemas.openxmlformats.org/officeDocument/2006/relationships/hyperlink" Target="http://docker.co" TargetMode="External"/><Relationship Id="rId381" Type="http://schemas.openxmlformats.org/officeDocument/2006/relationships/hyperlink" Target="http://docker.com" TargetMode="External"/><Relationship Id="rId380" Type="http://schemas.openxmlformats.org/officeDocument/2006/relationships/hyperlink" Target="http://docker.co" TargetMode="External"/><Relationship Id="rId139" Type="http://schemas.openxmlformats.org/officeDocument/2006/relationships/hyperlink" Target="http://docker.co" TargetMode="External"/><Relationship Id="rId138" Type="http://schemas.openxmlformats.org/officeDocument/2006/relationships/hyperlink" Target="http://docker.co" TargetMode="External"/><Relationship Id="rId259" Type="http://schemas.openxmlformats.org/officeDocument/2006/relationships/hyperlink" Target="http://docker.co" TargetMode="External"/><Relationship Id="rId137" Type="http://schemas.openxmlformats.org/officeDocument/2006/relationships/hyperlink" Target="http://docker.co" TargetMode="External"/><Relationship Id="rId258" Type="http://schemas.openxmlformats.org/officeDocument/2006/relationships/hyperlink" Target="http://docker.co" TargetMode="External"/><Relationship Id="rId379" Type="http://schemas.openxmlformats.org/officeDocument/2006/relationships/hyperlink" Target="http://docker.com" TargetMode="External"/><Relationship Id="rId132" Type="http://schemas.openxmlformats.org/officeDocument/2006/relationships/hyperlink" Target="http://docker.co" TargetMode="External"/><Relationship Id="rId253" Type="http://schemas.openxmlformats.org/officeDocument/2006/relationships/hyperlink" Target="http://docker.co" TargetMode="External"/><Relationship Id="rId374" Type="http://schemas.openxmlformats.org/officeDocument/2006/relationships/hyperlink" Target="http://docker.co" TargetMode="External"/><Relationship Id="rId495" Type="http://schemas.openxmlformats.org/officeDocument/2006/relationships/hyperlink" Target="http://docker.co" TargetMode="External"/><Relationship Id="rId131" Type="http://schemas.openxmlformats.org/officeDocument/2006/relationships/hyperlink" Target="http://docker.co" TargetMode="External"/><Relationship Id="rId252" Type="http://schemas.openxmlformats.org/officeDocument/2006/relationships/hyperlink" Target="http://docker.co" TargetMode="External"/><Relationship Id="rId373" Type="http://schemas.openxmlformats.org/officeDocument/2006/relationships/hyperlink" Target="http://docker.co" TargetMode="External"/><Relationship Id="rId494" Type="http://schemas.openxmlformats.org/officeDocument/2006/relationships/hyperlink" Target="http://docker.com" TargetMode="External"/><Relationship Id="rId130" Type="http://schemas.openxmlformats.org/officeDocument/2006/relationships/hyperlink" Target="http://docker.co" TargetMode="External"/><Relationship Id="rId251" Type="http://schemas.openxmlformats.org/officeDocument/2006/relationships/hyperlink" Target="http://docker.co" TargetMode="External"/><Relationship Id="rId372" Type="http://schemas.openxmlformats.org/officeDocument/2006/relationships/hyperlink" Target="http://docker.co" TargetMode="External"/><Relationship Id="rId493" Type="http://schemas.openxmlformats.org/officeDocument/2006/relationships/hyperlink" Target="http://docker.com" TargetMode="External"/><Relationship Id="rId250" Type="http://schemas.openxmlformats.org/officeDocument/2006/relationships/hyperlink" Target="http://docker.co" TargetMode="External"/><Relationship Id="rId371" Type="http://schemas.openxmlformats.org/officeDocument/2006/relationships/hyperlink" Target="http://docker.co" TargetMode="External"/><Relationship Id="rId492" Type="http://schemas.openxmlformats.org/officeDocument/2006/relationships/hyperlink" Target="http://docker.com" TargetMode="External"/><Relationship Id="rId136" Type="http://schemas.openxmlformats.org/officeDocument/2006/relationships/hyperlink" Target="http://docker.co" TargetMode="External"/><Relationship Id="rId257" Type="http://schemas.openxmlformats.org/officeDocument/2006/relationships/hyperlink" Target="http://docker.co" TargetMode="External"/><Relationship Id="rId378" Type="http://schemas.openxmlformats.org/officeDocument/2006/relationships/hyperlink" Target="http://docker.com" TargetMode="External"/><Relationship Id="rId499" Type="http://schemas.openxmlformats.org/officeDocument/2006/relationships/hyperlink" Target="http://docker.co" TargetMode="External"/><Relationship Id="rId135" Type="http://schemas.openxmlformats.org/officeDocument/2006/relationships/hyperlink" Target="http://docker.co" TargetMode="External"/><Relationship Id="rId256" Type="http://schemas.openxmlformats.org/officeDocument/2006/relationships/hyperlink" Target="http://docker.co" TargetMode="External"/><Relationship Id="rId377" Type="http://schemas.openxmlformats.org/officeDocument/2006/relationships/hyperlink" Target="http://docker.co" TargetMode="External"/><Relationship Id="rId498" Type="http://schemas.openxmlformats.org/officeDocument/2006/relationships/hyperlink" Target="http://docker.co" TargetMode="External"/><Relationship Id="rId134" Type="http://schemas.openxmlformats.org/officeDocument/2006/relationships/hyperlink" Target="http://docker.co" TargetMode="External"/><Relationship Id="rId255" Type="http://schemas.openxmlformats.org/officeDocument/2006/relationships/hyperlink" Target="http://docker.co" TargetMode="External"/><Relationship Id="rId376" Type="http://schemas.openxmlformats.org/officeDocument/2006/relationships/hyperlink" Target="http://docker.co" TargetMode="External"/><Relationship Id="rId497" Type="http://schemas.openxmlformats.org/officeDocument/2006/relationships/hyperlink" Target="http://docker.co" TargetMode="External"/><Relationship Id="rId133" Type="http://schemas.openxmlformats.org/officeDocument/2006/relationships/hyperlink" Target="http://docker.co" TargetMode="External"/><Relationship Id="rId254" Type="http://schemas.openxmlformats.org/officeDocument/2006/relationships/hyperlink" Target="http://docker.co" TargetMode="External"/><Relationship Id="rId375" Type="http://schemas.openxmlformats.org/officeDocument/2006/relationships/hyperlink" Target="http://docker.co" TargetMode="External"/><Relationship Id="rId496" Type="http://schemas.openxmlformats.org/officeDocument/2006/relationships/hyperlink" Target="http://docker.co" TargetMode="External"/><Relationship Id="rId172" Type="http://schemas.openxmlformats.org/officeDocument/2006/relationships/hyperlink" Target="http://docker.co" TargetMode="External"/><Relationship Id="rId293" Type="http://schemas.openxmlformats.org/officeDocument/2006/relationships/hyperlink" Target="http://docker.co" TargetMode="External"/><Relationship Id="rId171" Type="http://schemas.openxmlformats.org/officeDocument/2006/relationships/hyperlink" Target="http://docker.co" TargetMode="External"/><Relationship Id="rId292" Type="http://schemas.openxmlformats.org/officeDocument/2006/relationships/hyperlink" Target="http://docker.com" TargetMode="External"/><Relationship Id="rId170" Type="http://schemas.openxmlformats.org/officeDocument/2006/relationships/hyperlink" Target="http://docker.co" TargetMode="External"/><Relationship Id="rId291" Type="http://schemas.openxmlformats.org/officeDocument/2006/relationships/hyperlink" Target="http://docker.com" TargetMode="External"/><Relationship Id="rId290" Type="http://schemas.openxmlformats.org/officeDocument/2006/relationships/hyperlink" Target="http://docker.co" TargetMode="External"/><Relationship Id="rId165" Type="http://schemas.openxmlformats.org/officeDocument/2006/relationships/hyperlink" Target="http://docker.com" TargetMode="External"/><Relationship Id="rId286" Type="http://schemas.openxmlformats.org/officeDocument/2006/relationships/hyperlink" Target="http://docker.co" TargetMode="External"/><Relationship Id="rId164" Type="http://schemas.openxmlformats.org/officeDocument/2006/relationships/hyperlink" Target="http://docker.com" TargetMode="External"/><Relationship Id="rId285" Type="http://schemas.openxmlformats.org/officeDocument/2006/relationships/hyperlink" Target="http://docker.com" TargetMode="External"/><Relationship Id="rId163" Type="http://schemas.openxmlformats.org/officeDocument/2006/relationships/hyperlink" Target="http://docker.com" TargetMode="External"/><Relationship Id="rId284" Type="http://schemas.openxmlformats.org/officeDocument/2006/relationships/hyperlink" Target="http://docker.com" TargetMode="External"/><Relationship Id="rId162" Type="http://schemas.openxmlformats.org/officeDocument/2006/relationships/hyperlink" Target="http://docker.com" TargetMode="External"/><Relationship Id="rId283" Type="http://schemas.openxmlformats.org/officeDocument/2006/relationships/hyperlink" Target="http://docker.com" TargetMode="External"/><Relationship Id="rId169" Type="http://schemas.openxmlformats.org/officeDocument/2006/relationships/hyperlink" Target="http://docker.com" TargetMode="External"/><Relationship Id="rId168" Type="http://schemas.openxmlformats.org/officeDocument/2006/relationships/hyperlink" Target="http://docker.com" TargetMode="External"/><Relationship Id="rId289" Type="http://schemas.openxmlformats.org/officeDocument/2006/relationships/hyperlink" Target="http://docker.co" TargetMode="External"/><Relationship Id="rId167" Type="http://schemas.openxmlformats.org/officeDocument/2006/relationships/hyperlink" Target="http://docker.com" TargetMode="External"/><Relationship Id="rId288" Type="http://schemas.openxmlformats.org/officeDocument/2006/relationships/hyperlink" Target="http://docker.co" TargetMode="External"/><Relationship Id="rId166" Type="http://schemas.openxmlformats.org/officeDocument/2006/relationships/hyperlink" Target="http://docker.com" TargetMode="External"/><Relationship Id="rId287" Type="http://schemas.openxmlformats.org/officeDocument/2006/relationships/hyperlink" Target="http://docker.com" TargetMode="External"/><Relationship Id="rId161" Type="http://schemas.openxmlformats.org/officeDocument/2006/relationships/hyperlink" Target="http://docker.com" TargetMode="External"/><Relationship Id="rId282" Type="http://schemas.openxmlformats.org/officeDocument/2006/relationships/hyperlink" Target="http://docker.com" TargetMode="External"/><Relationship Id="rId160" Type="http://schemas.openxmlformats.org/officeDocument/2006/relationships/hyperlink" Target="http://docker.com" TargetMode="External"/><Relationship Id="rId281" Type="http://schemas.openxmlformats.org/officeDocument/2006/relationships/hyperlink" Target="http://docker.com" TargetMode="External"/><Relationship Id="rId280" Type="http://schemas.openxmlformats.org/officeDocument/2006/relationships/hyperlink" Target="http://docker.com" TargetMode="External"/><Relationship Id="rId159" Type="http://schemas.openxmlformats.org/officeDocument/2006/relationships/hyperlink" Target="http://docker.com" TargetMode="External"/><Relationship Id="rId154" Type="http://schemas.openxmlformats.org/officeDocument/2006/relationships/hyperlink" Target="http://docker.com" TargetMode="External"/><Relationship Id="rId275" Type="http://schemas.openxmlformats.org/officeDocument/2006/relationships/hyperlink" Target="http://docker.co" TargetMode="External"/><Relationship Id="rId396" Type="http://schemas.openxmlformats.org/officeDocument/2006/relationships/hyperlink" Target="http://docker.co" TargetMode="External"/><Relationship Id="rId153" Type="http://schemas.openxmlformats.org/officeDocument/2006/relationships/hyperlink" Target="http://docker.com" TargetMode="External"/><Relationship Id="rId274" Type="http://schemas.openxmlformats.org/officeDocument/2006/relationships/hyperlink" Target="http://docker.com" TargetMode="External"/><Relationship Id="rId395" Type="http://schemas.openxmlformats.org/officeDocument/2006/relationships/hyperlink" Target="http://docker.co" TargetMode="External"/><Relationship Id="rId152" Type="http://schemas.openxmlformats.org/officeDocument/2006/relationships/hyperlink" Target="http://docker.com" TargetMode="External"/><Relationship Id="rId273" Type="http://schemas.openxmlformats.org/officeDocument/2006/relationships/hyperlink" Target="http://docker.com" TargetMode="External"/><Relationship Id="rId394" Type="http://schemas.openxmlformats.org/officeDocument/2006/relationships/hyperlink" Target="http://docker.com" TargetMode="External"/><Relationship Id="rId151" Type="http://schemas.openxmlformats.org/officeDocument/2006/relationships/hyperlink" Target="http://docker.com" TargetMode="External"/><Relationship Id="rId272" Type="http://schemas.openxmlformats.org/officeDocument/2006/relationships/hyperlink" Target="http://docker.com" TargetMode="External"/><Relationship Id="rId393" Type="http://schemas.openxmlformats.org/officeDocument/2006/relationships/hyperlink" Target="http://docker.com" TargetMode="External"/><Relationship Id="rId158" Type="http://schemas.openxmlformats.org/officeDocument/2006/relationships/hyperlink" Target="http://docker.com" TargetMode="External"/><Relationship Id="rId279" Type="http://schemas.openxmlformats.org/officeDocument/2006/relationships/hyperlink" Target="http://docker.com" TargetMode="External"/><Relationship Id="rId157" Type="http://schemas.openxmlformats.org/officeDocument/2006/relationships/hyperlink" Target="http://docker.com" TargetMode="External"/><Relationship Id="rId278" Type="http://schemas.openxmlformats.org/officeDocument/2006/relationships/hyperlink" Target="http://docker.com" TargetMode="External"/><Relationship Id="rId399" Type="http://schemas.openxmlformats.org/officeDocument/2006/relationships/hyperlink" Target="http://docker.com" TargetMode="External"/><Relationship Id="rId156" Type="http://schemas.openxmlformats.org/officeDocument/2006/relationships/hyperlink" Target="http://docker.com" TargetMode="External"/><Relationship Id="rId277" Type="http://schemas.openxmlformats.org/officeDocument/2006/relationships/hyperlink" Target="http://docker.com" TargetMode="External"/><Relationship Id="rId398" Type="http://schemas.openxmlformats.org/officeDocument/2006/relationships/hyperlink" Target="http://docker.com" TargetMode="External"/><Relationship Id="rId155" Type="http://schemas.openxmlformats.org/officeDocument/2006/relationships/hyperlink" Target="http://docker.com" TargetMode="External"/><Relationship Id="rId276" Type="http://schemas.openxmlformats.org/officeDocument/2006/relationships/hyperlink" Target="http://docker.co" TargetMode="External"/><Relationship Id="rId397" Type="http://schemas.openxmlformats.org/officeDocument/2006/relationships/hyperlink" Target="http://docker.com" TargetMode="External"/><Relationship Id="rId40" Type="http://schemas.openxmlformats.org/officeDocument/2006/relationships/hyperlink" Target="http://docker.com" TargetMode="External"/><Relationship Id="rId42" Type="http://schemas.openxmlformats.org/officeDocument/2006/relationships/hyperlink" Target="http://docker.co" TargetMode="External"/><Relationship Id="rId41" Type="http://schemas.openxmlformats.org/officeDocument/2006/relationships/hyperlink" Target="http://docker.co" TargetMode="External"/><Relationship Id="rId44" Type="http://schemas.openxmlformats.org/officeDocument/2006/relationships/hyperlink" Target="http://docker.co" TargetMode="External"/><Relationship Id="rId43" Type="http://schemas.openxmlformats.org/officeDocument/2006/relationships/hyperlink" Target="http://docker.co" TargetMode="External"/><Relationship Id="rId46" Type="http://schemas.openxmlformats.org/officeDocument/2006/relationships/hyperlink" Target="http://docker.com" TargetMode="External"/><Relationship Id="rId45" Type="http://schemas.openxmlformats.org/officeDocument/2006/relationships/hyperlink" Target="http://docker.com" TargetMode="External"/><Relationship Id="rId509" Type="http://schemas.openxmlformats.org/officeDocument/2006/relationships/hyperlink" Target="http://docker.com" TargetMode="External"/><Relationship Id="rId508" Type="http://schemas.openxmlformats.org/officeDocument/2006/relationships/hyperlink" Target="http://docker.com" TargetMode="External"/><Relationship Id="rId629" Type="http://schemas.openxmlformats.org/officeDocument/2006/relationships/hyperlink" Target="http://docker.com" TargetMode="External"/><Relationship Id="rId503" Type="http://schemas.openxmlformats.org/officeDocument/2006/relationships/hyperlink" Target="http://docker.co" TargetMode="External"/><Relationship Id="rId624" Type="http://schemas.openxmlformats.org/officeDocument/2006/relationships/hyperlink" Target="http://docker.com" TargetMode="External"/><Relationship Id="rId502" Type="http://schemas.openxmlformats.org/officeDocument/2006/relationships/hyperlink" Target="http://docker.co" TargetMode="External"/><Relationship Id="rId623" Type="http://schemas.openxmlformats.org/officeDocument/2006/relationships/hyperlink" Target="http://docker.com" TargetMode="External"/><Relationship Id="rId501" Type="http://schemas.openxmlformats.org/officeDocument/2006/relationships/hyperlink" Target="http://docker.co" TargetMode="External"/><Relationship Id="rId622" Type="http://schemas.openxmlformats.org/officeDocument/2006/relationships/hyperlink" Target="http://docker.com" TargetMode="External"/><Relationship Id="rId500" Type="http://schemas.openxmlformats.org/officeDocument/2006/relationships/hyperlink" Target="http://docker.co" TargetMode="External"/><Relationship Id="rId621" Type="http://schemas.openxmlformats.org/officeDocument/2006/relationships/hyperlink" Target="http://docker.com" TargetMode="External"/><Relationship Id="rId507" Type="http://schemas.openxmlformats.org/officeDocument/2006/relationships/hyperlink" Target="http://docker.com" TargetMode="External"/><Relationship Id="rId628" Type="http://schemas.openxmlformats.org/officeDocument/2006/relationships/hyperlink" Target="http://docker.com" TargetMode="External"/><Relationship Id="rId506" Type="http://schemas.openxmlformats.org/officeDocument/2006/relationships/hyperlink" Target="http://docker.com" TargetMode="External"/><Relationship Id="rId627" Type="http://schemas.openxmlformats.org/officeDocument/2006/relationships/hyperlink" Target="http://docker.com" TargetMode="External"/><Relationship Id="rId505" Type="http://schemas.openxmlformats.org/officeDocument/2006/relationships/hyperlink" Target="http://docker.com" TargetMode="External"/><Relationship Id="rId626" Type="http://schemas.openxmlformats.org/officeDocument/2006/relationships/hyperlink" Target="http://docker.com" TargetMode="External"/><Relationship Id="rId504" Type="http://schemas.openxmlformats.org/officeDocument/2006/relationships/hyperlink" Target="http://docker.co" TargetMode="External"/><Relationship Id="rId625" Type="http://schemas.openxmlformats.org/officeDocument/2006/relationships/hyperlink" Target="http://docker.com" TargetMode="External"/><Relationship Id="rId48" Type="http://schemas.openxmlformats.org/officeDocument/2006/relationships/hyperlink" Target="http://docker.com" TargetMode="External"/><Relationship Id="rId47" Type="http://schemas.openxmlformats.org/officeDocument/2006/relationships/hyperlink" Target="http://docker.com" TargetMode="External"/><Relationship Id="rId49" Type="http://schemas.openxmlformats.org/officeDocument/2006/relationships/hyperlink" Target="http://docker.co" TargetMode="External"/><Relationship Id="rId620" Type="http://schemas.openxmlformats.org/officeDocument/2006/relationships/hyperlink" Target="http://docker.com" TargetMode="External"/><Relationship Id="rId31" Type="http://schemas.openxmlformats.org/officeDocument/2006/relationships/hyperlink" Target="http://docker.co" TargetMode="External"/><Relationship Id="rId30" Type="http://schemas.openxmlformats.org/officeDocument/2006/relationships/hyperlink" Target="http://docker.co" TargetMode="External"/><Relationship Id="rId33" Type="http://schemas.openxmlformats.org/officeDocument/2006/relationships/hyperlink" Target="http://docker.co" TargetMode="External"/><Relationship Id="rId32" Type="http://schemas.openxmlformats.org/officeDocument/2006/relationships/hyperlink" Target="http://docker.co" TargetMode="External"/><Relationship Id="rId35" Type="http://schemas.openxmlformats.org/officeDocument/2006/relationships/hyperlink" Target="http://docker.co" TargetMode="External"/><Relationship Id="rId34" Type="http://schemas.openxmlformats.org/officeDocument/2006/relationships/hyperlink" Target="http://docker.co" TargetMode="External"/><Relationship Id="rId619" Type="http://schemas.openxmlformats.org/officeDocument/2006/relationships/hyperlink" Target="http://docker.com" TargetMode="External"/><Relationship Id="rId618" Type="http://schemas.openxmlformats.org/officeDocument/2006/relationships/hyperlink" Target="http://docker.com" TargetMode="External"/><Relationship Id="rId613" Type="http://schemas.openxmlformats.org/officeDocument/2006/relationships/hyperlink" Target="http://docker.co" TargetMode="External"/><Relationship Id="rId612" Type="http://schemas.openxmlformats.org/officeDocument/2006/relationships/hyperlink" Target="http://docker.com" TargetMode="External"/><Relationship Id="rId611" Type="http://schemas.openxmlformats.org/officeDocument/2006/relationships/hyperlink" Target="http://docker.com" TargetMode="External"/><Relationship Id="rId610" Type="http://schemas.openxmlformats.org/officeDocument/2006/relationships/hyperlink" Target="http://docker.com" TargetMode="External"/><Relationship Id="rId731" Type="http://schemas.openxmlformats.org/officeDocument/2006/relationships/drawing" Target="../drawings/drawing4.xml"/><Relationship Id="rId617" Type="http://schemas.openxmlformats.org/officeDocument/2006/relationships/hyperlink" Target="http://docker.co" TargetMode="External"/><Relationship Id="rId616" Type="http://schemas.openxmlformats.org/officeDocument/2006/relationships/hyperlink" Target="http://docker.co" TargetMode="External"/><Relationship Id="rId615" Type="http://schemas.openxmlformats.org/officeDocument/2006/relationships/hyperlink" Target="http://docker.co" TargetMode="External"/><Relationship Id="rId614" Type="http://schemas.openxmlformats.org/officeDocument/2006/relationships/hyperlink" Target="http://docker.co" TargetMode="External"/><Relationship Id="rId37" Type="http://schemas.openxmlformats.org/officeDocument/2006/relationships/hyperlink" Target="http://docker.co" TargetMode="External"/><Relationship Id="rId36" Type="http://schemas.openxmlformats.org/officeDocument/2006/relationships/hyperlink" Target="http://docker.co" TargetMode="External"/><Relationship Id="rId39" Type="http://schemas.openxmlformats.org/officeDocument/2006/relationships/hyperlink" Target="http://docker.co" TargetMode="External"/><Relationship Id="rId38" Type="http://schemas.openxmlformats.org/officeDocument/2006/relationships/hyperlink" Target="http://docker.co" TargetMode="External"/><Relationship Id="rId730" Type="http://schemas.openxmlformats.org/officeDocument/2006/relationships/hyperlink" Target="http://docker.co" TargetMode="External"/><Relationship Id="rId20" Type="http://schemas.openxmlformats.org/officeDocument/2006/relationships/hyperlink" Target="http://docker.co" TargetMode="External"/><Relationship Id="rId22" Type="http://schemas.openxmlformats.org/officeDocument/2006/relationships/hyperlink" Target="http://docker.co" TargetMode="External"/><Relationship Id="rId21" Type="http://schemas.openxmlformats.org/officeDocument/2006/relationships/hyperlink" Target="http://docker.co" TargetMode="External"/><Relationship Id="rId24" Type="http://schemas.openxmlformats.org/officeDocument/2006/relationships/hyperlink" Target="http://docker.co" TargetMode="External"/><Relationship Id="rId23" Type="http://schemas.openxmlformats.org/officeDocument/2006/relationships/hyperlink" Target="http://docker.co" TargetMode="External"/><Relationship Id="rId409" Type="http://schemas.openxmlformats.org/officeDocument/2006/relationships/hyperlink" Target="http://docker.co" TargetMode="External"/><Relationship Id="rId404" Type="http://schemas.openxmlformats.org/officeDocument/2006/relationships/hyperlink" Target="http://docker.co" TargetMode="External"/><Relationship Id="rId525" Type="http://schemas.openxmlformats.org/officeDocument/2006/relationships/hyperlink" Target="http://docker.com" TargetMode="External"/><Relationship Id="rId646" Type="http://schemas.openxmlformats.org/officeDocument/2006/relationships/hyperlink" Target="http://docker.com" TargetMode="External"/><Relationship Id="rId403" Type="http://schemas.openxmlformats.org/officeDocument/2006/relationships/hyperlink" Target="http://docker.co" TargetMode="External"/><Relationship Id="rId524" Type="http://schemas.openxmlformats.org/officeDocument/2006/relationships/hyperlink" Target="http://docker.com" TargetMode="External"/><Relationship Id="rId645" Type="http://schemas.openxmlformats.org/officeDocument/2006/relationships/hyperlink" Target="http://docker.com" TargetMode="External"/><Relationship Id="rId402" Type="http://schemas.openxmlformats.org/officeDocument/2006/relationships/hyperlink" Target="http://docker.co" TargetMode="External"/><Relationship Id="rId523" Type="http://schemas.openxmlformats.org/officeDocument/2006/relationships/hyperlink" Target="http://docker.com" TargetMode="External"/><Relationship Id="rId644" Type="http://schemas.openxmlformats.org/officeDocument/2006/relationships/hyperlink" Target="http://docker.com" TargetMode="External"/><Relationship Id="rId401" Type="http://schemas.openxmlformats.org/officeDocument/2006/relationships/hyperlink" Target="http://docker.co" TargetMode="External"/><Relationship Id="rId522" Type="http://schemas.openxmlformats.org/officeDocument/2006/relationships/hyperlink" Target="http://docker.com" TargetMode="External"/><Relationship Id="rId643" Type="http://schemas.openxmlformats.org/officeDocument/2006/relationships/hyperlink" Target="http://docker.com" TargetMode="External"/><Relationship Id="rId408" Type="http://schemas.openxmlformats.org/officeDocument/2006/relationships/hyperlink" Target="http://docker.co" TargetMode="External"/><Relationship Id="rId529" Type="http://schemas.openxmlformats.org/officeDocument/2006/relationships/hyperlink" Target="http://docker.com" TargetMode="External"/><Relationship Id="rId407" Type="http://schemas.openxmlformats.org/officeDocument/2006/relationships/hyperlink" Target="http://docker.co" TargetMode="External"/><Relationship Id="rId528" Type="http://schemas.openxmlformats.org/officeDocument/2006/relationships/hyperlink" Target="http://docker.com" TargetMode="External"/><Relationship Id="rId649" Type="http://schemas.openxmlformats.org/officeDocument/2006/relationships/hyperlink" Target="http://docker.com" TargetMode="External"/><Relationship Id="rId406" Type="http://schemas.openxmlformats.org/officeDocument/2006/relationships/hyperlink" Target="http://docker.co" TargetMode="External"/><Relationship Id="rId527" Type="http://schemas.openxmlformats.org/officeDocument/2006/relationships/hyperlink" Target="http://docker.co" TargetMode="External"/><Relationship Id="rId648" Type="http://schemas.openxmlformats.org/officeDocument/2006/relationships/hyperlink" Target="http://docker.com" TargetMode="External"/><Relationship Id="rId405" Type="http://schemas.openxmlformats.org/officeDocument/2006/relationships/hyperlink" Target="http://docker.co" TargetMode="External"/><Relationship Id="rId526" Type="http://schemas.openxmlformats.org/officeDocument/2006/relationships/hyperlink" Target="http://docker.com" TargetMode="External"/><Relationship Id="rId647" Type="http://schemas.openxmlformats.org/officeDocument/2006/relationships/hyperlink" Target="http://docker.com" TargetMode="External"/><Relationship Id="rId26" Type="http://schemas.openxmlformats.org/officeDocument/2006/relationships/hyperlink" Target="http://docker.co" TargetMode="External"/><Relationship Id="rId25" Type="http://schemas.openxmlformats.org/officeDocument/2006/relationships/hyperlink" Target="http://docker.co" TargetMode="External"/><Relationship Id="rId28" Type="http://schemas.openxmlformats.org/officeDocument/2006/relationships/hyperlink" Target="http://docker.co" TargetMode="External"/><Relationship Id="rId27" Type="http://schemas.openxmlformats.org/officeDocument/2006/relationships/hyperlink" Target="http://docker.co" TargetMode="External"/><Relationship Id="rId400" Type="http://schemas.openxmlformats.org/officeDocument/2006/relationships/hyperlink" Target="http://docker.com" TargetMode="External"/><Relationship Id="rId521" Type="http://schemas.openxmlformats.org/officeDocument/2006/relationships/hyperlink" Target="http://docker.com" TargetMode="External"/><Relationship Id="rId642" Type="http://schemas.openxmlformats.org/officeDocument/2006/relationships/hyperlink" Target="http://docker.com" TargetMode="External"/><Relationship Id="rId29" Type="http://schemas.openxmlformats.org/officeDocument/2006/relationships/hyperlink" Target="http://docker.co" TargetMode="External"/><Relationship Id="rId520" Type="http://schemas.openxmlformats.org/officeDocument/2006/relationships/hyperlink" Target="http://docker.com" TargetMode="External"/><Relationship Id="rId641" Type="http://schemas.openxmlformats.org/officeDocument/2006/relationships/hyperlink" Target="http://docker.com" TargetMode="External"/><Relationship Id="rId640" Type="http://schemas.openxmlformats.org/officeDocument/2006/relationships/hyperlink" Target="http://docker.com" TargetMode="External"/><Relationship Id="rId11" Type="http://schemas.openxmlformats.org/officeDocument/2006/relationships/hyperlink" Target="http://docker.co" TargetMode="External"/><Relationship Id="rId10" Type="http://schemas.openxmlformats.org/officeDocument/2006/relationships/hyperlink" Target="http://docker.co" TargetMode="External"/><Relationship Id="rId13" Type="http://schemas.openxmlformats.org/officeDocument/2006/relationships/hyperlink" Target="http://docker.co" TargetMode="External"/><Relationship Id="rId12" Type="http://schemas.openxmlformats.org/officeDocument/2006/relationships/hyperlink" Target="http://docker.co" TargetMode="External"/><Relationship Id="rId519" Type="http://schemas.openxmlformats.org/officeDocument/2006/relationships/hyperlink" Target="http://docker.com" TargetMode="External"/><Relationship Id="rId514" Type="http://schemas.openxmlformats.org/officeDocument/2006/relationships/hyperlink" Target="http://docker.com" TargetMode="External"/><Relationship Id="rId635" Type="http://schemas.openxmlformats.org/officeDocument/2006/relationships/hyperlink" Target="http://docker.com" TargetMode="External"/><Relationship Id="rId513" Type="http://schemas.openxmlformats.org/officeDocument/2006/relationships/hyperlink" Target="http://docker.com" TargetMode="External"/><Relationship Id="rId634" Type="http://schemas.openxmlformats.org/officeDocument/2006/relationships/hyperlink" Target="http://docker.com" TargetMode="External"/><Relationship Id="rId512" Type="http://schemas.openxmlformats.org/officeDocument/2006/relationships/hyperlink" Target="http://docker.co" TargetMode="External"/><Relationship Id="rId633" Type="http://schemas.openxmlformats.org/officeDocument/2006/relationships/hyperlink" Target="http://docker.com" TargetMode="External"/><Relationship Id="rId511" Type="http://schemas.openxmlformats.org/officeDocument/2006/relationships/hyperlink" Target="http://docker.com" TargetMode="External"/><Relationship Id="rId632" Type="http://schemas.openxmlformats.org/officeDocument/2006/relationships/hyperlink" Target="http://docker.com" TargetMode="External"/><Relationship Id="rId518" Type="http://schemas.openxmlformats.org/officeDocument/2006/relationships/hyperlink" Target="http://docker.com" TargetMode="External"/><Relationship Id="rId639" Type="http://schemas.openxmlformats.org/officeDocument/2006/relationships/hyperlink" Target="http://docker.com" TargetMode="External"/><Relationship Id="rId517" Type="http://schemas.openxmlformats.org/officeDocument/2006/relationships/hyperlink" Target="http://docker.com" TargetMode="External"/><Relationship Id="rId638" Type="http://schemas.openxmlformats.org/officeDocument/2006/relationships/hyperlink" Target="http://docker.com" TargetMode="External"/><Relationship Id="rId516" Type="http://schemas.openxmlformats.org/officeDocument/2006/relationships/hyperlink" Target="http://docker.com" TargetMode="External"/><Relationship Id="rId637" Type="http://schemas.openxmlformats.org/officeDocument/2006/relationships/hyperlink" Target="http://docker.com" TargetMode="External"/><Relationship Id="rId515" Type="http://schemas.openxmlformats.org/officeDocument/2006/relationships/hyperlink" Target="http://docker.com" TargetMode="External"/><Relationship Id="rId636" Type="http://schemas.openxmlformats.org/officeDocument/2006/relationships/hyperlink" Target="http://docker.com" TargetMode="External"/><Relationship Id="rId15" Type="http://schemas.openxmlformats.org/officeDocument/2006/relationships/hyperlink" Target="http://docker.co" TargetMode="External"/><Relationship Id="rId14" Type="http://schemas.openxmlformats.org/officeDocument/2006/relationships/hyperlink" Target="http://docker.co" TargetMode="External"/><Relationship Id="rId17" Type="http://schemas.openxmlformats.org/officeDocument/2006/relationships/hyperlink" Target="http://docker.co" TargetMode="External"/><Relationship Id="rId16" Type="http://schemas.openxmlformats.org/officeDocument/2006/relationships/hyperlink" Target="http://docker.co" TargetMode="External"/><Relationship Id="rId19" Type="http://schemas.openxmlformats.org/officeDocument/2006/relationships/hyperlink" Target="http://docker.co" TargetMode="External"/><Relationship Id="rId510" Type="http://schemas.openxmlformats.org/officeDocument/2006/relationships/hyperlink" Target="http://docker.com" TargetMode="External"/><Relationship Id="rId631" Type="http://schemas.openxmlformats.org/officeDocument/2006/relationships/hyperlink" Target="http://docker.com" TargetMode="External"/><Relationship Id="rId18" Type="http://schemas.openxmlformats.org/officeDocument/2006/relationships/hyperlink" Target="http://docker.co" TargetMode="External"/><Relationship Id="rId630" Type="http://schemas.openxmlformats.org/officeDocument/2006/relationships/hyperlink" Target="http://docker.com" TargetMode="External"/><Relationship Id="rId84" Type="http://schemas.openxmlformats.org/officeDocument/2006/relationships/hyperlink" Target="http://docker.co" TargetMode="External"/><Relationship Id="rId83" Type="http://schemas.openxmlformats.org/officeDocument/2006/relationships/hyperlink" Target="http://docker.com" TargetMode="External"/><Relationship Id="rId86" Type="http://schemas.openxmlformats.org/officeDocument/2006/relationships/hyperlink" Target="http://docker.co" TargetMode="External"/><Relationship Id="rId85" Type="http://schemas.openxmlformats.org/officeDocument/2006/relationships/hyperlink" Target="http://docker.co" TargetMode="External"/><Relationship Id="rId88" Type="http://schemas.openxmlformats.org/officeDocument/2006/relationships/hyperlink" Target="http://docker.co" TargetMode="External"/><Relationship Id="rId87" Type="http://schemas.openxmlformats.org/officeDocument/2006/relationships/hyperlink" Target="http://docker.co" TargetMode="External"/><Relationship Id="rId89" Type="http://schemas.openxmlformats.org/officeDocument/2006/relationships/hyperlink" Target="http://docker.co" TargetMode="External"/><Relationship Id="rId709" Type="http://schemas.openxmlformats.org/officeDocument/2006/relationships/hyperlink" Target="http://docker.co" TargetMode="External"/><Relationship Id="rId708" Type="http://schemas.openxmlformats.org/officeDocument/2006/relationships/hyperlink" Target="http://docker.co" TargetMode="External"/><Relationship Id="rId707" Type="http://schemas.openxmlformats.org/officeDocument/2006/relationships/hyperlink" Target="http://docker.co" TargetMode="External"/><Relationship Id="rId706" Type="http://schemas.openxmlformats.org/officeDocument/2006/relationships/hyperlink" Target="http://docker.co" TargetMode="External"/><Relationship Id="rId80" Type="http://schemas.openxmlformats.org/officeDocument/2006/relationships/hyperlink" Target="http://docker.co" TargetMode="External"/><Relationship Id="rId82" Type="http://schemas.openxmlformats.org/officeDocument/2006/relationships/hyperlink" Target="http://docker.co" TargetMode="External"/><Relationship Id="rId81" Type="http://schemas.openxmlformats.org/officeDocument/2006/relationships/hyperlink" Target="http://docker.co" TargetMode="External"/><Relationship Id="rId701" Type="http://schemas.openxmlformats.org/officeDocument/2006/relationships/hyperlink" Target="http://docker.co" TargetMode="External"/><Relationship Id="rId700" Type="http://schemas.openxmlformats.org/officeDocument/2006/relationships/hyperlink" Target="http://docker.co" TargetMode="External"/><Relationship Id="rId705" Type="http://schemas.openxmlformats.org/officeDocument/2006/relationships/hyperlink" Target="http://docker.co" TargetMode="External"/><Relationship Id="rId704" Type="http://schemas.openxmlformats.org/officeDocument/2006/relationships/hyperlink" Target="http://docker.co" TargetMode="External"/><Relationship Id="rId703" Type="http://schemas.openxmlformats.org/officeDocument/2006/relationships/hyperlink" Target="http://docker.co" TargetMode="External"/><Relationship Id="rId702" Type="http://schemas.openxmlformats.org/officeDocument/2006/relationships/hyperlink" Target="http://docker.co" TargetMode="External"/><Relationship Id="rId73" Type="http://schemas.openxmlformats.org/officeDocument/2006/relationships/hyperlink" Target="http://docker.co" TargetMode="External"/><Relationship Id="rId72" Type="http://schemas.openxmlformats.org/officeDocument/2006/relationships/hyperlink" Target="http://docker.co" TargetMode="External"/><Relationship Id="rId75" Type="http://schemas.openxmlformats.org/officeDocument/2006/relationships/hyperlink" Target="http://docker.co" TargetMode="External"/><Relationship Id="rId74" Type="http://schemas.openxmlformats.org/officeDocument/2006/relationships/hyperlink" Target="http://docker.co" TargetMode="External"/><Relationship Id="rId77" Type="http://schemas.openxmlformats.org/officeDocument/2006/relationships/hyperlink" Target="http://docker.co" TargetMode="External"/><Relationship Id="rId76" Type="http://schemas.openxmlformats.org/officeDocument/2006/relationships/hyperlink" Target="http://docker.co" TargetMode="External"/><Relationship Id="rId79" Type="http://schemas.openxmlformats.org/officeDocument/2006/relationships/hyperlink" Target="http://docker.co" TargetMode="External"/><Relationship Id="rId78" Type="http://schemas.openxmlformats.org/officeDocument/2006/relationships/hyperlink" Target="http://docker.co" TargetMode="External"/><Relationship Id="rId71" Type="http://schemas.openxmlformats.org/officeDocument/2006/relationships/hyperlink" Target="http://docker.co" TargetMode="External"/><Relationship Id="rId70" Type="http://schemas.openxmlformats.org/officeDocument/2006/relationships/hyperlink" Target="http://docker.co" TargetMode="External"/><Relationship Id="rId62" Type="http://schemas.openxmlformats.org/officeDocument/2006/relationships/hyperlink" Target="http://docker.com" TargetMode="External"/><Relationship Id="rId61" Type="http://schemas.openxmlformats.org/officeDocument/2006/relationships/hyperlink" Target="http://docker.com" TargetMode="External"/><Relationship Id="rId64" Type="http://schemas.openxmlformats.org/officeDocument/2006/relationships/hyperlink" Target="http://docker.com" TargetMode="External"/><Relationship Id="rId63" Type="http://schemas.openxmlformats.org/officeDocument/2006/relationships/hyperlink" Target="http://docker.com" TargetMode="External"/><Relationship Id="rId66" Type="http://schemas.openxmlformats.org/officeDocument/2006/relationships/hyperlink" Target="http://docker.com" TargetMode="External"/><Relationship Id="rId65" Type="http://schemas.openxmlformats.org/officeDocument/2006/relationships/hyperlink" Target="http://docker.com" TargetMode="External"/><Relationship Id="rId68" Type="http://schemas.openxmlformats.org/officeDocument/2006/relationships/hyperlink" Target="http://docker.co" TargetMode="External"/><Relationship Id="rId67" Type="http://schemas.openxmlformats.org/officeDocument/2006/relationships/hyperlink" Target="http://docker.com" TargetMode="External"/><Relationship Id="rId609" Type="http://schemas.openxmlformats.org/officeDocument/2006/relationships/hyperlink" Target="http://docker.com" TargetMode="External"/><Relationship Id="rId608" Type="http://schemas.openxmlformats.org/officeDocument/2006/relationships/hyperlink" Target="http://docker.co" TargetMode="External"/><Relationship Id="rId729" Type="http://schemas.openxmlformats.org/officeDocument/2006/relationships/hyperlink" Target="http://docker.co" TargetMode="External"/><Relationship Id="rId607" Type="http://schemas.openxmlformats.org/officeDocument/2006/relationships/hyperlink" Target="http://docker.co" TargetMode="External"/><Relationship Id="rId728" Type="http://schemas.openxmlformats.org/officeDocument/2006/relationships/hyperlink" Target="http://docker.co" TargetMode="External"/><Relationship Id="rId60" Type="http://schemas.openxmlformats.org/officeDocument/2006/relationships/hyperlink" Target="http://docker.com" TargetMode="External"/><Relationship Id="rId602" Type="http://schemas.openxmlformats.org/officeDocument/2006/relationships/hyperlink" Target="http://docker.com" TargetMode="External"/><Relationship Id="rId723" Type="http://schemas.openxmlformats.org/officeDocument/2006/relationships/hyperlink" Target="http://docker.com" TargetMode="External"/><Relationship Id="rId601" Type="http://schemas.openxmlformats.org/officeDocument/2006/relationships/hyperlink" Target="http://docker.com" TargetMode="External"/><Relationship Id="rId722" Type="http://schemas.openxmlformats.org/officeDocument/2006/relationships/hyperlink" Target="http://docker.com" TargetMode="External"/><Relationship Id="rId600" Type="http://schemas.openxmlformats.org/officeDocument/2006/relationships/hyperlink" Target="http://docker.com" TargetMode="External"/><Relationship Id="rId721" Type="http://schemas.openxmlformats.org/officeDocument/2006/relationships/hyperlink" Target="http://docker.com" TargetMode="External"/><Relationship Id="rId720" Type="http://schemas.openxmlformats.org/officeDocument/2006/relationships/hyperlink" Target="http://docker.com" TargetMode="External"/><Relationship Id="rId606" Type="http://schemas.openxmlformats.org/officeDocument/2006/relationships/hyperlink" Target="http://docker.com" TargetMode="External"/><Relationship Id="rId727" Type="http://schemas.openxmlformats.org/officeDocument/2006/relationships/hyperlink" Target="http://docker.co" TargetMode="External"/><Relationship Id="rId605" Type="http://schemas.openxmlformats.org/officeDocument/2006/relationships/hyperlink" Target="http://docker.com" TargetMode="External"/><Relationship Id="rId726" Type="http://schemas.openxmlformats.org/officeDocument/2006/relationships/hyperlink" Target="http://docker.co" TargetMode="External"/><Relationship Id="rId604" Type="http://schemas.openxmlformats.org/officeDocument/2006/relationships/hyperlink" Target="http://docker.com" TargetMode="External"/><Relationship Id="rId725" Type="http://schemas.openxmlformats.org/officeDocument/2006/relationships/hyperlink" Target="http://docker.co" TargetMode="External"/><Relationship Id="rId603" Type="http://schemas.openxmlformats.org/officeDocument/2006/relationships/hyperlink" Target="http://docker.com" TargetMode="External"/><Relationship Id="rId724" Type="http://schemas.openxmlformats.org/officeDocument/2006/relationships/hyperlink" Target="http://docker.co" TargetMode="External"/><Relationship Id="rId69" Type="http://schemas.openxmlformats.org/officeDocument/2006/relationships/hyperlink" Target="http://docker.co" TargetMode="External"/><Relationship Id="rId51" Type="http://schemas.openxmlformats.org/officeDocument/2006/relationships/hyperlink" Target="http://docker.co" TargetMode="External"/><Relationship Id="rId50" Type="http://schemas.openxmlformats.org/officeDocument/2006/relationships/hyperlink" Target="http://docker.co" TargetMode="External"/><Relationship Id="rId53" Type="http://schemas.openxmlformats.org/officeDocument/2006/relationships/hyperlink" Target="http://docker.com" TargetMode="External"/><Relationship Id="rId52" Type="http://schemas.openxmlformats.org/officeDocument/2006/relationships/hyperlink" Target="http://docker.co" TargetMode="External"/><Relationship Id="rId55" Type="http://schemas.openxmlformats.org/officeDocument/2006/relationships/hyperlink" Target="http://docker.co" TargetMode="External"/><Relationship Id="rId54" Type="http://schemas.openxmlformats.org/officeDocument/2006/relationships/hyperlink" Target="http://docker.co" TargetMode="External"/><Relationship Id="rId57" Type="http://schemas.openxmlformats.org/officeDocument/2006/relationships/hyperlink" Target="http://docker.com" TargetMode="External"/><Relationship Id="rId56" Type="http://schemas.openxmlformats.org/officeDocument/2006/relationships/hyperlink" Target="http://docker.co" TargetMode="External"/><Relationship Id="rId719" Type="http://schemas.openxmlformats.org/officeDocument/2006/relationships/hyperlink" Target="http://docker.com" TargetMode="External"/><Relationship Id="rId718" Type="http://schemas.openxmlformats.org/officeDocument/2006/relationships/hyperlink" Target="http://docker.com" TargetMode="External"/><Relationship Id="rId717" Type="http://schemas.openxmlformats.org/officeDocument/2006/relationships/hyperlink" Target="http://docker.com" TargetMode="External"/><Relationship Id="rId712" Type="http://schemas.openxmlformats.org/officeDocument/2006/relationships/hyperlink" Target="http://docker.com" TargetMode="External"/><Relationship Id="rId711" Type="http://schemas.openxmlformats.org/officeDocument/2006/relationships/hyperlink" Target="http://docker.com" TargetMode="External"/><Relationship Id="rId710" Type="http://schemas.openxmlformats.org/officeDocument/2006/relationships/hyperlink" Target="http://docker.com" TargetMode="External"/><Relationship Id="rId716" Type="http://schemas.openxmlformats.org/officeDocument/2006/relationships/hyperlink" Target="http://docker.com" TargetMode="External"/><Relationship Id="rId715" Type="http://schemas.openxmlformats.org/officeDocument/2006/relationships/hyperlink" Target="http://docker.com" TargetMode="External"/><Relationship Id="rId714" Type="http://schemas.openxmlformats.org/officeDocument/2006/relationships/hyperlink" Target="http://docker.com" TargetMode="External"/><Relationship Id="rId713" Type="http://schemas.openxmlformats.org/officeDocument/2006/relationships/hyperlink" Target="http://docker.com" TargetMode="External"/><Relationship Id="rId59" Type="http://schemas.openxmlformats.org/officeDocument/2006/relationships/hyperlink" Target="http://docker.co" TargetMode="External"/><Relationship Id="rId58" Type="http://schemas.openxmlformats.org/officeDocument/2006/relationships/hyperlink" Target="http://docker.com" TargetMode="External"/><Relationship Id="rId590" Type="http://schemas.openxmlformats.org/officeDocument/2006/relationships/hyperlink" Target="http://docker.co" TargetMode="External"/><Relationship Id="rId107" Type="http://schemas.openxmlformats.org/officeDocument/2006/relationships/hyperlink" Target="http://docker.co" TargetMode="External"/><Relationship Id="rId228" Type="http://schemas.openxmlformats.org/officeDocument/2006/relationships/hyperlink" Target="http://docker.com" TargetMode="External"/><Relationship Id="rId349" Type="http://schemas.openxmlformats.org/officeDocument/2006/relationships/hyperlink" Target="http://docker.co" TargetMode="External"/><Relationship Id="rId106" Type="http://schemas.openxmlformats.org/officeDocument/2006/relationships/hyperlink" Target="http://docker.co" TargetMode="External"/><Relationship Id="rId227" Type="http://schemas.openxmlformats.org/officeDocument/2006/relationships/hyperlink" Target="http://docker.com" TargetMode="External"/><Relationship Id="rId348" Type="http://schemas.openxmlformats.org/officeDocument/2006/relationships/hyperlink" Target="http://docker.com" TargetMode="External"/><Relationship Id="rId469" Type="http://schemas.openxmlformats.org/officeDocument/2006/relationships/hyperlink" Target="http://docker.com" TargetMode="External"/><Relationship Id="rId105" Type="http://schemas.openxmlformats.org/officeDocument/2006/relationships/hyperlink" Target="http://docker.co" TargetMode="External"/><Relationship Id="rId226" Type="http://schemas.openxmlformats.org/officeDocument/2006/relationships/hyperlink" Target="http://docker.com" TargetMode="External"/><Relationship Id="rId347" Type="http://schemas.openxmlformats.org/officeDocument/2006/relationships/hyperlink" Target="http://docker.com" TargetMode="External"/><Relationship Id="rId468" Type="http://schemas.openxmlformats.org/officeDocument/2006/relationships/hyperlink" Target="http://docker.co" TargetMode="External"/><Relationship Id="rId589" Type="http://schemas.openxmlformats.org/officeDocument/2006/relationships/hyperlink" Target="http://docker.co" TargetMode="External"/><Relationship Id="rId104" Type="http://schemas.openxmlformats.org/officeDocument/2006/relationships/hyperlink" Target="http://docker.co" TargetMode="External"/><Relationship Id="rId225" Type="http://schemas.openxmlformats.org/officeDocument/2006/relationships/hyperlink" Target="http://docker.com" TargetMode="External"/><Relationship Id="rId346" Type="http://schemas.openxmlformats.org/officeDocument/2006/relationships/hyperlink" Target="http://docker.com" TargetMode="External"/><Relationship Id="rId467" Type="http://schemas.openxmlformats.org/officeDocument/2006/relationships/hyperlink" Target="http://docker.co" TargetMode="External"/><Relationship Id="rId588" Type="http://schemas.openxmlformats.org/officeDocument/2006/relationships/hyperlink" Target="http://docker.co" TargetMode="External"/><Relationship Id="rId109" Type="http://schemas.openxmlformats.org/officeDocument/2006/relationships/hyperlink" Target="http://docker.com" TargetMode="External"/><Relationship Id="rId108" Type="http://schemas.openxmlformats.org/officeDocument/2006/relationships/hyperlink" Target="http://docker.com" TargetMode="External"/><Relationship Id="rId229" Type="http://schemas.openxmlformats.org/officeDocument/2006/relationships/hyperlink" Target="http://docker.com" TargetMode="External"/><Relationship Id="rId220" Type="http://schemas.openxmlformats.org/officeDocument/2006/relationships/hyperlink" Target="http://docker.com" TargetMode="External"/><Relationship Id="rId341" Type="http://schemas.openxmlformats.org/officeDocument/2006/relationships/hyperlink" Target="http://docker.co" TargetMode="External"/><Relationship Id="rId462" Type="http://schemas.openxmlformats.org/officeDocument/2006/relationships/hyperlink" Target="http://docker.com" TargetMode="External"/><Relationship Id="rId583" Type="http://schemas.openxmlformats.org/officeDocument/2006/relationships/hyperlink" Target="http://docker.co" TargetMode="External"/><Relationship Id="rId340" Type="http://schemas.openxmlformats.org/officeDocument/2006/relationships/hyperlink" Target="http://docker.co" TargetMode="External"/><Relationship Id="rId461" Type="http://schemas.openxmlformats.org/officeDocument/2006/relationships/hyperlink" Target="http://docker.co" TargetMode="External"/><Relationship Id="rId582" Type="http://schemas.openxmlformats.org/officeDocument/2006/relationships/hyperlink" Target="http://docker.co" TargetMode="External"/><Relationship Id="rId460" Type="http://schemas.openxmlformats.org/officeDocument/2006/relationships/hyperlink" Target="http://docker.co" TargetMode="External"/><Relationship Id="rId581" Type="http://schemas.openxmlformats.org/officeDocument/2006/relationships/hyperlink" Target="http://docker.co" TargetMode="External"/><Relationship Id="rId580" Type="http://schemas.openxmlformats.org/officeDocument/2006/relationships/hyperlink" Target="http://docker.co" TargetMode="External"/><Relationship Id="rId103" Type="http://schemas.openxmlformats.org/officeDocument/2006/relationships/hyperlink" Target="http://docker.co" TargetMode="External"/><Relationship Id="rId224" Type="http://schemas.openxmlformats.org/officeDocument/2006/relationships/hyperlink" Target="http://docker.com" TargetMode="External"/><Relationship Id="rId345" Type="http://schemas.openxmlformats.org/officeDocument/2006/relationships/hyperlink" Target="http://docker.com" TargetMode="External"/><Relationship Id="rId466" Type="http://schemas.openxmlformats.org/officeDocument/2006/relationships/hyperlink" Target="http://docker.co" TargetMode="External"/><Relationship Id="rId587" Type="http://schemas.openxmlformats.org/officeDocument/2006/relationships/hyperlink" Target="http://docker.co" TargetMode="External"/><Relationship Id="rId102" Type="http://schemas.openxmlformats.org/officeDocument/2006/relationships/hyperlink" Target="http://docker.co" TargetMode="External"/><Relationship Id="rId223" Type="http://schemas.openxmlformats.org/officeDocument/2006/relationships/hyperlink" Target="http://docker.com" TargetMode="External"/><Relationship Id="rId344" Type="http://schemas.openxmlformats.org/officeDocument/2006/relationships/hyperlink" Target="http://docker.com" TargetMode="External"/><Relationship Id="rId465" Type="http://schemas.openxmlformats.org/officeDocument/2006/relationships/hyperlink" Target="http://docker.co" TargetMode="External"/><Relationship Id="rId586" Type="http://schemas.openxmlformats.org/officeDocument/2006/relationships/hyperlink" Target="http://docker.co" TargetMode="External"/><Relationship Id="rId101" Type="http://schemas.openxmlformats.org/officeDocument/2006/relationships/hyperlink" Target="http://docker.co" TargetMode="External"/><Relationship Id="rId222" Type="http://schemas.openxmlformats.org/officeDocument/2006/relationships/hyperlink" Target="http://docker.com" TargetMode="External"/><Relationship Id="rId343" Type="http://schemas.openxmlformats.org/officeDocument/2006/relationships/hyperlink" Target="http://docker.co" TargetMode="External"/><Relationship Id="rId464" Type="http://schemas.openxmlformats.org/officeDocument/2006/relationships/hyperlink" Target="http://docker.co" TargetMode="External"/><Relationship Id="rId585" Type="http://schemas.openxmlformats.org/officeDocument/2006/relationships/hyperlink" Target="http://docker.co" TargetMode="External"/><Relationship Id="rId100" Type="http://schemas.openxmlformats.org/officeDocument/2006/relationships/hyperlink" Target="http://docker.co" TargetMode="External"/><Relationship Id="rId221" Type="http://schemas.openxmlformats.org/officeDocument/2006/relationships/hyperlink" Target="http://docker.com" TargetMode="External"/><Relationship Id="rId342" Type="http://schemas.openxmlformats.org/officeDocument/2006/relationships/hyperlink" Target="http://docker.co" TargetMode="External"/><Relationship Id="rId463" Type="http://schemas.openxmlformats.org/officeDocument/2006/relationships/hyperlink" Target="http://docker.com" TargetMode="External"/><Relationship Id="rId584" Type="http://schemas.openxmlformats.org/officeDocument/2006/relationships/hyperlink" Target="http://docker.co" TargetMode="External"/><Relationship Id="rId217" Type="http://schemas.openxmlformats.org/officeDocument/2006/relationships/hyperlink" Target="http://docker.co" TargetMode="External"/><Relationship Id="rId338" Type="http://schemas.openxmlformats.org/officeDocument/2006/relationships/hyperlink" Target="http://docker.co" TargetMode="External"/><Relationship Id="rId459" Type="http://schemas.openxmlformats.org/officeDocument/2006/relationships/hyperlink" Target="http://docker.com" TargetMode="External"/><Relationship Id="rId216" Type="http://schemas.openxmlformats.org/officeDocument/2006/relationships/hyperlink" Target="http://docker.co" TargetMode="External"/><Relationship Id="rId337" Type="http://schemas.openxmlformats.org/officeDocument/2006/relationships/hyperlink" Target="http://docker.co" TargetMode="External"/><Relationship Id="rId458" Type="http://schemas.openxmlformats.org/officeDocument/2006/relationships/hyperlink" Target="http://docker.com" TargetMode="External"/><Relationship Id="rId579" Type="http://schemas.openxmlformats.org/officeDocument/2006/relationships/hyperlink" Target="http://docker.com" TargetMode="External"/><Relationship Id="rId215" Type="http://schemas.openxmlformats.org/officeDocument/2006/relationships/hyperlink" Target="http://docker.co" TargetMode="External"/><Relationship Id="rId336" Type="http://schemas.openxmlformats.org/officeDocument/2006/relationships/hyperlink" Target="http://docker.co" TargetMode="External"/><Relationship Id="rId457" Type="http://schemas.openxmlformats.org/officeDocument/2006/relationships/hyperlink" Target="http://docker.com" TargetMode="External"/><Relationship Id="rId578" Type="http://schemas.openxmlformats.org/officeDocument/2006/relationships/hyperlink" Target="http://docker.com" TargetMode="External"/><Relationship Id="rId699" Type="http://schemas.openxmlformats.org/officeDocument/2006/relationships/hyperlink" Target="http://docker.co" TargetMode="External"/><Relationship Id="rId214" Type="http://schemas.openxmlformats.org/officeDocument/2006/relationships/hyperlink" Target="http://docker.co" TargetMode="External"/><Relationship Id="rId335" Type="http://schemas.openxmlformats.org/officeDocument/2006/relationships/hyperlink" Target="http://docker.co" TargetMode="External"/><Relationship Id="rId456" Type="http://schemas.openxmlformats.org/officeDocument/2006/relationships/hyperlink" Target="http://docker.com" TargetMode="External"/><Relationship Id="rId577" Type="http://schemas.openxmlformats.org/officeDocument/2006/relationships/hyperlink" Target="http://docker.co" TargetMode="External"/><Relationship Id="rId698" Type="http://schemas.openxmlformats.org/officeDocument/2006/relationships/hyperlink" Target="http://docker.com" TargetMode="External"/><Relationship Id="rId219" Type="http://schemas.openxmlformats.org/officeDocument/2006/relationships/hyperlink" Target="http://docker.com" TargetMode="External"/><Relationship Id="rId218" Type="http://schemas.openxmlformats.org/officeDocument/2006/relationships/hyperlink" Target="http://docker.com" TargetMode="External"/><Relationship Id="rId339" Type="http://schemas.openxmlformats.org/officeDocument/2006/relationships/hyperlink" Target="http://docker.co" TargetMode="External"/><Relationship Id="rId330" Type="http://schemas.openxmlformats.org/officeDocument/2006/relationships/hyperlink" Target="http://docker.co" TargetMode="External"/><Relationship Id="rId451" Type="http://schemas.openxmlformats.org/officeDocument/2006/relationships/hyperlink" Target="http://docker.com" TargetMode="External"/><Relationship Id="rId572" Type="http://schemas.openxmlformats.org/officeDocument/2006/relationships/hyperlink" Target="http://docker.co" TargetMode="External"/><Relationship Id="rId693" Type="http://schemas.openxmlformats.org/officeDocument/2006/relationships/hyperlink" Target="http://docker.com" TargetMode="External"/><Relationship Id="rId450" Type="http://schemas.openxmlformats.org/officeDocument/2006/relationships/hyperlink" Target="http://docker.com" TargetMode="External"/><Relationship Id="rId571" Type="http://schemas.openxmlformats.org/officeDocument/2006/relationships/hyperlink" Target="http://docker.co" TargetMode="External"/><Relationship Id="rId692" Type="http://schemas.openxmlformats.org/officeDocument/2006/relationships/hyperlink" Target="http://docker.com" TargetMode="External"/><Relationship Id="rId570" Type="http://schemas.openxmlformats.org/officeDocument/2006/relationships/hyperlink" Target="http://docker.co" TargetMode="External"/><Relationship Id="rId691" Type="http://schemas.openxmlformats.org/officeDocument/2006/relationships/hyperlink" Target="http://docker.co" TargetMode="External"/><Relationship Id="rId690" Type="http://schemas.openxmlformats.org/officeDocument/2006/relationships/hyperlink" Target="http://docker.co" TargetMode="External"/><Relationship Id="rId213" Type="http://schemas.openxmlformats.org/officeDocument/2006/relationships/hyperlink" Target="http://docker.co" TargetMode="External"/><Relationship Id="rId334" Type="http://schemas.openxmlformats.org/officeDocument/2006/relationships/hyperlink" Target="http://docker.com" TargetMode="External"/><Relationship Id="rId455" Type="http://schemas.openxmlformats.org/officeDocument/2006/relationships/hyperlink" Target="http://docker.com" TargetMode="External"/><Relationship Id="rId576" Type="http://schemas.openxmlformats.org/officeDocument/2006/relationships/hyperlink" Target="http://docker.co" TargetMode="External"/><Relationship Id="rId697" Type="http://schemas.openxmlformats.org/officeDocument/2006/relationships/hyperlink" Target="http://docker.com" TargetMode="External"/><Relationship Id="rId212" Type="http://schemas.openxmlformats.org/officeDocument/2006/relationships/hyperlink" Target="http://docker.co" TargetMode="External"/><Relationship Id="rId333" Type="http://schemas.openxmlformats.org/officeDocument/2006/relationships/hyperlink" Target="http://docker.co" TargetMode="External"/><Relationship Id="rId454" Type="http://schemas.openxmlformats.org/officeDocument/2006/relationships/hyperlink" Target="http://docker.com" TargetMode="External"/><Relationship Id="rId575" Type="http://schemas.openxmlformats.org/officeDocument/2006/relationships/hyperlink" Target="http://docker.co" TargetMode="External"/><Relationship Id="rId696" Type="http://schemas.openxmlformats.org/officeDocument/2006/relationships/hyperlink" Target="http://docker.com" TargetMode="External"/><Relationship Id="rId211" Type="http://schemas.openxmlformats.org/officeDocument/2006/relationships/hyperlink" Target="http://docker.co" TargetMode="External"/><Relationship Id="rId332" Type="http://schemas.openxmlformats.org/officeDocument/2006/relationships/hyperlink" Target="http://docker.co" TargetMode="External"/><Relationship Id="rId453" Type="http://schemas.openxmlformats.org/officeDocument/2006/relationships/hyperlink" Target="http://docker.com" TargetMode="External"/><Relationship Id="rId574" Type="http://schemas.openxmlformats.org/officeDocument/2006/relationships/hyperlink" Target="http://docker.co" TargetMode="External"/><Relationship Id="rId695" Type="http://schemas.openxmlformats.org/officeDocument/2006/relationships/hyperlink" Target="http://docker.com" TargetMode="External"/><Relationship Id="rId210" Type="http://schemas.openxmlformats.org/officeDocument/2006/relationships/hyperlink" Target="http://docker.com" TargetMode="External"/><Relationship Id="rId331" Type="http://schemas.openxmlformats.org/officeDocument/2006/relationships/hyperlink" Target="http://docker.co" TargetMode="External"/><Relationship Id="rId452" Type="http://schemas.openxmlformats.org/officeDocument/2006/relationships/hyperlink" Target="http://docker.com" TargetMode="External"/><Relationship Id="rId573" Type="http://schemas.openxmlformats.org/officeDocument/2006/relationships/hyperlink" Target="http://docker.com" TargetMode="External"/><Relationship Id="rId694" Type="http://schemas.openxmlformats.org/officeDocument/2006/relationships/hyperlink" Target="http://docker.com" TargetMode="External"/><Relationship Id="rId370" Type="http://schemas.openxmlformats.org/officeDocument/2006/relationships/hyperlink" Target="http://docker.co" TargetMode="External"/><Relationship Id="rId491" Type="http://schemas.openxmlformats.org/officeDocument/2006/relationships/hyperlink" Target="http://docker.com" TargetMode="External"/><Relationship Id="rId490" Type="http://schemas.openxmlformats.org/officeDocument/2006/relationships/hyperlink" Target="http://docker.com" TargetMode="External"/><Relationship Id="rId129" Type="http://schemas.openxmlformats.org/officeDocument/2006/relationships/hyperlink" Target="http://docker.com" TargetMode="External"/><Relationship Id="rId128" Type="http://schemas.openxmlformats.org/officeDocument/2006/relationships/hyperlink" Target="http://docker.co" TargetMode="External"/><Relationship Id="rId249" Type="http://schemas.openxmlformats.org/officeDocument/2006/relationships/hyperlink" Target="http://docker.co" TargetMode="External"/><Relationship Id="rId127" Type="http://schemas.openxmlformats.org/officeDocument/2006/relationships/hyperlink" Target="http://docker.co" TargetMode="External"/><Relationship Id="rId248" Type="http://schemas.openxmlformats.org/officeDocument/2006/relationships/hyperlink" Target="http://docker.co" TargetMode="External"/><Relationship Id="rId369" Type="http://schemas.openxmlformats.org/officeDocument/2006/relationships/hyperlink" Target="http://docker.co" TargetMode="External"/><Relationship Id="rId126" Type="http://schemas.openxmlformats.org/officeDocument/2006/relationships/hyperlink" Target="http://docker.co" TargetMode="External"/><Relationship Id="rId247" Type="http://schemas.openxmlformats.org/officeDocument/2006/relationships/hyperlink" Target="http://docker.co" TargetMode="External"/><Relationship Id="rId368" Type="http://schemas.openxmlformats.org/officeDocument/2006/relationships/hyperlink" Target="http://docker.co" TargetMode="External"/><Relationship Id="rId489" Type="http://schemas.openxmlformats.org/officeDocument/2006/relationships/hyperlink" Target="http://docker.com" TargetMode="External"/><Relationship Id="rId121" Type="http://schemas.openxmlformats.org/officeDocument/2006/relationships/hyperlink" Target="http://docker.co" TargetMode="External"/><Relationship Id="rId242" Type="http://schemas.openxmlformats.org/officeDocument/2006/relationships/hyperlink" Target="http://docker.co" TargetMode="External"/><Relationship Id="rId363" Type="http://schemas.openxmlformats.org/officeDocument/2006/relationships/hyperlink" Target="http://docker.co" TargetMode="External"/><Relationship Id="rId484" Type="http://schemas.openxmlformats.org/officeDocument/2006/relationships/hyperlink" Target="http://docker.com" TargetMode="External"/><Relationship Id="rId120" Type="http://schemas.openxmlformats.org/officeDocument/2006/relationships/hyperlink" Target="http://docker.com" TargetMode="External"/><Relationship Id="rId241" Type="http://schemas.openxmlformats.org/officeDocument/2006/relationships/hyperlink" Target="http://docker.com" TargetMode="External"/><Relationship Id="rId362" Type="http://schemas.openxmlformats.org/officeDocument/2006/relationships/hyperlink" Target="http://docker.co" TargetMode="External"/><Relationship Id="rId483" Type="http://schemas.openxmlformats.org/officeDocument/2006/relationships/hyperlink" Target="http://docker.co" TargetMode="External"/><Relationship Id="rId240" Type="http://schemas.openxmlformats.org/officeDocument/2006/relationships/hyperlink" Target="http://docker.com" TargetMode="External"/><Relationship Id="rId361" Type="http://schemas.openxmlformats.org/officeDocument/2006/relationships/hyperlink" Target="http://docker.co" TargetMode="External"/><Relationship Id="rId482" Type="http://schemas.openxmlformats.org/officeDocument/2006/relationships/hyperlink" Target="http://docker.co" TargetMode="External"/><Relationship Id="rId360" Type="http://schemas.openxmlformats.org/officeDocument/2006/relationships/hyperlink" Target="http://docker.co" TargetMode="External"/><Relationship Id="rId481" Type="http://schemas.openxmlformats.org/officeDocument/2006/relationships/hyperlink" Target="http://docker.co" TargetMode="External"/><Relationship Id="rId125" Type="http://schemas.openxmlformats.org/officeDocument/2006/relationships/hyperlink" Target="http://docker.co" TargetMode="External"/><Relationship Id="rId246" Type="http://schemas.openxmlformats.org/officeDocument/2006/relationships/hyperlink" Target="http://docker.co" TargetMode="External"/><Relationship Id="rId367" Type="http://schemas.openxmlformats.org/officeDocument/2006/relationships/hyperlink" Target="http://docker.co" TargetMode="External"/><Relationship Id="rId488" Type="http://schemas.openxmlformats.org/officeDocument/2006/relationships/hyperlink" Target="http://docker.com" TargetMode="External"/><Relationship Id="rId124" Type="http://schemas.openxmlformats.org/officeDocument/2006/relationships/hyperlink" Target="http://docker.co" TargetMode="External"/><Relationship Id="rId245" Type="http://schemas.openxmlformats.org/officeDocument/2006/relationships/hyperlink" Target="http://docker.co" TargetMode="External"/><Relationship Id="rId366" Type="http://schemas.openxmlformats.org/officeDocument/2006/relationships/hyperlink" Target="http://docker.co" TargetMode="External"/><Relationship Id="rId487" Type="http://schemas.openxmlformats.org/officeDocument/2006/relationships/hyperlink" Target="http://docker.com" TargetMode="External"/><Relationship Id="rId123" Type="http://schemas.openxmlformats.org/officeDocument/2006/relationships/hyperlink" Target="http://docker.com" TargetMode="External"/><Relationship Id="rId244" Type="http://schemas.openxmlformats.org/officeDocument/2006/relationships/hyperlink" Target="http://docker.co" TargetMode="External"/><Relationship Id="rId365" Type="http://schemas.openxmlformats.org/officeDocument/2006/relationships/hyperlink" Target="http://docker.co" TargetMode="External"/><Relationship Id="rId486" Type="http://schemas.openxmlformats.org/officeDocument/2006/relationships/hyperlink" Target="http://docker.com" TargetMode="External"/><Relationship Id="rId122" Type="http://schemas.openxmlformats.org/officeDocument/2006/relationships/hyperlink" Target="http://docker.co" TargetMode="External"/><Relationship Id="rId243" Type="http://schemas.openxmlformats.org/officeDocument/2006/relationships/hyperlink" Target="http://docker.co" TargetMode="External"/><Relationship Id="rId364" Type="http://schemas.openxmlformats.org/officeDocument/2006/relationships/hyperlink" Target="http://docker.co" TargetMode="External"/><Relationship Id="rId485" Type="http://schemas.openxmlformats.org/officeDocument/2006/relationships/hyperlink" Target="http://docker.com" TargetMode="External"/><Relationship Id="rId95" Type="http://schemas.openxmlformats.org/officeDocument/2006/relationships/hyperlink" Target="http://docker.co" TargetMode="External"/><Relationship Id="rId94" Type="http://schemas.openxmlformats.org/officeDocument/2006/relationships/hyperlink" Target="http://docker.co" TargetMode="External"/><Relationship Id="rId97" Type="http://schemas.openxmlformats.org/officeDocument/2006/relationships/hyperlink" Target="http://docker.co" TargetMode="External"/><Relationship Id="rId96" Type="http://schemas.openxmlformats.org/officeDocument/2006/relationships/hyperlink" Target="http://docker.co" TargetMode="External"/><Relationship Id="rId99" Type="http://schemas.openxmlformats.org/officeDocument/2006/relationships/hyperlink" Target="http://docker.co" TargetMode="External"/><Relationship Id="rId480" Type="http://schemas.openxmlformats.org/officeDocument/2006/relationships/hyperlink" Target="http://docker.co" TargetMode="External"/><Relationship Id="rId98" Type="http://schemas.openxmlformats.org/officeDocument/2006/relationships/hyperlink" Target="http://docker.co" TargetMode="External"/><Relationship Id="rId91" Type="http://schemas.openxmlformats.org/officeDocument/2006/relationships/hyperlink" Target="http://docker.co" TargetMode="External"/><Relationship Id="rId90" Type="http://schemas.openxmlformats.org/officeDocument/2006/relationships/hyperlink" Target="http://docker.co" TargetMode="External"/><Relationship Id="rId93" Type="http://schemas.openxmlformats.org/officeDocument/2006/relationships/hyperlink" Target="http://docker.co" TargetMode="External"/><Relationship Id="rId92" Type="http://schemas.openxmlformats.org/officeDocument/2006/relationships/hyperlink" Target="http://docker.co" TargetMode="External"/><Relationship Id="rId118" Type="http://schemas.openxmlformats.org/officeDocument/2006/relationships/hyperlink" Target="http://docker.co" TargetMode="External"/><Relationship Id="rId239" Type="http://schemas.openxmlformats.org/officeDocument/2006/relationships/hyperlink" Target="http://docker.com" TargetMode="External"/><Relationship Id="rId117" Type="http://schemas.openxmlformats.org/officeDocument/2006/relationships/hyperlink" Target="http://docker.co" TargetMode="External"/><Relationship Id="rId238" Type="http://schemas.openxmlformats.org/officeDocument/2006/relationships/hyperlink" Target="http://docker.com/" TargetMode="External"/><Relationship Id="rId359" Type="http://schemas.openxmlformats.org/officeDocument/2006/relationships/hyperlink" Target="http://docker.co" TargetMode="External"/><Relationship Id="rId116" Type="http://schemas.openxmlformats.org/officeDocument/2006/relationships/hyperlink" Target="http://docker.com" TargetMode="External"/><Relationship Id="rId237" Type="http://schemas.openxmlformats.org/officeDocument/2006/relationships/hyperlink" Target="http://docker.com" TargetMode="External"/><Relationship Id="rId358" Type="http://schemas.openxmlformats.org/officeDocument/2006/relationships/hyperlink" Target="http://docker.co" TargetMode="External"/><Relationship Id="rId479" Type="http://schemas.openxmlformats.org/officeDocument/2006/relationships/hyperlink" Target="http://docker.co" TargetMode="External"/><Relationship Id="rId115" Type="http://schemas.openxmlformats.org/officeDocument/2006/relationships/hyperlink" Target="http://docker.co" TargetMode="External"/><Relationship Id="rId236" Type="http://schemas.openxmlformats.org/officeDocument/2006/relationships/hyperlink" Target="http://docker.com" TargetMode="External"/><Relationship Id="rId357" Type="http://schemas.openxmlformats.org/officeDocument/2006/relationships/hyperlink" Target="http://docker.co" TargetMode="External"/><Relationship Id="rId478" Type="http://schemas.openxmlformats.org/officeDocument/2006/relationships/hyperlink" Target="http://docker.co" TargetMode="External"/><Relationship Id="rId599" Type="http://schemas.openxmlformats.org/officeDocument/2006/relationships/hyperlink" Target="http://docker.com" TargetMode="External"/><Relationship Id="rId119" Type="http://schemas.openxmlformats.org/officeDocument/2006/relationships/hyperlink" Target="http://docker.co" TargetMode="External"/><Relationship Id="rId110" Type="http://schemas.openxmlformats.org/officeDocument/2006/relationships/hyperlink" Target="http://docker.co" TargetMode="External"/><Relationship Id="rId231" Type="http://schemas.openxmlformats.org/officeDocument/2006/relationships/hyperlink" Target="http://docker.com" TargetMode="External"/><Relationship Id="rId352" Type="http://schemas.openxmlformats.org/officeDocument/2006/relationships/hyperlink" Target="http://docker.com" TargetMode="External"/><Relationship Id="rId473" Type="http://schemas.openxmlformats.org/officeDocument/2006/relationships/hyperlink" Target="http://docker.com" TargetMode="External"/><Relationship Id="rId594" Type="http://schemas.openxmlformats.org/officeDocument/2006/relationships/hyperlink" Target="http://docker.com" TargetMode="External"/><Relationship Id="rId230" Type="http://schemas.openxmlformats.org/officeDocument/2006/relationships/hyperlink" Target="http://docker.com" TargetMode="External"/><Relationship Id="rId351" Type="http://schemas.openxmlformats.org/officeDocument/2006/relationships/hyperlink" Target="http://docker.co" TargetMode="External"/><Relationship Id="rId472" Type="http://schemas.openxmlformats.org/officeDocument/2006/relationships/hyperlink" Target="http://docker.co" TargetMode="External"/><Relationship Id="rId593" Type="http://schemas.openxmlformats.org/officeDocument/2006/relationships/hyperlink" Target="http://docker.com" TargetMode="External"/><Relationship Id="rId350" Type="http://schemas.openxmlformats.org/officeDocument/2006/relationships/hyperlink" Target="http://docker.co" TargetMode="External"/><Relationship Id="rId471" Type="http://schemas.openxmlformats.org/officeDocument/2006/relationships/hyperlink" Target="http://docker.co" TargetMode="External"/><Relationship Id="rId592" Type="http://schemas.openxmlformats.org/officeDocument/2006/relationships/hyperlink" Target="http://docker.co" TargetMode="External"/><Relationship Id="rId470" Type="http://schemas.openxmlformats.org/officeDocument/2006/relationships/hyperlink" Target="http://docker.co" TargetMode="External"/><Relationship Id="rId591" Type="http://schemas.openxmlformats.org/officeDocument/2006/relationships/hyperlink" Target="http://docker.co" TargetMode="External"/><Relationship Id="rId114" Type="http://schemas.openxmlformats.org/officeDocument/2006/relationships/hyperlink" Target="http://docker.co" TargetMode="External"/><Relationship Id="rId235" Type="http://schemas.openxmlformats.org/officeDocument/2006/relationships/hyperlink" Target="http://docker.com" TargetMode="External"/><Relationship Id="rId356" Type="http://schemas.openxmlformats.org/officeDocument/2006/relationships/hyperlink" Target="http://docker.co" TargetMode="External"/><Relationship Id="rId477" Type="http://schemas.openxmlformats.org/officeDocument/2006/relationships/hyperlink" Target="http://docker.co" TargetMode="External"/><Relationship Id="rId598" Type="http://schemas.openxmlformats.org/officeDocument/2006/relationships/hyperlink" Target="http://docker.com" TargetMode="External"/><Relationship Id="rId113" Type="http://schemas.openxmlformats.org/officeDocument/2006/relationships/hyperlink" Target="http://docker.co" TargetMode="External"/><Relationship Id="rId234" Type="http://schemas.openxmlformats.org/officeDocument/2006/relationships/hyperlink" Target="http://docker.com" TargetMode="External"/><Relationship Id="rId355" Type="http://schemas.openxmlformats.org/officeDocument/2006/relationships/hyperlink" Target="http://docker.co" TargetMode="External"/><Relationship Id="rId476" Type="http://schemas.openxmlformats.org/officeDocument/2006/relationships/hyperlink" Target="http://docker.com" TargetMode="External"/><Relationship Id="rId597" Type="http://schemas.openxmlformats.org/officeDocument/2006/relationships/hyperlink" Target="http://docker.com" TargetMode="External"/><Relationship Id="rId112" Type="http://schemas.openxmlformats.org/officeDocument/2006/relationships/hyperlink" Target="http://docker.co" TargetMode="External"/><Relationship Id="rId233" Type="http://schemas.openxmlformats.org/officeDocument/2006/relationships/hyperlink" Target="http://docker.co" TargetMode="External"/><Relationship Id="rId354" Type="http://schemas.openxmlformats.org/officeDocument/2006/relationships/hyperlink" Target="http://docker.co" TargetMode="External"/><Relationship Id="rId475" Type="http://schemas.openxmlformats.org/officeDocument/2006/relationships/hyperlink" Target="http://docker.co" TargetMode="External"/><Relationship Id="rId596" Type="http://schemas.openxmlformats.org/officeDocument/2006/relationships/hyperlink" Target="http://docker.com" TargetMode="External"/><Relationship Id="rId111" Type="http://schemas.openxmlformats.org/officeDocument/2006/relationships/hyperlink" Target="http://docker.co" TargetMode="External"/><Relationship Id="rId232" Type="http://schemas.openxmlformats.org/officeDocument/2006/relationships/hyperlink" Target="http://docker.com" TargetMode="External"/><Relationship Id="rId353" Type="http://schemas.openxmlformats.org/officeDocument/2006/relationships/hyperlink" Target="http://docker.co" TargetMode="External"/><Relationship Id="rId474" Type="http://schemas.openxmlformats.org/officeDocument/2006/relationships/hyperlink" Target="http://docker.co" TargetMode="External"/><Relationship Id="rId595" Type="http://schemas.openxmlformats.org/officeDocument/2006/relationships/hyperlink" Target="http://docker.com" TargetMode="External"/><Relationship Id="rId305" Type="http://schemas.openxmlformats.org/officeDocument/2006/relationships/hyperlink" Target="http://docker.co" TargetMode="External"/><Relationship Id="rId426" Type="http://schemas.openxmlformats.org/officeDocument/2006/relationships/hyperlink" Target="http://docker.com" TargetMode="External"/><Relationship Id="rId547" Type="http://schemas.openxmlformats.org/officeDocument/2006/relationships/hyperlink" Target="http://docker.com" TargetMode="External"/><Relationship Id="rId668" Type="http://schemas.openxmlformats.org/officeDocument/2006/relationships/hyperlink" Target="http://docker.com" TargetMode="External"/><Relationship Id="rId304" Type="http://schemas.openxmlformats.org/officeDocument/2006/relationships/hyperlink" Target="http://docker.co" TargetMode="External"/><Relationship Id="rId425" Type="http://schemas.openxmlformats.org/officeDocument/2006/relationships/hyperlink" Target="http://docker.com" TargetMode="External"/><Relationship Id="rId546" Type="http://schemas.openxmlformats.org/officeDocument/2006/relationships/hyperlink" Target="http://docker.com" TargetMode="External"/><Relationship Id="rId667" Type="http://schemas.openxmlformats.org/officeDocument/2006/relationships/hyperlink" Target="http://docker.com" TargetMode="External"/><Relationship Id="rId303" Type="http://schemas.openxmlformats.org/officeDocument/2006/relationships/hyperlink" Target="http://docker.co" TargetMode="External"/><Relationship Id="rId424" Type="http://schemas.openxmlformats.org/officeDocument/2006/relationships/hyperlink" Target="http://docker.com" TargetMode="External"/><Relationship Id="rId545" Type="http://schemas.openxmlformats.org/officeDocument/2006/relationships/hyperlink" Target="http://docker.com" TargetMode="External"/><Relationship Id="rId666" Type="http://schemas.openxmlformats.org/officeDocument/2006/relationships/hyperlink" Target="http://docker.com" TargetMode="External"/><Relationship Id="rId302" Type="http://schemas.openxmlformats.org/officeDocument/2006/relationships/hyperlink" Target="http://docker.com" TargetMode="External"/><Relationship Id="rId423" Type="http://schemas.openxmlformats.org/officeDocument/2006/relationships/hyperlink" Target="http://docker.com" TargetMode="External"/><Relationship Id="rId544" Type="http://schemas.openxmlformats.org/officeDocument/2006/relationships/hyperlink" Target="http://docker.com" TargetMode="External"/><Relationship Id="rId665" Type="http://schemas.openxmlformats.org/officeDocument/2006/relationships/hyperlink" Target="http://docker.com" TargetMode="External"/><Relationship Id="rId309" Type="http://schemas.openxmlformats.org/officeDocument/2006/relationships/hyperlink" Target="http://docker.co" TargetMode="External"/><Relationship Id="rId308" Type="http://schemas.openxmlformats.org/officeDocument/2006/relationships/hyperlink" Target="http://docker.co" TargetMode="External"/><Relationship Id="rId429" Type="http://schemas.openxmlformats.org/officeDocument/2006/relationships/hyperlink" Target="http://docker.com" TargetMode="External"/><Relationship Id="rId307" Type="http://schemas.openxmlformats.org/officeDocument/2006/relationships/hyperlink" Target="http://docker.co" TargetMode="External"/><Relationship Id="rId428" Type="http://schemas.openxmlformats.org/officeDocument/2006/relationships/hyperlink" Target="http://docker.com" TargetMode="External"/><Relationship Id="rId549" Type="http://schemas.openxmlformats.org/officeDocument/2006/relationships/hyperlink" Target="http://docker.com" TargetMode="External"/><Relationship Id="rId306" Type="http://schemas.openxmlformats.org/officeDocument/2006/relationships/hyperlink" Target="http://docker.co" TargetMode="External"/><Relationship Id="rId427" Type="http://schemas.openxmlformats.org/officeDocument/2006/relationships/hyperlink" Target="http://docker.com" TargetMode="External"/><Relationship Id="rId548" Type="http://schemas.openxmlformats.org/officeDocument/2006/relationships/hyperlink" Target="http://docker.com" TargetMode="External"/><Relationship Id="rId669" Type="http://schemas.openxmlformats.org/officeDocument/2006/relationships/hyperlink" Target="http://docker.com" TargetMode="External"/><Relationship Id="rId660" Type="http://schemas.openxmlformats.org/officeDocument/2006/relationships/hyperlink" Target="http://docker.co" TargetMode="External"/><Relationship Id="rId301" Type="http://schemas.openxmlformats.org/officeDocument/2006/relationships/hyperlink" Target="http://docker.co" TargetMode="External"/><Relationship Id="rId422" Type="http://schemas.openxmlformats.org/officeDocument/2006/relationships/hyperlink" Target="http://docker.com" TargetMode="External"/><Relationship Id="rId543" Type="http://schemas.openxmlformats.org/officeDocument/2006/relationships/hyperlink" Target="http://docker.com" TargetMode="External"/><Relationship Id="rId664" Type="http://schemas.openxmlformats.org/officeDocument/2006/relationships/hyperlink" Target="http://docker.com" TargetMode="External"/><Relationship Id="rId300" Type="http://schemas.openxmlformats.org/officeDocument/2006/relationships/hyperlink" Target="http://docker.co" TargetMode="External"/><Relationship Id="rId421" Type="http://schemas.openxmlformats.org/officeDocument/2006/relationships/hyperlink" Target="http://docker.com" TargetMode="External"/><Relationship Id="rId542" Type="http://schemas.openxmlformats.org/officeDocument/2006/relationships/hyperlink" Target="http://docker.com" TargetMode="External"/><Relationship Id="rId663" Type="http://schemas.openxmlformats.org/officeDocument/2006/relationships/hyperlink" Target="http://docker.com" TargetMode="External"/><Relationship Id="rId420" Type="http://schemas.openxmlformats.org/officeDocument/2006/relationships/hyperlink" Target="http://docker.co" TargetMode="External"/><Relationship Id="rId541" Type="http://schemas.openxmlformats.org/officeDocument/2006/relationships/hyperlink" Target="http://docker.com" TargetMode="External"/><Relationship Id="rId662" Type="http://schemas.openxmlformats.org/officeDocument/2006/relationships/hyperlink" Target="http://docker.com" TargetMode="External"/><Relationship Id="rId540" Type="http://schemas.openxmlformats.org/officeDocument/2006/relationships/hyperlink" Target="http://docker.com" TargetMode="External"/><Relationship Id="rId661" Type="http://schemas.openxmlformats.org/officeDocument/2006/relationships/hyperlink" Target="http://docker.co" TargetMode="External"/><Relationship Id="rId415" Type="http://schemas.openxmlformats.org/officeDocument/2006/relationships/hyperlink" Target="http://docker.co" TargetMode="External"/><Relationship Id="rId536" Type="http://schemas.openxmlformats.org/officeDocument/2006/relationships/hyperlink" Target="http://docker.co" TargetMode="External"/><Relationship Id="rId657" Type="http://schemas.openxmlformats.org/officeDocument/2006/relationships/hyperlink" Target="http://docker.com" TargetMode="External"/><Relationship Id="rId414" Type="http://schemas.openxmlformats.org/officeDocument/2006/relationships/hyperlink" Target="http://docker.com" TargetMode="External"/><Relationship Id="rId535" Type="http://schemas.openxmlformats.org/officeDocument/2006/relationships/hyperlink" Target="http://docker.co" TargetMode="External"/><Relationship Id="rId656" Type="http://schemas.openxmlformats.org/officeDocument/2006/relationships/hyperlink" Target="http://docker.com" TargetMode="External"/><Relationship Id="rId413" Type="http://schemas.openxmlformats.org/officeDocument/2006/relationships/hyperlink" Target="http://docker.co" TargetMode="External"/><Relationship Id="rId534" Type="http://schemas.openxmlformats.org/officeDocument/2006/relationships/hyperlink" Target="http://docker.co" TargetMode="External"/><Relationship Id="rId655" Type="http://schemas.openxmlformats.org/officeDocument/2006/relationships/hyperlink" Target="http://docker.com" TargetMode="External"/><Relationship Id="rId412" Type="http://schemas.openxmlformats.org/officeDocument/2006/relationships/hyperlink" Target="http://docker.co" TargetMode="External"/><Relationship Id="rId533" Type="http://schemas.openxmlformats.org/officeDocument/2006/relationships/hyperlink" Target="http://docker.co" TargetMode="External"/><Relationship Id="rId654" Type="http://schemas.openxmlformats.org/officeDocument/2006/relationships/hyperlink" Target="http://docker.com" TargetMode="External"/><Relationship Id="rId419" Type="http://schemas.openxmlformats.org/officeDocument/2006/relationships/hyperlink" Target="http://docker.co" TargetMode="External"/><Relationship Id="rId418" Type="http://schemas.openxmlformats.org/officeDocument/2006/relationships/hyperlink" Target="http://docker.co" TargetMode="External"/><Relationship Id="rId539" Type="http://schemas.openxmlformats.org/officeDocument/2006/relationships/hyperlink" Target="http://docker.com" TargetMode="External"/><Relationship Id="rId417" Type="http://schemas.openxmlformats.org/officeDocument/2006/relationships/hyperlink" Target="http://docker.com" TargetMode="External"/><Relationship Id="rId538" Type="http://schemas.openxmlformats.org/officeDocument/2006/relationships/hyperlink" Target="http://docker.co" TargetMode="External"/><Relationship Id="rId659" Type="http://schemas.openxmlformats.org/officeDocument/2006/relationships/hyperlink" Target="http://docker.co" TargetMode="External"/><Relationship Id="rId416" Type="http://schemas.openxmlformats.org/officeDocument/2006/relationships/hyperlink" Target="http://docker.co" TargetMode="External"/><Relationship Id="rId537" Type="http://schemas.openxmlformats.org/officeDocument/2006/relationships/hyperlink" Target="http://docker.co" TargetMode="External"/><Relationship Id="rId658" Type="http://schemas.openxmlformats.org/officeDocument/2006/relationships/hyperlink" Target="http://docker.co" TargetMode="External"/><Relationship Id="rId411" Type="http://schemas.openxmlformats.org/officeDocument/2006/relationships/hyperlink" Target="http://docker.co" TargetMode="External"/><Relationship Id="rId532" Type="http://schemas.openxmlformats.org/officeDocument/2006/relationships/hyperlink" Target="http://docker.co" TargetMode="External"/><Relationship Id="rId653" Type="http://schemas.openxmlformats.org/officeDocument/2006/relationships/hyperlink" Target="http://docker.com" TargetMode="External"/><Relationship Id="rId410" Type="http://schemas.openxmlformats.org/officeDocument/2006/relationships/hyperlink" Target="http://docker.co" TargetMode="External"/><Relationship Id="rId531" Type="http://schemas.openxmlformats.org/officeDocument/2006/relationships/hyperlink" Target="http://docker.co" TargetMode="External"/><Relationship Id="rId652" Type="http://schemas.openxmlformats.org/officeDocument/2006/relationships/hyperlink" Target="http://docker.com" TargetMode="External"/><Relationship Id="rId530" Type="http://schemas.openxmlformats.org/officeDocument/2006/relationships/hyperlink" Target="http://docker.co" TargetMode="External"/><Relationship Id="rId651" Type="http://schemas.openxmlformats.org/officeDocument/2006/relationships/hyperlink" Target="http://docker.com" TargetMode="External"/><Relationship Id="rId650" Type="http://schemas.openxmlformats.org/officeDocument/2006/relationships/hyperlink" Target="http://docker.com" TargetMode="External"/><Relationship Id="rId206" Type="http://schemas.openxmlformats.org/officeDocument/2006/relationships/hyperlink" Target="http://docker.com" TargetMode="External"/><Relationship Id="rId327" Type="http://schemas.openxmlformats.org/officeDocument/2006/relationships/hyperlink" Target="http://docker.com" TargetMode="External"/><Relationship Id="rId448" Type="http://schemas.openxmlformats.org/officeDocument/2006/relationships/hyperlink" Target="http://docker.com" TargetMode="External"/><Relationship Id="rId569" Type="http://schemas.openxmlformats.org/officeDocument/2006/relationships/hyperlink" Target="http://docker.co" TargetMode="External"/><Relationship Id="rId205" Type="http://schemas.openxmlformats.org/officeDocument/2006/relationships/hyperlink" Target="http://docker.com" TargetMode="External"/><Relationship Id="rId326" Type="http://schemas.openxmlformats.org/officeDocument/2006/relationships/hyperlink" Target="http://docker.com" TargetMode="External"/><Relationship Id="rId447" Type="http://schemas.openxmlformats.org/officeDocument/2006/relationships/hyperlink" Target="http://docker.com" TargetMode="External"/><Relationship Id="rId568" Type="http://schemas.openxmlformats.org/officeDocument/2006/relationships/hyperlink" Target="http://docker.co" TargetMode="External"/><Relationship Id="rId689" Type="http://schemas.openxmlformats.org/officeDocument/2006/relationships/hyperlink" Target="http://docker.co" TargetMode="External"/><Relationship Id="rId204" Type="http://schemas.openxmlformats.org/officeDocument/2006/relationships/hyperlink" Target="http://docker.com" TargetMode="External"/><Relationship Id="rId325" Type="http://schemas.openxmlformats.org/officeDocument/2006/relationships/hyperlink" Target="http://docker.com" TargetMode="External"/><Relationship Id="rId446" Type="http://schemas.openxmlformats.org/officeDocument/2006/relationships/hyperlink" Target="http://docker.com" TargetMode="External"/><Relationship Id="rId567" Type="http://schemas.openxmlformats.org/officeDocument/2006/relationships/hyperlink" Target="http://docker.co" TargetMode="External"/><Relationship Id="rId688" Type="http://schemas.openxmlformats.org/officeDocument/2006/relationships/hyperlink" Target="http://docker.com" TargetMode="External"/><Relationship Id="rId203" Type="http://schemas.openxmlformats.org/officeDocument/2006/relationships/hyperlink" Target="http://docker.com" TargetMode="External"/><Relationship Id="rId324" Type="http://schemas.openxmlformats.org/officeDocument/2006/relationships/hyperlink" Target="http://docker.com" TargetMode="External"/><Relationship Id="rId445" Type="http://schemas.openxmlformats.org/officeDocument/2006/relationships/hyperlink" Target="http://docker.com" TargetMode="External"/><Relationship Id="rId566" Type="http://schemas.openxmlformats.org/officeDocument/2006/relationships/hyperlink" Target="http://docker.co" TargetMode="External"/><Relationship Id="rId687" Type="http://schemas.openxmlformats.org/officeDocument/2006/relationships/hyperlink" Target="http://docker.co" TargetMode="External"/><Relationship Id="rId209" Type="http://schemas.openxmlformats.org/officeDocument/2006/relationships/hyperlink" Target="http://docker.com" TargetMode="External"/><Relationship Id="rId208" Type="http://schemas.openxmlformats.org/officeDocument/2006/relationships/hyperlink" Target="http://docker.com" TargetMode="External"/><Relationship Id="rId329" Type="http://schemas.openxmlformats.org/officeDocument/2006/relationships/hyperlink" Target="http://docker.com" TargetMode="External"/><Relationship Id="rId207" Type="http://schemas.openxmlformats.org/officeDocument/2006/relationships/hyperlink" Target="http://docker.com" TargetMode="External"/><Relationship Id="rId328" Type="http://schemas.openxmlformats.org/officeDocument/2006/relationships/hyperlink" Target="http://docker.com" TargetMode="External"/><Relationship Id="rId449" Type="http://schemas.openxmlformats.org/officeDocument/2006/relationships/hyperlink" Target="http://docker.com" TargetMode="External"/><Relationship Id="rId440" Type="http://schemas.openxmlformats.org/officeDocument/2006/relationships/hyperlink" Target="http://docker.com" TargetMode="External"/><Relationship Id="rId561" Type="http://schemas.openxmlformats.org/officeDocument/2006/relationships/hyperlink" Target="http://docker.co" TargetMode="External"/><Relationship Id="rId682" Type="http://schemas.openxmlformats.org/officeDocument/2006/relationships/hyperlink" Target="http://docker.co" TargetMode="External"/><Relationship Id="rId560" Type="http://schemas.openxmlformats.org/officeDocument/2006/relationships/hyperlink" Target="http://docker.co" TargetMode="External"/><Relationship Id="rId681" Type="http://schemas.openxmlformats.org/officeDocument/2006/relationships/hyperlink" Target="http://docker.co" TargetMode="External"/><Relationship Id="rId680" Type="http://schemas.openxmlformats.org/officeDocument/2006/relationships/hyperlink" Target="http://docker.co" TargetMode="External"/><Relationship Id="rId202" Type="http://schemas.openxmlformats.org/officeDocument/2006/relationships/hyperlink" Target="http://docker.com" TargetMode="External"/><Relationship Id="rId323" Type="http://schemas.openxmlformats.org/officeDocument/2006/relationships/hyperlink" Target="http://docker.com" TargetMode="External"/><Relationship Id="rId444" Type="http://schemas.openxmlformats.org/officeDocument/2006/relationships/hyperlink" Target="http://docker.com" TargetMode="External"/><Relationship Id="rId565" Type="http://schemas.openxmlformats.org/officeDocument/2006/relationships/hyperlink" Target="http://docker.com" TargetMode="External"/><Relationship Id="rId686" Type="http://schemas.openxmlformats.org/officeDocument/2006/relationships/hyperlink" Target="http://docker.co" TargetMode="External"/><Relationship Id="rId201" Type="http://schemas.openxmlformats.org/officeDocument/2006/relationships/hyperlink" Target="http://docker.com" TargetMode="External"/><Relationship Id="rId322" Type="http://schemas.openxmlformats.org/officeDocument/2006/relationships/hyperlink" Target="http://docker.com" TargetMode="External"/><Relationship Id="rId443" Type="http://schemas.openxmlformats.org/officeDocument/2006/relationships/hyperlink" Target="http://docker.com" TargetMode="External"/><Relationship Id="rId564" Type="http://schemas.openxmlformats.org/officeDocument/2006/relationships/hyperlink" Target="http://docker.com" TargetMode="External"/><Relationship Id="rId685" Type="http://schemas.openxmlformats.org/officeDocument/2006/relationships/hyperlink" Target="http://docker.com" TargetMode="External"/><Relationship Id="rId200" Type="http://schemas.openxmlformats.org/officeDocument/2006/relationships/hyperlink" Target="http://docker.com" TargetMode="External"/><Relationship Id="rId321" Type="http://schemas.openxmlformats.org/officeDocument/2006/relationships/hyperlink" Target="http://docker.com" TargetMode="External"/><Relationship Id="rId442" Type="http://schemas.openxmlformats.org/officeDocument/2006/relationships/hyperlink" Target="http://docker.com" TargetMode="External"/><Relationship Id="rId563" Type="http://schemas.openxmlformats.org/officeDocument/2006/relationships/hyperlink" Target="http://docker.co" TargetMode="External"/><Relationship Id="rId684" Type="http://schemas.openxmlformats.org/officeDocument/2006/relationships/hyperlink" Target="http://docker.co" TargetMode="External"/><Relationship Id="rId320" Type="http://schemas.openxmlformats.org/officeDocument/2006/relationships/hyperlink" Target="http://docker.com" TargetMode="External"/><Relationship Id="rId441" Type="http://schemas.openxmlformats.org/officeDocument/2006/relationships/hyperlink" Target="http://docker.com" TargetMode="External"/><Relationship Id="rId562" Type="http://schemas.openxmlformats.org/officeDocument/2006/relationships/hyperlink" Target="http://docker.com" TargetMode="External"/><Relationship Id="rId683" Type="http://schemas.openxmlformats.org/officeDocument/2006/relationships/hyperlink" Target="http://docker.com" TargetMode="External"/><Relationship Id="rId316" Type="http://schemas.openxmlformats.org/officeDocument/2006/relationships/hyperlink" Target="http://docker.com" TargetMode="External"/><Relationship Id="rId437" Type="http://schemas.openxmlformats.org/officeDocument/2006/relationships/hyperlink" Target="http://docker.com" TargetMode="External"/><Relationship Id="rId558" Type="http://schemas.openxmlformats.org/officeDocument/2006/relationships/hyperlink" Target="http://docker.co" TargetMode="External"/><Relationship Id="rId679" Type="http://schemas.openxmlformats.org/officeDocument/2006/relationships/hyperlink" Target="http://docker.co" TargetMode="External"/><Relationship Id="rId315" Type="http://schemas.openxmlformats.org/officeDocument/2006/relationships/hyperlink" Target="http://docker.com" TargetMode="External"/><Relationship Id="rId436" Type="http://schemas.openxmlformats.org/officeDocument/2006/relationships/hyperlink" Target="http://docker.com" TargetMode="External"/><Relationship Id="rId557" Type="http://schemas.openxmlformats.org/officeDocument/2006/relationships/hyperlink" Target="http://docker.com" TargetMode="External"/><Relationship Id="rId678" Type="http://schemas.openxmlformats.org/officeDocument/2006/relationships/hyperlink" Target="http://docker.co" TargetMode="External"/><Relationship Id="rId314" Type="http://schemas.openxmlformats.org/officeDocument/2006/relationships/hyperlink" Target="http://docker.com" TargetMode="External"/><Relationship Id="rId435" Type="http://schemas.openxmlformats.org/officeDocument/2006/relationships/hyperlink" Target="http://docker.com" TargetMode="External"/><Relationship Id="rId556" Type="http://schemas.openxmlformats.org/officeDocument/2006/relationships/hyperlink" Target="http://docker.co" TargetMode="External"/><Relationship Id="rId677" Type="http://schemas.openxmlformats.org/officeDocument/2006/relationships/hyperlink" Target="http://docker.com" TargetMode="External"/><Relationship Id="rId313" Type="http://schemas.openxmlformats.org/officeDocument/2006/relationships/hyperlink" Target="http://docker.co" TargetMode="External"/><Relationship Id="rId434" Type="http://schemas.openxmlformats.org/officeDocument/2006/relationships/hyperlink" Target="http://docker.com" TargetMode="External"/><Relationship Id="rId555" Type="http://schemas.openxmlformats.org/officeDocument/2006/relationships/hyperlink" Target="http://docker.co" TargetMode="External"/><Relationship Id="rId676" Type="http://schemas.openxmlformats.org/officeDocument/2006/relationships/hyperlink" Target="http://docker.com" TargetMode="External"/><Relationship Id="rId319" Type="http://schemas.openxmlformats.org/officeDocument/2006/relationships/hyperlink" Target="http://docker.com" TargetMode="External"/><Relationship Id="rId318" Type="http://schemas.openxmlformats.org/officeDocument/2006/relationships/hyperlink" Target="http://docker.com" TargetMode="External"/><Relationship Id="rId439" Type="http://schemas.openxmlformats.org/officeDocument/2006/relationships/hyperlink" Target="http://docker.com" TargetMode="External"/><Relationship Id="rId317" Type="http://schemas.openxmlformats.org/officeDocument/2006/relationships/hyperlink" Target="http://docker.com" TargetMode="External"/><Relationship Id="rId438" Type="http://schemas.openxmlformats.org/officeDocument/2006/relationships/hyperlink" Target="http://docker.com" TargetMode="External"/><Relationship Id="rId559" Type="http://schemas.openxmlformats.org/officeDocument/2006/relationships/hyperlink" Target="http://docker.co" TargetMode="External"/><Relationship Id="rId550" Type="http://schemas.openxmlformats.org/officeDocument/2006/relationships/hyperlink" Target="http://docker.com" TargetMode="External"/><Relationship Id="rId671" Type="http://schemas.openxmlformats.org/officeDocument/2006/relationships/hyperlink" Target="http://docker.com" TargetMode="External"/><Relationship Id="rId670" Type="http://schemas.openxmlformats.org/officeDocument/2006/relationships/hyperlink" Target="http://docker.com" TargetMode="External"/><Relationship Id="rId312" Type="http://schemas.openxmlformats.org/officeDocument/2006/relationships/hyperlink" Target="http://docker.co" TargetMode="External"/><Relationship Id="rId433" Type="http://schemas.openxmlformats.org/officeDocument/2006/relationships/hyperlink" Target="http://docker.com" TargetMode="External"/><Relationship Id="rId554" Type="http://schemas.openxmlformats.org/officeDocument/2006/relationships/hyperlink" Target="http://docker.co" TargetMode="External"/><Relationship Id="rId675" Type="http://schemas.openxmlformats.org/officeDocument/2006/relationships/hyperlink" Target="http://docker.com" TargetMode="External"/><Relationship Id="rId311" Type="http://schemas.openxmlformats.org/officeDocument/2006/relationships/hyperlink" Target="http://docker.co" TargetMode="External"/><Relationship Id="rId432" Type="http://schemas.openxmlformats.org/officeDocument/2006/relationships/hyperlink" Target="http://docker.com" TargetMode="External"/><Relationship Id="rId553" Type="http://schemas.openxmlformats.org/officeDocument/2006/relationships/hyperlink" Target="http://docker.co" TargetMode="External"/><Relationship Id="rId674" Type="http://schemas.openxmlformats.org/officeDocument/2006/relationships/hyperlink" Target="http://docker.com" TargetMode="External"/><Relationship Id="rId310" Type="http://schemas.openxmlformats.org/officeDocument/2006/relationships/hyperlink" Target="http://docker.co" TargetMode="External"/><Relationship Id="rId431" Type="http://schemas.openxmlformats.org/officeDocument/2006/relationships/hyperlink" Target="http://docker.com" TargetMode="External"/><Relationship Id="rId552" Type="http://schemas.openxmlformats.org/officeDocument/2006/relationships/hyperlink" Target="http://docker.com" TargetMode="External"/><Relationship Id="rId673" Type="http://schemas.openxmlformats.org/officeDocument/2006/relationships/hyperlink" Target="http://docker.com" TargetMode="External"/><Relationship Id="rId430" Type="http://schemas.openxmlformats.org/officeDocument/2006/relationships/hyperlink" Target="http://docker.com" TargetMode="External"/><Relationship Id="rId551" Type="http://schemas.openxmlformats.org/officeDocument/2006/relationships/hyperlink" Target="http://docker.com" TargetMode="External"/><Relationship Id="rId672" Type="http://schemas.openxmlformats.org/officeDocument/2006/relationships/hyperlink" Target="http://docker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2.0"/>
    <col customWidth="1" min="3" max="10" width="20.0"/>
    <col customWidth="1" min="11" max="26" width="8.63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2" t="s">
        <v>10</v>
      </c>
      <c r="B2" s="2" t="s">
        <v>11</v>
      </c>
      <c r="C2" s="3">
        <v>45426.0</v>
      </c>
      <c r="D2" s="3">
        <v>45888.0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/>
    </row>
    <row r="3" ht="14.25" customHeight="1">
      <c r="A3" s="2" t="s">
        <v>17</v>
      </c>
      <c r="B3" s="2" t="s">
        <v>18</v>
      </c>
      <c r="C3" s="3">
        <v>45272.0</v>
      </c>
      <c r="D3" s="3">
        <v>45870.0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/>
    </row>
    <row r="4" ht="14.25" customHeight="1">
      <c r="A4" s="2" t="s">
        <v>24</v>
      </c>
      <c r="B4" s="2" t="s">
        <v>25</v>
      </c>
      <c r="C4" s="3">
        <v>43529.0</v>
      </c>
      <c r="D4" s="3">
        <v>45870.0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/>
    </row>
    <row r="5" ht="14.25" customHeight="1">
      <c r="A5" s="2" t="s">
        <v>31</v>
      </c>
      <c r="B5" s="2" t="s">
        <v>32</v>
      </c>
      <c r="C5" s="3">
        <v>45790.0</v>
      </c>
      <c r="D5" s="3">
        <v>45839.0</v>
      </c>
      <c r="E5" s="2" t="s">
        <v>33</v>
      </c>
      <c r="F5" s="2" t="s">
        <v>34</v>
      </c>
      <c r="G5" s="2" t="s">
        <v>35</v>
      </c>
      <c r="H5" s="2" t="s">
        <v>36</v>
      </c>
      <c r="I5" s="2"/>
      <c r="J5" s="2"/>
    </row>
    <row r="6" ht="14.25" customHeight="1">
      <c r="A6" s="2" t="s">
        <v>37</v>
      </c>
      <c r="B6" s="2" t="s">
        <v>38</v>
      </c>
      <c r="C6" s="3">
        <v>45496.0</v>
      </c>
      <c r="D6" s="3">
        <v>45496.0</v>
      </c>
      <c r="E6" s="2" t="s">
        <v>33</v>
      </c>
      <c r="F6" s="2" t="s">
        <v>39</v>
      </c>
      <c r="G6" s="2" t="s">
        <v>40</v>
      </c>
      <c r="H6" s="2" t="s">
        <v>41</v>
      </c>
      <c r="I6" s="2"/>
      <c r="J6" s="2"/>
    </row>
    <row r="7" ht="14.25" customHeight="1">
      <c r="A7" s="2" t="s">
        <v>42</v>
      </c>
      <c r="B7" s="2" t="s">
        <v>43</v>
      </c>
      <c r="C7" s="3">
        <v>45265.0</v>
      </c>
      <c r="D7" s="3">
        <v>45870.0</v>
      </c>
      <c r="E7" s="2" t="s">
        <v>44</v>
      </c>
      <c r="F7" s="2" t="s">
        <v>45</v>
      </c>
      <c r="G7" s="2" t="s">
        <v>46</v>
      </c>
      <c r="H7" s="2" t="s">
        <v>47</v>
      </c>
      <c r="I7" s="2"/>
      <c r="J7" s="2"/>
    </row>
    <row r="8" ht="14.25" customHeight="1">
      <c r="A8" s="2" t="s">
        <v>48</v>
      </c>
      <c r="B8" s="2" t="s">
        <v>49</v>
      </c>
      <c r="C8" s="3">
        <v>44649.0</v>
      </c>
      <c r="D8" s="3">
        <v>45870.0</v>
      </c>
      <c r="E8" s="2" t="s">
        <v>26</v>
      </c>
      <c r="F8" s="2" t="s">
        <v>50</v>
      </c>
      <c r="G8" s="2" t="s">
        <v>51</v>
      </c>
      <c r="H8" s="2" t="s">
        <v>52</v>
      </c>
      <c r="I8" s="2" t="s">
        <v>53</v>
      </c>
      <c r="J8" s="2"/>
    </row>
    <row r="9" ht="14.25" customHeight="1">
      <c r="A9" s="2" t="s">
        <v>54</v>
      </c>
      <c r="B9" s="2" t="s">
        <v>55</v>
      </c>
      <c r="C9" s="3">
        <v>45244.0</v>
      </c>
      <c r="D9" s="3">
        <v>45870.0</v>
      </c>
      <c r="E9" s="2" t="s">
        <v>19</v>
      </c>
      <c r="F9" s="2" t="s">
        <v>56</v>
      </c>
      <c r="G9" s="2" t="s">
        <v>57</v>
      </c>
      <c r="H9" s="2" t="s">
        <v>58</v>
      </c>
      <c r="I9" s="2"/>
      <c r="J9" s="2"/>
    </row>
    <row r="10" ht="14.25" customHeight="1">
      <c r="A10" s="2" t="s">
        <v>59</v>
      </c>
      <c r="B10" s="2" t="s">
        <v>60</v>
      </c>
      <c r="C10" s="3">
        <v>44768.0</v>
      </c>
      <c r="D10" s="3">
        <v>45870.0</v>
      </c>
      <c r="E10" s="2" t="s">
        <v>26</v>
      </c>
      <c r="F10" s="2" t="s">
        <v>61</v>
      </c>
      <c r="G10" s="2" t="s">
        <v>62</v>
      </c>
      <c r="H10" s="2" t="s">
        <v>63</v>
      </c>
      <c r="I10" s="2" t="s">
        <v>64</v>
      </c>
      <c r="J10" s="2"/>
    </row>
    <row r="11" ht="14.25" customHeight="1">
      <c r="A11" s="2" t="s">
        <v>65</v>
      </c>
      <c r="B11" s="2" t="s">
        <v>66</v>
      </c>
      <c r="C11" s="3">
        <v>45482.0</v>
      </c>
      <c r="D11" s="3">
        <v>45482.0</v>
      </c>
      <c r="E11" s="2" t="s">
        <v>19</v>
      </c>
      <c r="F11" s="2" t="s">
        <v>67</v>
      </c>
      <c r="G11" s="2" t="s">
        <v>68</v>
      </c>
      <c r="H11" s="2" t="s">
        <v>69</v>
      </c>
      <c r="I11" s="2" t="s">
        <v>70</v>
      </c>
      <c r="J11" s="2"/>
    </row>
    <row r="12" ht="14.25" customHeight="1">
      <c r="A12" s="2" t="s">
        <v>71</v>
      </c>
      <c r="B12" s="2" t="s">
        <v>72</v>
      </c>
      <c r="C12" s="3">
        <v>45280.0</v>
      </c>
      <c r="D12" s="3">
        <v>45870.0</v>
      </c>
      <c r="E12" s="2" t="s">
        <v>12</v>
      </c>
      <c r="F12" s="2" t="s">
        <v>73</v>
      </c>
      <c r="G12" s="2" t="s">
        <v>74</v>
      </c>
      <c r="H12" s="2" t="s">
        <v>75</v>
      </c>
      <c r="I12" s="2"/>
      <c r="J12" s="2"/>
    </row>
    <row r="13" ht="14.25" customHeight="1">
      <c r="A13" s="2" t="s">
        <v>76</v>
      </c>
      <c r="B13" s="2" t="s">
        <v>77</v>
      </c>
      <c r="C13" s="3">
        <v>45083.0</v>
      </c>
      <c r="D13" s="3">
        <v>45870.0</v>
      </c>
      <c r="E13" s="2" t="s">
        <v>19</v>
      </c>
      <c r="F13" s="2" t="s">
        <v>78</v>
      </c>
      <c r="G13" s="2" t="s">
        <v>79</v>
      </c>
      <c r="H13" s="2" t="s">
        <v>80</v>
      </c>
      <c r="I13" s="2" t="s">
        <v>81</v>
      </c>
      <c r="J13" s="2"/>
    </row>
    <row r="14" ht="14.25" customHeight="1">
      <c r="A14" s="2" t="s">
        <v>82</v>
      </c>
      <c r="B14" s="2" t="s">
        <v>83</v>
      </c>
      <c r="C14" s="3">
        <v>45908.0</v>
      </c>
      <c r="D14" s="3">
        <v>45908.0</v>
      </c>
      <c r="E14" s="2" t="s">
        <v>19</v>
      </c>
      <c r="F14" s="2" t="s">
        <v>84</v>
      </c>
      <c r="G14" s="2" t="s">
        <v>85</v>
      </c>
      <c r="H14" s="2" t="s">
        <v>86</v>
      </c>
      <c r="I14" s="2"/>
      <c r="J14" s="2"/>
    </row>
    <row r="15" ht="14.25" customHeight="1">
      <c r="A15" s="2" t="s">
        <v>87</v>
      </c>
      <c r="B15" s="2" t="s">
        <v>88</v>
      </c>
      <c r="C15" s="3">
        <v>45412.0</v>
      </c>
      <c r="D15" s="3">
        <v>45870.0</v>
      </c>
      <c r="E15" s="2" t="s">
        <v>19</v>
      </c>
      <c r="F15" s="2" t="s">
        <v>20</v>
      </c>
      <c r="G15" s="2" t="s">
        <v>89</v>
      </c>
      <c r="H15" s="2" t="s">
        <v>22</v>
      </c>
      <c r="I15" s="2" t="s">
        <v>90</v>
      </c>
      <c r="J15" s="2"/>
    </row>
    <row r="16" ht="14.25" customHeight="1">
      <c r="A16" s="2" t="s">
        <v>91</v>
      </c>
      <c r="B16" s="2" t="s">
        <v>92</v>
      </c>
      <c r="C16" s="3">
        <v>44607.0</v>
      </c>
      <c r="D16" s="3">
        <v>45231.0</v>
      </c>
      <c r="E16" s="2" t="s">
        <v>33</v>
      </c>
      <c r="F16" s="2" t="s">
        <v>34</v>
      </c>
      <c r="G16" s="2" t="s">
        <v>93</v>
      </c>
      <c r="H16" s="2" t="s">
        <v>94</v>
      </c>
      <c r="I16" s="2"/>
      <c r="J16" s="2"/>
    </row>
    <row r="17" ht="14.25" customHeight="1">
      <c r="A17" s="2" t="s">
        <v>95</v>
      </c>
      <c r="B17" s="2" t="s">
        <v>96</v>
      </c>
      <c r="C17" s="3">
        <v>44950.0</v>
      </c>
      <c r="D17" s="3">
        <v>45870.0</v>
      </c>
      <c r="E17" s="2" t="s">
        <v>12</v>
      </c>
      <c r="F17" s="2" t="s">
        <v>97</v>
      </c>
      <c r="G17" s="2" t="s">
        <v>98</v>
      </c>
      <c r="H17" s="2" t="s">
        <v>99</v>
      </c>
      <c r="I17" s="2" t="s">
        <v>100</v>
      </c>
      <c r="J17" s="2"/>
    </row>
    <row r="18" ht="14.25" customHeight="1">
      <c r="A18" s="2" t="s">
        <v>101</v>
      </c>
      <c r="B18" s="2" t="s">
        <v>102</v>
      </c>
      <c r="C18" s="3">
        <v>45223.0</v>
      </c>
      <c r="D18" s="3">
        <v>45870.0</v>
      </c>
      <c r="E18" s="2" t="s">
        <v>12</v>
      </c>
      <c r="F18" s="2" t="s">
        <v>97</v>
      </c>
      <c r="G18" s="2" t="s">
        <v>103</v>
      </c>
      <c r="H18" s="2" t="s">
        <v>99</v>
      </c>
      <c r="I18" s="2" t="s">
        <v>104</v>
      </c>
      <c r="J18" s="2"/>
    </row>
    <row r="19" ht="14.25" customHeight="1">
      <c r="A19" s="2" t="s">
        <v>105</v>
      </c>
      <c r="B19" s="2" t="s">
        <v>106</v>
      </c>
      <c r="C19" s="3">
        <v>44368.0</v>
      </c>
      <c r="D19" s="3">
        <v>45870.0</v>
      </c>
      <c r="E19" s="2" t="s">
        <v>26</v>
      </c>
      <c r="F19" s="2" t="s">
        <v>61</v>
      </c>
      <c r="G19" s="2" t="s">
        <v>51</v>
      </c>
      <c r="H19" s="2" t="s">
        <v>107</v>
      </c>
      <c r="I19" s="2" t="s">
        <v>108</v>
      </c>
      <c r="J19" s="2"/>
    </row>
    <row r="20" ht="14.25" customHeight="1">
      <c r="A20" s="2" t="s">
        <v>109</v>
      </c>
      <c r="B20" s="2" t="s">
        <v>110</v>
      </c>
      <c r="C20" s="3">
        <v>44615.0</v>
      </c>
      <c r="D20" s="3">
        <v>45870.0</v>
      </c>
      <c r="E20" s="2" t="s">
        <v>111</v>
      </c>
      <c r="F20" s="2" t="s">
        <v>112</v>
      </c>
      <c r="G20" s="2" t="s">
        <v>113</v>
      </c>
      <c r="H20" s="2" t="s">
        <v>114</v>
      </c>
      <c r="I20" s="2" t="s">
        <v>115</v>
      </c>
      <c r="J20" s="2"/>
    </row>
    <row r="21" ht="14.25" customHeight="1">
      <c r="A21" s="2" t="s">
        <v>116</v>
      </c>
      <c r="B21" s="2" t="s">
        <v>117</v>
      </c>
      <c r="C21" s="3">
        <v>45098.0</v>
      </c>
      <c r="D21" s="3">
        <v>45870.0</v>
      </c>
      <c r="E21" s="2" t="s">
        <v>111</v>
      </c>
      <c r="F21" s="2" t="s">
        <v>112</v>
      </c>
      <c r="G21" s="2" t="s">
        <v>118</v>
      </c>
      <c r="H21" s="2" t="s">
        <v>119</v>
      </c>
      <c r="I21" s="2" t="s">
        <v>120</v>
      </c>
      <c r="J21" s="2"/>
    </row>
    <row r="22" ht="14.25" customHeight="1">
      <c r="A22" s="2" t="s">
        <v>121</v>
      </c>
      <c r="B22" s="2" t="s">
        <v>122</v>
      </c>
      <c r="C22" s="3">
        <v>45006.0</v>
      </c>
      <c r="D22" s="3">
        <v>45870.0</v>
      </c>
      <c r="E22" s="2" t="s">
        <v>44</v>
      </c>
      <c r="F22" s="2" t="s">
        <v>123</v>
      </c>
      <c r="G22" s="2" t="s">
        <v>124</v>
      </c>
      <c r="H22" s="2" t="s">
        <v>125</v>
      </c>
      <c r="I22" s="2"/>
      <c r="J22" s="2"/>
    </row>
    <row r="23" ht="14.25" customHeight="1">
      <c r="A23" s="2" t="s">
        <v>126</v>
      </c>
      <c r="B23" s="2" t="s">
        <v>127</v>
      </c>
      <c r="C23" s="3">
        <v>45916.0</v>
      </c>
      <c r="D23" s="3">
        <v>45916.0</v>
      </c>
      <c r="E23" s="2" t="s">
        <v>26</v>
      </c>
      <c r="F23" s="2" t="s">
        <v>50</v>
      </c>
      <c r="G23" s="2" t="s">
        <v>128</v>
      </c>
      <c r="H23" s="2" t="s">
        <v>129</v>
      </c>
      <c r="I23" s="2"/>
      <c r="J23" s="2"/>
    </row>
    <row r="24" ht="14.25" customHeight="1">
      <c r="A24" s="2" t="s">
        <v>130</v>
      </c>
      <c r="B24" s="2" t="s">
        <v>131</v>
      </c>
      <c r="C24" s="3">
        <v>44775.0</v>
      </c>
      <c r="D24" s="3">
        <v>45870.0</v>
      </c>
      <c r="E24" s="2" t="s">
        <v>12</v>
      </c>
      <c r="F24" s="2" t="s">
        <v>97</v>
      </c>
      <c r="G24" s="2" t="s">
        <v>132</v>
      </c>
      <c r="H24" s="2" t="s">
        <v>133</v>
      </c>
      <c r="I24" s="2"/>
      <c r="J24" s="2"/>
    </row>
    <row r="25" ht="14.25" customHeight="1">
      <c r="A25" s="2" t="s">
        <v>134</v>
      </c>
      <c r="B25" s="2" t="s">
        <v>135</v>
      </c>
      <c r="C25" s="3">
        <v>44979.0</v>
      </c>
      <c r="D25" s="3">
        <v>45870.0</v>
      </c>
      <c r="E25" s="2" t="s">
        <v>111</v>
      </c>
      <c r="F25" s="2" t="s">
        <v>112</v>
      </c>
      <c r="G25" s="2" t="s">
        <v>136</v>
      </c>
      <c r="H25" s="2" t="s">
        <v>137</v>
      </c>
      <c r="I25" s="2" t="s">
        <v>120</v>
      </c>
      <c r="J25" s="2"/>
    </row>
    <row r="26" ht="14.25" customHeight="1">
      <c r="A26" s="2" t="s">
        <v>138</v>
      </c>
      <c r="B26" s="2" t="s">
        <v>139</v>
      </c>
      <c r="C26" s="3">
        <v>45195.0</v>
      </c>
      <c r="D26" s="3">
        <v>45870.0</v>
      </c>
      <c r="E26" s="2" t="s">
        <v>26</v>
      </c>
      <c r="F26" s="2" t="s">
        <v>50</v>
      </c>
      <c r="G26" s="2" t="s">
        <v>28</v>
      </c>
      <c r="H26" s="2" t="s">
        <v>52</v>
      </c>
      <c r="I26" s="2" t="s">
        <v>140</v>
      </c>
      <c r="J26" s="2"/>
    </row>
    <row r="27" ht="14.25" customHeight="1">
      <c r="A27" s="2" t="s">
        <v>141</v>
      </c>
      <c r="B27" s="2" t="s">
        <v>142</v>
      </c>
      <c r="C27" s="3">
        <v>45132.0</v>
      </c>
      <c r="D27" s="3">
        <v>45870.0</v>
      </c>
      <c r="E27" s="2" t="s">
        <v>19</v>
      </c>
      <c r="F27" s="2" t="s">
        <v>20</v>
      </c>
      <c r="G27" s="2" t="s">
        <v>143</v>
      </c>
      <c r="H27" s="2" t="s">
        <v>144</v>
      </c>
      <c r="I27" s="2" t="s">
        <v>23</v>
      </c>
      <c r="J27" s="2"/>
    </row>
    <row r="28" ht="14.25" customHeight="1">
      <c r="A28" s="2" t="s">
        <v>145</v>
      </c>
      <c r="B28" s="2" t="s">
        <v>146</v>
      </c>
      <c r="C28" s="3">
        <v>44102.0</v>
      </c>
      <c r="D28" s="3">
        <v>45888.0</v>
      </c>
      <c r="E28" s="2" t="s">
        <v>26</v>
      </c>
      <c r="F28" s="2" t="s">
        <v>147</v>
      </c>
      <c r="G28" s="2" t="s">
        <v>148</v>
      </c>
      <c r="H28" s="2" t="s">
        <v>15</v>
      </c>
      <c r="I28" s="2" t="s">
        <v>16</v>
      </c>
      <c r="J28" s="2"/>
    </row>
    <row r="29" ht="14.25" customHeight="1">
      <c r="A29" s="2" t="s">
        <v>149</v>
      </c>
      <c r="B29" s="2" t="s">
        <v>150</v>
      </c>
      <c r="C29" s="3">
        <v>45441.0</v>
      </c>
      <c r="D29" s="3">
        <v>45870.0</v>
      </c>
      <c r="E29" s="2" t="s">
        <v>44</v>
      </c>
      <c r="F29" s="2" t="s">
        <v>123</v>
      </c>
      <c r="G29" s="2" t="s">
        <v>151</v>
      </c>
      <c r="H29" s="2" t="s">
        <v>125</v>
      </c>
      <c r="I29" s="2"/>
      <c r="J29" s="2"/>
    </row>
    <row r="30" ht="14.25" customHeight="1">
      <c r="A30" s="2" t="s">
        <v>152</v>
      </c>
      <c r="B30" s="2" t="s">
        <v>153</v>
      </c>
      <c r="C30" s="3">
        <v>45426.0</v>
      </c>
      <c r="D30" s="3">
        <v>45870.0</v>
      </c>
      <c r="E30" s="2" t="s">
        <v>19</v>
      </c>
      <c r="F30" s="2" t="s">
        <v>20</v>
      </c>
      <c r="G30" s="2" t="s">
        <v>21</v>
      </c>
      <c r="H30" s="2" t="s">
        <v>22</v>
      </c>
      <c r="I30" s="2" t="s">
        <v>23</v>
      </c>
      <c r="J30" s="2"/>
    </row>
    <row r="31" ht="14.25" customHeight="1">
      <c r="A31" s="2" t="s">
        <v>154</v>
      </c>
      <c r="B31" s="2" t="s">
        <v>155</v>
      </c>
      <c r="C31" s="3">
        <v>44796.0</v>
      </c>
      <c r="D31" s="3">
        <v>45870.0</v>
      </c>
      <c r="E31" s="2" t="s">
        <v>19</v>
      </c>
      <c r="F31" s="2" t="s">
        <v>78</v>
      </c>
      <c r="G31" s="2" t="s">
        <v>156</v>
      </c>
      <c r="H31" s="2" t="s">
        <v>80</v>
      </c>
      <c r="I31" s="2" t="s">
        <v>81</v>
      </c>
      <c r="J31" s="2"/>
    </row>
    <row r="32" ht="14.25" customHeight="1">
      <c r="A32" s="2" t="s">
        <v>157</v>
      </c>
      <c r="B32" s="2" t="s">
        <v>158</v>
      </c>
      <c r="C32" s="3">
        <v>44144.0</v>
      </c>
      <c r="D32" s="3">
        <v>45870.0</v>
      </c>
      <c r="E32" s="2" t="s">
        <v>111</v>
      </c>
      <c r="F32" s="2" t="s">
        <v>112</v>
      </c>
      <c r="G32" s="2" t="s">
        <v>159</v>
      </c>
      <c r="H32" s="2" t="s">
        <v>160</v>
      </c>
      <c r="I32" s="2" t="s">
        <v>161</v>
      </c>
      <c r="J32" s="2"/>
    </row>
    <row r="33" ht="14.25" customHeight="1">
      <c r="A33" s="2" t="s">
        <v>162</v>
      </c>
      <c r="B33" s="2" t="s">
        <v>163</v>
      </c>
      <c r="C33" s="3">
        <v>44439.0</v>
      </c>
      <c r="D33" s="3">
        <v>45894.0</v>
      </c>
      <c r="E33" s="2" t="s">
        <v>44</v>
      </c>
      <c r="F33" s="2" t="s">
        <v>164</v>
      </c>
      <c r="G33" s="2" t="s">
        <v>165</v>
      </c>
      <c r="H33" s="2" t="s">
        <v>166</v>
      </c>
      <c r="I33" s="2"/>
      <c r="J33" s="2"/>
    </row>
    <row r="34" ht="14.25" customHeight="1">
      <c r="A34" s="2" t="s">
        <v>167</v>
      </c>
      <c r="B34" s="2" t="s">
        <v>168</v>
      </c>
      <c r="C34" s="3">
        <v>45028.0</v>
      </c>
      <c r="D34" s="3">
        <v>45870.0</v>
      </c>
      <c r="E34" s="2" t="s">
        <v>19</v>
      </c>
      <c r="F34" s="2" t="s">
        <v>20</v>
      </c>
      <c r="G34" s="2" t="s">
        <v>169</v>
      </c>
      <c r="H34" s="2" t="s">
        <v>170</v>
      </c>
      <c r="I34" s="2" t="s">
        <v>171</v>
      </c>
      <c r="J34" s="2"/>
    </row>
    <row r="35" ht="14.25" customHeight="1">
      <c r="A35" s="2" t="s">
        <v>172</v>
      </c>
      <c r="B35" s="2" t="s">
        <v>173</v>
      </c>
      <c r="C35" s="3">
        <v>45741.0</v>
      </c>
      <c r="D35" s="3">
        <v>45870.0</v>
      </c>
      <c r="E35" s="2" t="s">
        <v>19</v>
      </c>
      <c r="F35" s="2" t="s">
        <v>20</v>
      </c>
      <c r="G35" s="2" t="s">
        <v>21</v>
      </c>
      <c r="H35" s="2" t="s">
        <v>22</v>
      </c>
      <c r="I35" s="2" t="s">
        <v>90</v>
      </c>
      <c r="J35" s="2"/>
    </row>
    <row r="36" ht="14.25" customHeight="1">
      <c r="A36" s="2" t="s">
        <v>174</v>
      </c>
      <c r="B36" s="2" t="s">
        <v>175</v>
      </c>
      <c r="C36" s="3">
        <v>45230.0</v>
      </c>
      <c r="D36" s="3">
        <v>45870.0</v>
      </c>
      <c r="E36" s="2" t="s">
        <v>19</v>
      </c>
      <c r="F36" s="2" t="s">
        <v>176</v>
      </c>
      <c r="G36" s="2" t="s">
        <v>177</v>
      </c>
      <c r="H36" s="2" t="s">
        <v>178</v>
      </c>
      <c r="I36" s="2"/>
      <c r="J36" s="2"/>
    </row>
    <row r="37" ht="14.25" customHeight="1">
      <c r="A37" s="2" t="s">
        <v>179</v>
      </c>
      <c r="B37" s="2" t="s">
        <v>180</v>
      </c>
      <c r="C37" s="3">
        <v>44502.0</v>
      </c>
      <c r="D37" s="3">
        <v>45870.0</v>
      </c>
      <c r="E37" s="2" t="s">
        <v>19</v>
      </c>
      <c r="F37" s="2" t="s">
        <v>181</v>
      </c>
      <c r="G37" s="2" t="s">
        <v>182</v>
      </c>
      <c r="H37" s="2" t="s">
        <v>183</v>
      </c>
      <c r="I37" s="2" t="s">
        <v>184</v>
      </c>
      <c r="J37" s="2"/>
    </row>
    <row r="38" ht="14.25" customHeight="1">
      <c r="A38" s="2" t="s">
        <v>185</v>
      </c>
      <c r="B38" s="2" t="s">
        <v>186</v>
      </c>
      <c r="C38" s="3">
        <v>43916.0</v>
      </c>
      <c r="D38" s="3">
        <v>45701.0</v>
      </c>
      <c r="E38" s="2" t="s">
        <v>33</v>
      </c>
      <c r="F38" s="2" t="s">
        <v>39</v>
      </c>
      <c r="G38" s="2" t="s">
        <v>187</v>
      </c>
      <c r="H38" s="2" t="s">
        <v>188</v>
      </c>
      <c r="I38" s="2"/>
      <c r="J38" s="2"/>
    </row>
    <row r="39" ht="14.25" customHeight="1">
      <c r="A39" s="2" t="s">
        <v>189</v>
      </c>
      <c r="B39" s="2" t="s">
        <v>190</v>
      </c>
      <c r="C39" s="3">
        <v>43291.0</v>
      </c>
      <c r="D39" s="3">
        <v>45047.0</v>
      </c>
      <c r="E39" s="2" t="s">
        <v>33</v>
      </c>
      <c r="F39" s="2" t="s">
        <v>39</v>
      </c>
      <c r="G39" s="2" t="s">
        <v>191</v>
      </c>
      <c r="H39" s="2" t="s">
        <v>192</v>
      </c>
      <c r="I39" s="2"/>
      <c r="J39" s="2"/>
    </row>
    <row r="40" ht="14.25" customHeight="1">
      <c r="A40" s="2" t="s">
        <v>193</v>
      </c>
      <c r="B40" s="2" t="s">
        <v>194</v>
      </c>
      <c r="C40" s="3">
        <v>44748.0</v>
      </c>
      <c r="D40" s="3">
        <v>45870.0</v>
      </c>
      <c r="E40" s="2" t="s">
        <v>26</v>
      </c>
      <c r="F40" s="2" t="s">
        <v>27</v>
      </c>
      <c r="G40" s="2" t="s">
        <v>28</v>
      </c>
      <c r="H40" s="2" t="s">
        <v>195</v>
      </c>
      <c r="I40" s="2" t="s">
        <v>30</v>
      </c>
      <c r="J40" s="2"/>
    </row>
    <row r="41" ht="14.25" customHeight="1">
      <c r="A41" s="2" t="s">
        <v>196</v>
      </c>
      <c r="B41" s="2" t="s">
        <v>197</v>
      </c>
      <c r="C41" s="3">
        <v>44901.0</v>
      </c>
      <c r="D41" s="3">
        <v>45470.0</v>
      </c>
      <c r="E41" s="2" t="s">
        <v>19</v>
      </c>
      <c r="F41" s="2" t="s">
        <v>67</v>
      </c>
      <c r="G41" s="2" t="s">
        <v>198</v>
      </c>
      <c r="H41" s="2" t="s">
        <v>69</v>
      </c>
      <c r="I41" s="2" t="s">
        <v>70</v>
      </c>
      <c r="J41" s="2"/>
    </row>
    <row r="42" ht="14.25" customHeight="1">
      <c r="A42" s="2" t="s">
        <v>199</v>
      </c>
      <c r="B42" s="2" t="s">
        <v>200</v>
      </c>
      <c r="C42" s="3">
        <v>45069.0</v>
      </c>
      <c r="D42" s="3">
        <v>45870.0</v>
      </c>
      <c r="E42" s="2" t="s">
        <v>12</v>
      </c>
      <c r="F42" s="2" t="s">
        <v>201</v>
      </c>
      <c r="G42" s="2" t="s">
        <v>202</v>
      </c>
      <c r="H42" s="2" t="s">
        <v>203</v>
      </c>
      <c r="I42" s="2" t="s">
        <v>204</v>
      </c>
      <c r="J42" s="2"/>
    </row>
    <row r="43" ht="14.25" customHeight="1">
      <c r="A43" s="2" t="s">
        <v>205</v>
      </c>
      <c r="B43" s="2" t="s">
        <v>206</v>
      </c>
      <c r="C43" s="3">
        <v>43004.0</v>
      </c>
      <c r="D43" s="3">
        <v>45870.0</v>
      </c>
      <c r="E43" s="2" t="s">
        <v>26</v>
      </c>
      <c r="F43" s="2" t="s">
        <v>27</v>
      </c>
      <c r="G43" s="2" t="s">
        <v>51</v>
      </c>
      <c r="H43" s="2" t="s">
        <v>207</v>
      </c>
      <c r="I43" s="2" t="s">
        <v>208</v>
      </c>
      <c r="J43" s="2"/>
    </row>
    <row r="44" ht="14.25" customHeight="1">
      <c r="A44" s="2" t="s">
        <v>209</v>
      </c>
      <c r="B44" s="2" t="s">
        <v>210</v>
      </c>
      <c r="C44" s="3">
        <v>44831.0</v>
      </c>
      <c r="D44" s="3">
        <v>44831.0</v>
      </c>
      <c r="E44" s="2" t="s">
        <v>33</v>
      </c>
      <c r="F44" s="2" t="s">
        <v>211</v>
      </c>
      <c r="G44" s="2" t="s">
        <v>212</v>
      </c>
      <c r="H44" s="2" t="s">
        <v>192</v>
      </c>
      <c r="I44" s="2"/>
      <c r="J44" s="2"/>
    </row>
    <row r="45" ht="14.25" customHeight="1">
      <c r="A45" s="2" t="s">
        <v>213</v>
      </c>
      <c r="B45" s="2" t="s">
        <v>214</v>
      </c>
      <c r="C45" s="3">
        <v>45846.0</v>
      </c>
      <c r="D45" s="3">
        <v>45894.0</v>
      </c>
      <c r="E45" s="2" t="s">
        <v>12</v>
      </c>
      <c r="F45" s="2" t="s">
        <v>73</v>
      </c>
      <c r="G45" s="2" t="s">
        <v>215</v>
      </c>
      <c r="H45" s="2" t="s">
        <v>216</v>
      </c>
      <c r="I45" s="2"/>
      <c r="J45" s="2"/>
    </row>
    <row r="46" ht="14.25" customHeight="1">
      <c r="A46" s="2" t="s">
        <v>217</v>
      </c>
      <c r="B46" s="2" t="s">
        <v>218</v>
      </c>
      <c r="C46" s="3">
        <v>45013.0</v>
      </c>
      <c r="D46" s="3">
        <v>45778.0</v>
      </c>
      <c r="E46" s="2" t="s">
        <v>19</v>
      </c>
      <c r="F46" s="2" t="s">
        <v>219</v>
      </c>
      <c r="G46" s="2" t="s">
        <v>220</v>
      </c>
      <c r="H46" s="2" t="s">
        <v>221</v>
      </c>
      <c r="I46" s="2" t="s">
        <v>222</v>
      </c>
      <c r="J46" s="2"/>
    </row>
    <row r="47" ht="14.25" customHeight="1">
      <c r="A47" s="2" t="s">
        <v>223</v>
      </c>
      <c r="B47" s="2" t="s">
        <v>224</v>
      </c>
      <c r="C47" s="3">
        <v>45265.0</v>
      </c>
      <c r="D47" s="3">
        <v>45870.0</v>
      </c>
      <c r="E47" s="2" t="s">
        <v>12</v>
      </c>
      <c r="F47" s="2" t="s">
        <v>97</v>
      </c>
      <c r="G47" s="2" t="s">
        <v>98</v>
      </c>
      <c r="H47" s="2" t="s">
        <v>99</v>
      </c>
      <c r="I47" s="2" t="s">
        <v>225</v>
      </c>
      <c r="J47" s="2"/>
    </row>
    <row r="48" ht="14.25" customHeight="1">
      <c r="A48" s="2" t="s">
        <v>226</v>
      </c>
      <c r="B48" s="2" t="s">
        <v>227</v>
      </c>
      <c r="C48" s="3">
        <v>45049.0</v>
      </c>
      <c r="D48" s="3">
        <v>45870.0</v>
      </c>
      <c r="E48" s="2" t="s">
        <v>44</v>
      </c>
      <c r="F48" s="2" t="s">
        <v>123</v>
      </c>
      <c r="G48" s="2" t="s">
        <v>228</v>
      </c>
      <c r="H48" s="2" t="s">
        <v>125</v>
      </c>
      <c r="I48" s="2"/>
      <c r="J48" s="2"/>
    </row>
    <row r="49" ht="14.25" customHeight="1">
      <c r="A49" s="2" t="s">
        <v>229</v>
      </c>
      <c r="B49" s="2" t="s">
        <v>230</v>
      </c>
      <c r="C49" s="3">
        <v>44699.0</v>
      </c>
      <c r="D49" s="3">
        <v>45870.0</v>
      </c>
      <c r="E49" s="2" t="s">
        <v>26</v>
      </c>
      <c r="F49" s="2" t="s">
        <v>50</v>
      </c>
      <c r="G49" s="2" t="s">
        <v>28</v>
      </c>
      <c r="H49" s="2" t="s">
        <v>52</v>
      </c>
      <c r="I49" s="2" t="s">
        <v>231</v>
      </c>
      <c r="J49" s="2"/>
    </row>
    <row r="50" ht="14.25" customHeight="1">
      <c r="A50" s="2" t="s">
        <v>232</v>
      </c>
      <c r="B50" s="2" t="s">
        <v>233</v>
      </c>
      <c r="C50" s="3">
        <v>44664.0</v>
      </c>
      <c r="D50" s="3">
        <v>45870.0</v>
      </c>
      <c r="E50" s="2" t="s">
        <v>26</v>
      </c>
      <c r="F50" s="2" t="s">
        <v>27</v>
      </c>
      <c r="G50" s="2" t="s">
        <v>128</v>
      </c>
      <c r="H50" s="2" t="s">
        <v>195</v>
      </c>
      <c r="I50" s="2" t="s">
        <v>30</v>
      </c>
      <c r="J50" s="2"/>
    </row>
    <row r="51" ht="14.25" customHeight="1">
      <c r="A51" s="2" t="s">
        <v>234</v>
      </c>
      <c r="B51" s="2" t="s">
        <v>235</v>
      </c>
      <c r="C51" s="3">
        <v>44039.0</v>
      </c>
      <c r="D51" s="3">
        <v>45839.0</v>
      </c>
      <c r="E51" s="2" t="s">
        <v>33</v>
      </c>
      <c r="F51" s="2" t="s">
        <v>236</v>
      </c>
      <c r="G51" s="2" t="s">
        <v>237</v>
      </c>
      <c r="H51" s="2" t="s">
        <v>238</v>
      </c>
      <c r="I51" s="2"/>
      <c r="J51" s="2"/>
    </row>
    <row r="52" ht="14.25" customHeight="1">
      <c r="A52" s="2" t="s">
        <v>239</v>
      </c>
      <c r="B52" s="2" t="s">
        <v>240</v>
      </c>
      <c r="C52" s="3">
        <v>45874.0</v>
      </c>
      <c r="D52" s="3">
        <v>45874.0</v>
      </c>
      <c r="E52" s="2" t="s">
        <v>26</v>
      </c>
      <c r="F52" s="2" t="s">
        <v>50</v>
      </c>
      <c r="G52" s="2" t="s">
        <v>241</v>
      </c>
      <c r="H52" s="2" t="s">
        <v>133</v>
      </c>
      <c r="I52" s="2" t="s">
        <v>242</v>
      </c>
      <c r="J52" s="2"/>
    </row>
    <row r="53" ht="14.25" customHeight="1">
      <c r="A53" s="2" t="s">
        <v>243</v>
      </c>
      <c r="B53" s="2" t="s">
        <v>244</v>
      </c>
      <c r="C53" s="3">
        <v>44615.0</v>
      </c>
      <c r="D53" s="3">
        <v>45870.0</v>
      </c>
      <c r="E53" s="2" t="s">
        <v>111</v>
      </c>
      <c r="F53" s="2" t="s">
        <v>112</v>
      </c>
      <c r="G53" s="2" t="s">
        <v>245</v>
      </c>
      <c r="H53" s="2" t="s">
        <v>119</v>
      </c>
      <c r="I53" s="2" t="s">
        <v>120</v>
      </c>
      <c r="J53" s="2"/>
    </row>
    <row r="54" ht="14.25" customHeight="1">
      <c r="A54" s="2" t="s">
        <v>246</v>
      </c>
      <c r="B54" s="2" t="s">
        <v>247</v>
      </c>
      <c r="C54" s="3">
        <v>45559.0</v>
      </c>
      <c r="D54" s="3">
        <v>45874.0</v>
      </c>
      <c r="E54" s="2" t="s">
        <v>19</v>
      </c>
      <c r="F54" s="2" t="s">
        <v>248</v>
      </c>
      <c r="G54" s="2" t="s">
        <v>249</v>
      </c>
      <c r="H54" s="2" t="s">
        <v>250</v>
      </c>
      <c r="I54" s="2" t="s">
        <v>251</v>
      </c>
      <c r="J54" s="2"/>
    </row>
    <row r="55" ht="14.25" customHeight="1">
      <c r="A55" s="2" t="s">
        <v>252</v>
      </c>
      <c r="B55" s="2" t="s">
        <v>253</v>
      </c>
      <c r="C55" s="3">
        <v>44509.0</v>
      </c>
      <c r="D55" s="3">
        <v>45870.0</v>
      </c>
      <c r="E55" s="2" t="s">
        <v>12</v>
      </c>
      <c r="F55" s="2" t="s">
        <v>254</v>
      </c>
      <c r="G55" s="2" t="s">
        <v>255</v>
      </c>
      <c r="H55" s="2" t="s">
        <v>256</v>
      </c>
      <c r="I55" s="2" t="s">
        <v>231</v>
      </c>
      <c r="J55" s="2"/>
    </row>
    <row r="56" ht="14.25" customHeight="1">
      <c r="A56" s="2" t="s">
        <v>257</v>
      </c>
      <c r="B56" s="2" t="s">
        <v>258</v>
      </c>
      <c r="C56" s="3">
        <v>44453.0</v>
      </c>
      <c r="D56" s="3">
        <v>45870.0</v>
      </c>
      <c r="E56" s="2" t="s">
        <v>44</v>
      </c>
      <c r="F56" s="2" t="s">
        <v>259</v>
      </c>
      <c r="G56" s="2" t="s">
        <v>260</v>
      </c>
      <c r="H56" s="2" t="s">
        <v>261</v>
      </c>
      <c r="I56" s="2"/>
      <c r="J56" s="2"/>
    </row>
    <row r="57" ht="14.25" customHeight="1">
      <c r="A57" s="2" t="s">
        <v>262</v>
      </c>
      <c r="B57" s="2" t="s">
        <v>263</v>
      </c>
      <c r="C57" s="3">
        <v>45189.0</v>
      </c>
      <c r="D57" s="3">
        <v>45211.0</v>
      </c>
      <c r="E57" s="2" t="s">
        <v>19</v>
      </c>
      <c r="F57" s="2" t="s">
        <v>78</v>
      </c>
      <c r="G57" s="2" t="s">
        <v>264</v>
      </c>
      <c r="H57" s="2" t="s">
        <v>265</v>
      </c>
      <c r="I57" s="2" t="s">
        <v>81</v>
      </c>
      <c r="J57" s="2"/>
    </row>
    <row r="58" ht="14.25" customHeight="1">
      <c r="A58" s="2" t="s">
        <v>266</v>
      </c>
      <c r="B58" s="2" t="s">
        <v>267</v>
      </c>
      <c r="C58" s="3">
        <v>45020.0</v>
      </c>
      <c r="D58" s="3">
        <v>45874.0</v>
      </c>
      <c r="E58" s="2" t="s">
        <v>26</v>
      </c>
      <c r="F58" s="2" t="s">
        <v>27</v>
      </c>
      <c r="G58" s="2" t="s">
        <v>62</v>
      </c>
      <c r="H58" s="2" t="s">
        <v>268</v>
      </c>
      <c r="I58" s="2" t="s">
        <v>208</v>
      </c>
      <c r="J58" s="2"/>
    </row>
    <row r="59" ht="14.25" customHeight="1">
      <c r="A59" s="2" t="s">
        <v>269</v>
      </c>
      <c r="B59" s="2" t="s">
        <v>270</v>
      </c>
      <c r="C59" s="3">
        <v>44894.0</v>
      </c>
      <c r="D59" s="3">
        <v>45870.0</v>
      </c>
      <c r="E59" s="2" t="s">
        <v>12</v>
      </c>
      <c r="F59" s="2" t="s">
        <v>97</v>
      </c>
      <c r="G59" s="2" t="s">
        <v>98</v>
      </c>
      <c r="H59" s="2" t="s">
        <v>271</v>
      </c>
      <c r="I59" s="2" t="s">
        <v>231</v>
      </c>
      <c r="J59" s="2"/>
    </row>
    <row r="60" ht="14.25" customHeight="1">
      <c r="A60" s="2" t="s">
        <v>272</v>
      </c>
      <c r="B60" s="2" t="s">
        <v>273</v>
      </c>
      <c r="C60" s="3">
        <v>45797.0</v>
      </c>
      <c r="D60" s="3">
        <v>45870.0</v>
      </c>
      <c r="E60" s="2" t="s">
        <v>19</v>
      </c>
      <c r="F60" s="2" t="s">
        <v>274</v>
      </c>
      <c r="G60" s="2" t="s">
        <v>275</v>
      </c>
      <c r="H60" s="2" t="s">
        <v>75</v>
      </c>
      <c r="I60" s="2"/>
      <c r="J60" s="2"/>
    </row>
    <row r="61" ht="14.25" customHeight="1">
      <c r="A61" s="2" t="s">
        <v>276</v>
      </c>
      <c r="B61" s="2" t="s">
        <v>277</v>
      </c>
      <c r="C61" s="3">
        <v>44291.0</v>
      </c>
      <c r="D61" s="3">
        <v>45231.0</v>
      </c>
      <c r="E61" s="2" t="s">
        <v>33</v>
      </c>
      <c r="F61" s="2" t="s">
        <v>34</v>
      </c>
      <c r="G61" s="2" t="s">
        <v>278</v>
      </c>
      <c r="H61" s="2" t="s">
        <v>279</v>
      </c>
      <c r="I61" s="2"/>
      <c r="J61" s="2"/>
    </row>
    <row r="62" ht="14.25" customHeight="1">
      <c r="A62" s="2" t="s">
        <v>280</v>
      </c>
      <c r="B62" s="2" t="s">
        <v>281</v>
      </c>
      <c r="C62" s="3">
        <v>45223.0</v>
      </c>
      <c r="D62" s="3">
        <v>45870.0</v>
      </c>
      <c r="E62" s="2" t="s">
        <v>26</v>
      </c>
      <c r="F62" s="2" t="s">
        <v>61</v>
      </c>
      <c r="G62" s="2" t="s">
        <v>28</v>
      </c>
      <c r="H62" s="2" t="s">
        <v>282</v>
      </c>
      <c r="I62" s="2" t="s">
        <v>283</v>
      </c>
      <c r="J62" s="2"/>
    </row>
    <row r="63" ht="14.25" customHeight="1">
      <c r="A63" s="2" t="s">
        <v>284</v>
      </c>
      <c r="B63" s="2" t="s">
        <v>285</v>
      </c>
      <c r="C63" s="3">
        <v>45349.0</v>
      </c>
      <c r="D63" s="3">
        <v>45870.0</v>
      </c>
      <c r="E63" s="2" t="s">
        <v>26</v>
      </c>
      <c r="F63" s="2" t="s">
        <v>50</v>
      </c>
      <c r="G63" s="2" t="s">
        <v>51</v>
      </c>
      <c r="H63" s="2" t="s">
        <v>52</v>
      </c>
      <c r="I63" s="2" t="s">
        <v>108</v>
      </c>
      <c r="J63" s="2"/>
    </row>
    <row r="64" ht="14.25" customHeight="1">
      <c r="A64" s="2" t="s">
        <v>286</v>
      </c>
      <c r="B64" s="2" t="s">
        <v>287</v>
      </c>
      <c r="C64" s="3">
        <v>42310.0</v>
      </c>
      <c r="D64" s="3">
        <v>45870.0</v>
      </c>
      <c r="E64" s="2" t="s">
        <v>26</v>
      </c>
      <c r="F64" s="2" t="s">
        <v>61</v>
      </c>
      <c r="G64" s="2" t="s">
        <v>51</v>
      </c>
      <c r="H64" s="2" t="s">
        <v>288</v>
      </c>
      <c r="I64" s="2" t="s">
        <v>100</v>
      </c>
      <c r="J64" s="2"/>
    </row>
    <row r="65" ht="14.25" customHeight="1">
      <c r="A65" s="2" t="s">
        <v>289</v>
      </c>
      <c r="B65" s="2" t="s">
        <v>290</v>
      </c>
      <c r="C65" s="3">
        <v>44811.0</v>
      </c>
      <c r="D65" s="3">
        <v>45870.0</v>
      </c>
      <c r="E65" s="2" t="s">
        <v>19</v>
      </c>
      <c r="F65" s="2" t="s">
        <v>78</v>
      </c>
      <c r="G65" s="2" t="s">
        <v>291</v>
      </c>
      <c r="H65" s="2" t="s">
        <v>80</v>
      </c>
      <c r="I65" s="2" t="s">
        <v>81</v>
      </c>
      <c r="J65" s="2"/>
    </row>
    <row r="66" ht="14.25" customHeight="1">
      <c r="A66" s="2" t="s">
        <v>292</v>
      </c>
      <c r="B66" s="2" t="s">
        <v>293</v>
      </c>
      <c r="C66" s="3">
        <v>45104.0</v>
      </c>
      <c r="D66" s="3">
        <v>45870.0</v>
      </c>
      <c r="E66" s="2" t="s">
        <v>26</v>
      </c>
      <c r="F66" s="2" t="s">
        <v>61</v>
      </c>
      <c r="G66" s="2" t="s">
        <v>62</v>
      </c>
      <c r="H66" s="2" t="s">
        <v>63</v>
      </c>
      <c r="I66" s="2" t="s">
        <v>294</v>
      </c>
      <c r="J66" s="2"/>
    </row>
    <row r="67" ht="14.25" customHeight="1">
      <c r="A67" s="2" t="s">
        <v>295</v>
      </c>
      <c r="B67" s="2" t="s">
        <v>296</v>
      </c>
      <c r="C67" s="3">
        <v>45776.0</v>
      </c>
      <c r="D67" s="3">
        <v>45776.0</v>
      </c>
      <c r="E67" s="2" t="s">
        <v>19</v>
      </c>
      <c r="F67" s="2" t="s">
        <v>219</v>
      </c>
      <c r="G67" s="2" t="s">
        <v>220</v>
      </c>
      <c r="H67" s="2" t="s">
        <v>221</v>
      </c>
      <c r="I67" s="2" t="s">
        <v>222</v>
      </c>
      <c r="J67" s="2"/>
    </row>
    <row r="68" ht="14.25" customHeight="1">
      <c r="A68" s="2" t="s">
        <v>297</v>
      </c>
      <c r="B68" s="2" t="s">
        <v>298</v>
      </c>
      <c r="C68" s="3">
        <v>45636.0</v>
      </c>
      <c r="D68" s="3">
        <v>45870.0</v>
      </c>
      <c r="E68" s="2" t="s">
        <v>12</v>
      </c>
      <c r="F68" s="2" t="s">
        <v>201</v>
      </c>
      <c r="G68" s="2" t="s">
        <v>299</v>
      </c>
      <c r="H68" s="2" t="s">
        <v>203</v>
      </c>
      <c r="I68" s="2" t="s">
        <v>300</v>
      </c>
      <c r="J68" s="2"/>
    </row>
    <row r="69" ht="14.25" customHeight="1">
      <c r="A69" s="2" t="s">
        <v>301</v>
      </c>
      <c r="B69" s="2" t="s">
        <v>302</v>
      </c>
      <c r="C69" s="3">
        <v>43473.0</v>
      </c>
      <c r="D69" s="3">
        <v>45870.0</v>
      </c>
      <c r="E69" s="2" t="s">
        <v>26</v>
      </c>
      <c r="F69" s="2" t="s">
        <v>147</v>
      </c>
      <c r="G69" s="2" t="s">
        <v>303</v>
      </c>
      <c r="H69" s="2" t="s">
        <v>304</v>
      </c>
      <c r="I69" s="2" t="s">
        <v>16</v>
      </c>
      <c r="J69" s="2"/>
    </row>
    <row r="70" ht="14.25" customHeight="1">
      <c r="A70" s="2" t="s">
        <v>305</v>
      </c>
      <c r="B70" s="2" t="s">
        <v>306</v>
      </c>
      <c r="C70" s="3">
        <v>44565.0</v>
      </c>
      <c r="D70" s="3">
        <v>45870.0</v>
      </c>
      <c r="E70" s="2" t="s">
        <v>26</v>
      </c>
      <c r="F70" s="2" t="s">
        <v>147</v>
      </c>
      <c r="G70" s="2" t="s">
        <v>51</v>
      </c>
      <c r="H70" s="2" t="s">
        <v>304</v>
      </c>
      <c r="I70" s="2" t="s">
        <v>307</v>
      </c>
      <c r="J70" s="2"/>
    </row>
    <row r="71" ht="14.25" customHeight="1">
      <c r="A71" s="2" t="s">
        <v>308</v>
      </c>
      <c r="B71" s="2" t="s">
        <v>309</v>
      </c>
      <c r="C71" s="3">
        <v>44375.0</v>
      </c>
      <c r="D71" s="3">
        <v>45870.0</v>
      </c>
      <c r="E71" s="2" t="s">
        <v>12</v>
      </c>
      <c r="F71" s="2" t="s">
        <v>97</v>
      </c>
      <c r="G71" s="2" t="s">
        <v>98</v>
      </c>
      <c r="H71" s="2" t="s">
        <v>99</v>
      </c>
      <c r="I71" s="2" t="s">
        <v>225</v>
      </c>
      <c r="J71" s="2"/>
    </row>
    <row r="72" ht="14.25" customHeight="1">
      <c r="A72" s="2" t="s">
        <v>310</v>
      </c>
      <c r="B72" s="2" t="s">
        <v>311</v>
      </c>
      <c r="C72" s="3">
        <v>45006.0</v>
      </c>
      <c r="D72" s="3">
        <v>45870.0</v>
      </c>
      <c r="E72" s="2" t="s">
        <v>12</v>
      </c>
      <c r="F72" s="2" t="s">
        <v>97</v>
      </c>
      <c r="G72" s="2" t="s">
        <v>98</v>
      </c>
      <c r="H72" s="2" t="s">
        <v>99</v>
      </c>
      <c r="I72" s="2" t="s">
        <v>312</v>
      </c>
      <c r="J72" s="2"/>
    </row>
    <row r="73" ht="14.25" customHeight="1">
      <c r="A73" s="2" t="s">
        <v>313</v>
      </c>
      <c r="B73" s="2" t="s">
        <v>314</v>
      </c>
      <c r="C73" s="3">
        <v>44854.0</v>
      </c>
      <c r="D73" s="3">
        <v>44909.0</v>
      </c>
      <c r="E73" s="2" t="s">
        <v>33</v>
      </c>
      <c r="F73" s="2" t="s">
        <v>315</v>
      </c>
      <c r="G73" s="2" t="s">
        <v>316</v>
      </c>
      <c r="H73" s="2" t="s">
        <v>317</v>
      </c>
      <c r="I73" s="2"/>
      <c r="J73" s="2"/>
    </row>
    <row r="74" ht="14.25" customHeight="1">
      <c r="A74" s="2" t="s">
        <v>318</v>
      </c>
      <c r="B74" s="2" t="s">
        <v>319</v>
      </c>
      <c r="C74" s="3">
        <v>45489.0</v>
      </c>
      <c r="D74" s="3">
        <v>45489.0</v>
      </c>
      <c r="E74" s="2" t="s">
        <v>19</v>
      </c>
      <c r="F74" s="2" t="s">
        <v>219</v>
      </c>
      <c r="G74" s="2" t="s">
        <v>320</v>
      </c>
      <c r="H74" s="2" t="s">
        <v>221</v>
      </c>
      <c r="I74" s="2" t="s">
        <v>222</v>
      </c>
      <c r="J74" s="2"/>
    </row>
    <row r="75" ht="14.25" customHeight="1">
      <c r="A75" s="2" t="s">
        <v>321</v>
      </c>
      <c r="B75" s="2" t="s">
        <v>322</v>
      </c>
      <c r="C75" s="3">
        <v>45370.0</v>
      </c>
      <c r="D75" s="3">
        <v>45870.0</v>
      </c>
      <c r="E75" s="2" t="s">
        <v>12</v>
      </c>
      <c r="F75" s="2" t="s">
        <v>97</v>
      </c>
      <c r="G75" s="2" t="s">
        <v>323</v>
      </c>
      <c r="H75" s="2" t="s">
        <v>271</v>
      </c>
      <c r="I75" s="2"/>
      <c r="J75" s="2"/>
    </row>
    <row r="76" ht="14.25" customHeight="1">
      <c r="A76" s="2" t="s">
        <v>324</v>
      </c>
      <c r="B76" s="2" t="s">
        <v>325</v>
      </c>
      <c r="C76" s="3">
        <v>44663.0</v>
      </c>
      <c r="D76" s="3">
        <v>45870.0</v>
      </c>
      <c r="E76" s="2" t="s">
        <v>19</v>
      </c>
      <c r="F76" s="2" t="s">
        <v>176</v>
      </c>
      <c r="G76" s="2" t="s">
        <v>326</v>
      </c>
      <c r="H76" s="2" t="s">
        <v>327</v>
      </c>
      <c r="I76" s="2" t="s">
        <v>328</v>
      </c>
      <c r="J76" s="2"/>
    </row>
    <row r="77" ht="14.25" customHeight="1">
      <c r="A77" s="2" t="s">
        <v>329</v>
      </c>
      <c r="B77" s="2" t="s">
        <v>330</v>
      </c>
      <c r="C77" s="3">
        <v>44992.0</v>
      </c>
      <c r="D77" s="3">
        <v>45231.0</v>
      </c>
      <c r="E77" s="2" t="s">
        <v>33</v>
      </c>
      <c r="F77" s="2" t="s">
        <v>34</v>
      </c>
      <c r="G77" s="2" t="s">
        <v>278</v>
      </c>
      <c r="H77" s="2" t="s">
        <v>279</v>
      </c>
      <c r="I77" s="2"/>
      <c r="J77" s="2"/>
    </row>
    <row r="78" ht="14.25" customHeight="1">
      <c r="A78" s="2" t="s">
        <v>331</v>
      </c>
      <c r="B78" s="2" t="s">
        <v>332</v>
      </c>
      <c r="C78" s="3">
        <v>44221.0</v>
      </c>
      <c r="D78" s="3">
        <v>45874.0</v>
      </c>
      <c r="E78" s="2" t="s">
        <v>26</v>
      </c>
      <c r="F78" s="2" t="s">
        <v>50</v>
      </c>
      <c r="G78" s="2" t="s">
        <v>303</v>
      </c>
      <c r="H78" s="2" t="s">
        <v>333</v>
      </c>
      <c r="I78" s="2"/>
      <c r="J78" s="2"/>
    </row>
    <row r="79" ht="14.25" customHeight="1">
      <c r="A79" s="2" t="s">
        <v>334</v>
      </c>
      <c r="B79" s="2" t="s">
        <v>335</v>
      </c>
      <c r="C79" s="3">
        <v>45280.0</v>
      </c>
      <c r="D79" s="3">
        <v>45870.0</v>
      </c>
      <c r="E79" s="2" t="s">
        <v>26</v>
      </c>
      <c r="F79" s="2" t="s">
        <v>27</v>
      </c>
      <c r="G79" s="2" t="s">
        <v>51</v>
      </c>
      <c r="H79" s="2" t="s">
        <v>336</v>
      </c>
      <c r="I79" s="2" t="s">
        <v>337</v>
      </c>
      <c r="J79" s="2"/>
    </row>
    <row r="80" ht="14.25" customHeight="1">
      <c r="A80" s="2" t="s">
        <v>338</v>
      </c>
      <c r="B80" s="2" t="s">
        <v>339</v>
      </c>
      <c r="C80" s="3">
        <v>45405.0</v>
      </c>
      <c r="D80" s="3">
        <v>45870.0</v>
      </c>
      <c r="E80" s="2" t="s">
        <v>26</v>
      </c>
      <c r="F80" s="2" t="s">
        <v>147</v>
      </c>
      <c r="G80" s="2" t="s">
        <v>28</v>
      </c>
      <c r="H80" s="2" t="s">
        <v>304</v>
      </c>
      <c r="I80" s="2" t="s">
        <v>16</v>
      </c>
      <c r="J80" s="2"/>
    </row>
    <row r="81" ht="14.25" customHeight="1">
      <c r="A81" s="2" t="s">
        <v>340</v>
      </c>
      <c r="B81" s="2" t="s">
        <v>341</v>
      </c>
      <c r="C81" s="3">
        <v>45398.0</v>
      </c>
      <c r="D81" s="3">
        <v>45870.0</v>
      </c>
      <c r="E81" s="2" t="s">
        <v>19</v>
      </c>
      <c r="F81" s="2" t="s">
        <v>20</v>
      </c>
      <c r="G81" s="2" t="s">
        <v>21</v>
      </c>
      <c r="H81" s="2" t="s">
        <v>22</v>
      </c>
      <c r="I81" s="2" t="s">
        <v>90</v>
      </c>
      <c r="J81" s="2"/>
    </row>
    <row r="82" ht="14.25" customHeight="1">
      <c r="A82" s="2" t="s">
        <v>342</v>
      </c>
      <c r="B82" s="2" t="s">
        <v>343</v>
      </c>
      <c r="C82" s="3">
        <v>45719.0</v>
      </c>
      <c r="D82" s="3">
        <v>45719.0</v>
      </c>
      <c r="E82" s="2" t="s">
        <v>33</v>
      </c>
      <c r="F82" s="2" t="s">
        <v>315</v>
      </c>
      <c r="G82" s="2" t="s">
        <v>344</v>
      </c>
      <c r="H82" s="2" t="s">
        <v>188</v>
      </c>
      <c r="I82" s="2"/>
      <c r="J82" s="2"/>
    </row>
    <row r="83" ht="14.25" customHeight="1">
      <c r="A83" s="2" t="s">
        <v>345</v>
      </c>
      <c r="B83" s="2" t="s">
        <v>346</v>
      </c>
      <c r="C83" s="3">
        <v>45272.0</v>
      </c>
      <c r="D83" s="3">
        <v>45870.0</v>
      </c>
      <c r="E83" s="2" t="s">
        <v>19</v>
      </c>
      <c r="F83" s="2" t="s">
        <v>84</v>
      </c>
      <c r="G83" s="2" t="s">
        <v>347</v>
      </c>
      <c r="H83" s="2" t="s">
        <v>86</v>
      </c>
      <c r="I83" s="2" t="s">
        <v>348</v>
      </c>
      <c r="J83" s="2"/>
    </row>
    <row r="84" ht="14.25" customHeight="1">
      <c r="A84" s="2" t="s">
        <v>349</v>
      </c>
      <c r="B84" s="2" t="s">
        <v>350</v>
      </c>
      <c r="C84" s="3">
        <v>44992.0</v>
      </c>
      <c r="D84" s="3">
        <v>45870.0</v>
      </c>
      <c r="E84" s="2" t="s">
        <v>111</v>
      </c>
      <c r="F84" s="2" t="s">
        <v>112</v>
      </c>
      <c r="G84" s="2" t="s">
        <v>351</v>
      </c>
      <c r="H84" s="2" t="s">
        <v>352</v>
      </c>
      <c r="I84" s="2" t="s">
        <v>161</v>
      </c>
      <c r="J84" s="2"/>
    </row>
    <row r="85" ht="14.25" customHeight="1">
      <c r="A85" s="2" t="s">
        <v>353</v>
      </c>
      <c r="B85" s="2" t="s">
        <v>354</v>
      </c>
      <c r="C85" s="3">
        <v>43193.0</v>
      </c>
      <c r="D85" s="3">
        <v>45870.0</v>
      </c>
      <c r="E85" s="2" t="s">
        <v>26</v>
      </c>
      <c r="F85" s="2" t="s">
        <v>61</v>
      </c>
      <c r="G85" s="2" t="s">
        <v>303</v>
      </c>
      <c r="H85" s="2" t="s">
        <v>288</v>
      </c>
      <c r="I85" s="2" t="s">
        <v>64</v>
      </c>
      <c r="J85" s="2"/>
    </row>
    <row r="86" ht="14.25" customHeight="1">
      <c r="A86" s="2" t="s">
        <v>355</v>
      </c>
      <c r="B86" s="2" t="s">
        <v>356</v>
      </c>
      <c r="C86" s="3">
        <v>45321.0</v>
      </c>
      <c r="D86" s="3">
        <v>45870.0</v>
      </c>
      <c r="E86" s="2" t="s">
        <v>111</v>
      </c>
      <c r="F86" s="2" t="s">
        <v>112</v>
      </c>
      <c r="G86" s="2" t="s">
        <v>245</v>
      </c>
      <c r="H86" s="2" t="s">
        <v>119</v>
      </c>
      <c r="I86" s="2" t="s">
        <v>120</v>
      </c>
      <c r="J86" s="2"/>
    </row>
    <row r="87" ht="14.25" customHeight="1">
      <c r="A87" s="2" t="s">
        <v>357</v>
      </c>
      <c r="B87" s="2" t="s">
        <v>358</v>
      </c>
      <c r="C87" s="3">
        <v>45069.0</v>
      </c>
      <c r="D87" s="3">
        <v>45870.0</v>
      </c>
      <c r="E87" s="2" t="s">
        <v>19</v>
      </c>
      <c r="F87" s="2" t="s">
        <v>181</v>
      </c>
      <c r="G87" s="2" t="s">
        <v>359</v>
      </c>
      <c r="H87" s="2" t="s">
        <v>360</v>
      </c>
      <c r="I87" s="2"/>
      <c r="J87" s="2"/>
    </row>
    <row r="88" ht="14.25" customHeight="1">
      <c r="A88" s="2" t="s">
        <v>361</v>
      </c>
      <c r="B88" s="2" t="s">
        <v>362</v>
      </c>
      <c r="C88" s="3">
        <v>45279.0</v>
      </c>
      <c r="D88" s="3">
        <v>45870.0</v>
      </c>
      <c r="E88" s="2" t="s">
        <v>111</v>
      </c>
      <c r="F88" s="2" t="s">
        <v>363</v>
      </c>
      <c r="G88" s="2" t="s">
        <v>364</v>
      </c>
      <c r="H88" s="2" t="s">
        <v>22</v>
      </c>
      <c r="I88" s="2" t="s">
        <v>171</v>
      </c>
      <c r="J88" s="2"/>
    </row>
    <row r="89" ht="14.25" customHeight="1">
      <c r="A89" s="2" t="s">
        <v>365</v>
      </c>
      <c r="B89" s="2" t="s">
        <v>366</v>
      </c>
      <c r="C89" s="3">
        <v>45280.0</v>
      </c>
      <c r="D89" s="3">
        <v>45870.0</v>
      </c>
      <c r="E89" s="2" t="s">
        <v>19</v>
      </c>
      <c r="F89" s="2" t="s">
        <v>20</v>
      </c>
      <c r="G89" s="2" t="s">
        <v>367</v>
      </c>
      <c r="H89" s="2" t="s">
        <v>170</v>
      </c>
      <c r="I89" s="2" t="s">
        <v>23</v>
      </c>
      <c r="J89" s="2"/>
    </row>
    <row r="90" ht="14.25" customHeight="1">
      <c r="A90" s="2" t="s">
        <v>368</v>
      </c>
      <c r="B90" s="2" t="s">
        <v>369</v>
      </c>
      <c r="C90" s="3">
        <v>45503.0</v>
      </c>
      <c r="D90" s="3">
        <v>45503.0</v>
      </c>
      <c r="E90" s="2" t="s">
        <v>19</v>
      </c>
      <c r="F90" s="2" t="s">
        <v>219</v>
      </c>
      <c r="G90" s="2" t="s">
        <v>220</v>
      </c>
      <c r="H90" s="2" t="s">
        <v>221</v>
      </c>
      <c r="I90" s="2" t="s">
        <v>222</v>
      </c>
      <c r="J90" s="2"/>
    </row>
    <row r="91" ht="14.25" customHeight="1">
      <c r="A91" s="2" t="s">
        <v>370</v>
      </c>
      <c r="B91" s="2" t="s">
        <v>371</v>
      </c>
      <c r="C91" s="3">
        <v>44880.0</v>
      </c>
      <c r="D91" s="3">
        <v>45870.0</v>
      </c>
      <c r="E91" s="2" t="s">
        <v>26</v>
      </c>
      <c r="F91" s="2" t="s">
        <v>147</v>
      </c>
      <c r="G91" s="2" t="s">
        <v>372</v>
      </c>
      <c r="H91" s="2" t="s">
        <v>304</v>
      </c>
      <c r="I91" s="2" t="s">
        <v>16</v>
      </c>
      <c r="J91" s="2"/>
    </row>
    <row r="92" ht="14.25" customHeight="1">
      <c r="A92" s="2" t="s">
        <v>373</v>
      </c>
      <c r="B92" s="2" t="s">
        <v>374</v>
      </c>
      <c r="C92" s="3">
        <v>45636.0</v>
      </c>
      <c r="D92" s="3">
        <v>45888.0</v>
      </c>
      <c r="E92" s="2" t="s">
        <v>12</v>
      </c>
      <c r="F92" s="2" t="s">
        <v>13</v>
      </c>
      <c r="G92" s="2" t="s">
        <v>14</v>
      </c>
      <c r="H92" s="2" t="s">
        <v>15</v>
      </c>
      <c r="I92" s="2"/>
      <c r="J92" s="2"/>
    </row>
    <row r="93" ht="14.25" customHeight="1">
      <c r="A93" s="2" t="s">
        <v>375</v>
      </c>
      <c r="B93" s="2" t="s">
        <v>376</v>
      </c>
      <c r="C93" s="3">
        <v>45531.0</v>
      </c>
      <c r="D93" s="3">
        <v>45870.0</v>
      </c>
      <c r="E93" s="2" t="s">
        <v>19</v>
      </c>
      <c r="F93" s="2" t="s">
        <v>181</v>
      </c>
      <c r="G93" s="2" t="s">
        <v>182</v>
      </c>
      <c r="H93" s="2" t="s">
        <v>144</v>
      </c>
      <c r="I93" s="2" t="s">
        <v>111</v>
      </c>
      <c r="J93" s="2"/>
    </row>
    <row r="94" ht="14.25" customHeight="1">
      <c r="A94" s="2" t="s">
        <v>377</v>
      </c>
      <c r="B94" s="2" t="s">
        <v>378</v>
      </c>
      <c r="C94" s="3">
        <v>45398.0</v>
      </c>
      <c r="D94" s="3">
        <v>45870.0</v>
      </c>
      <c r="E94" s="2" t="s">
        <v>19</v>
      </c>
      <c r="F94" s="2" t="s">
        <v>176</v>
      </c>
      <c r="G94" s="2" t="s">
        <v>379</v>
      </c>
      <c r="H94" s="2" t="s">
        <v>380</v>
      </c>
      <c r="I94" s="2" t="s">
        <v>381</v>
      </c>
      <c r="J94" s="2"/>
    </row>
    <row r="95" ht="14.25" customHeight="1">
      <c r="A95" s="2" t="s">
        <v>382</v>
      </c>
      <c r="B95" s="2" t="s">
        <v>383</v>
      </c>
      <c r="C95" s="3">
        <v>45202.0</v>
      </c>
      <c r="D95" s="3">
        <v>45870.0</v>
      </c>
      <c r="E95" s="2" t="s">
        <v>26</v>
      </c>
      <c r="F95" s="2" t="s">
        <v>61</v>
      </c>
      <c r="G95" s="2" t="s">
        <v>28</v>
      </c>
      <c r="H95" s="2" t="s">
        <v>384</v>
      </c>
      <c r="I95" s="2" t="s">
        <v>100</v>
      </c>
      <c r="J95" s="2"/>
    </row>
    <row r="96" ht="14.25" customHeight="1">
      <c r="A96" s="2" t="s">
        <v>385</v>
      </c>
      <c r="B96" s="2" t="s">
        <v>386</v>
      </c>
      <c r="C96" s="3">
        <v>44720.0</v>
      </c>
      <c r="D96" s="3">
        <v>45870.0</v>
      </c>
      <c r="E96" s="2" t="s">
        <v>26</v>
      </c>
      <c r="F96" s="2" t="s">
        <v>27</v>
      </c>
      <c r="G96" s="2" t="s">
        <v>303</v>
      </c>
      <c r="H96" s="2" t="s">
        <v>387</v>
      </c>
      <c r="I96" s="2" t="s">
        <v>388</v>
      </c>
      <c r="J96" s="2"/>
    </row>
    <row r="97" ht="14.25" customHeight="1">
      <c r="A97" s="2" t="s">
        <v>389</v>
      </c>
      <c r="B97" s="2" t="s">
        <v>390</v>
      </c>
      <c r="C97" s="3">
        <v>44656.0</v>
      </c>
      <c r="D97" s="3">
        <v>45870.0</v>
      </c>
      <c r="E97" s="2" t="s">
        <v>26</v>
      </c>
      <c r="F97" s="2" t="s">
        <v>61</v>
      </c>
      <c r="G97" s="2" t="s">
        <v>28</v>
      </c>
      <c r="H97" s="2" t="s">
        <v>288</v>
      </c>
      <c r="I97" s="2" t="s">
        <v>64</v>
      </c>
      <c r="J97" s="2"/>
    </row>
    <row r="98" ht="14.25" customHeight="1">
      <c r="A98" s="2" t="s">
        <v>391</v>
      </c>
      <c r="B98" s="2" t="s">
        <v>392</v>
      </c>
      <c r="C98" s="3">
        <v>45636.0</v>
      </c>
      <c r="D98" s="3">
        <v>45909.0</v>
      </c>
      <c r="E98" s="2" t="s">
        <v>44</v>
      </c>
      <c r="F98" s="2" t="s">
        <v>393</v>
      </c>
      <c r="G98" s="2" t="s">
        <v>394</v>
      </c>
      <c r="H98" s="2" t="s">
        <v>395</v>
      </c>
      <c r="I98" s="2"/>
      <c r="J98" s="2"/>
    </row>
    <row r="99" ht="14.25" customHeight="1">
      <c r="A99" s="2" t="s">
        <v>396</v>
      </c>
      <c r="B99" s="2" t="s">
        <v>397</v>
      </c>
      <c r="C99" s="3">
        <v>45909.0</v>
      </c>
      <c r="D99" s="3">
        <v>45909.0</v>
      </c>
      <c r="E99" s="2" t="s">
        <v>44</v>
      </c>
      <c r="F99" s="2" t="s">
        <v>164</v>
      </c>
      <c r="G99" s="2" t="s">
        <v>398</v>
      </c>
      <c r="H99" s="2" t="s">
        <v>399</v>
      </c>
      <c r="I99" s="2"/>
      <c r="J99" s="2"/>
    </row>
    <row r="100" ht="14.25" customHeight="1">
      <c r="A100" s="2" t="s">
        <v>400</v>
      </c>
      <c r="B100" s="2" t="s">
        <v>401</v>
      </c>
      <c r="C100" s="3">
        <v>45468.0</v>
      </c>
      <c r="D100" s="3">
        <v>45870.0</v>
      </c>
      <c r="E100" s="2" t="s">
        <v>111</v>
      </c>
      <c r="F100" s="2" t="s">
        <v>363</v>
      </c>
      <c r="G100" s="2" t="s">
        <v>402</v>
      </c>
      <c r="H100" s="2" t="s">
        <v>22</v>
      </c>
      <c r="I100" s="2" t="s">
        <v>111</v>
      </c>
      <c r="J100" s="2"/>
    </row>
    <row r="101" ht="14.25" customHeight="1">
      <c r="A101" s="2" t="s">
        <v>403</v>
      </c>
      <c r="B101" s="2" t="s">
        <v>404</v>
      </c>
      <c r="C101" s="3">
        <v>45524.0</v>
      </c>
      <c r="D101" s="3">
        <v>45885.0</v>
      </c>
      <c r="E101" s="2" t="s">
        <v>33</v>
      </c>
      <c r="F101" s="2" t="s">
        <v>39</v>
      </c>
      <c r="G101" s="2" t="s">
        <v>405</v>
      </c>
      <c r="H101" s="2" t="s">
        <v>41</v>
      </c>
      <c r="I101" s="2"/>
      <c r="J101" s="2"/>
    </row>
    <row r="102" ht="14.25" customHeight="1">
      <c r="A102" s="2" t="s">
        <v>406</v>
      </c>
      <c r="B102" s="2" t="s">
        <v>407</v>
      </c>
      <c r="C102" s="3">
        <v>44663.0</v>
      </c>
      <c r="D102" s="3">
        <v>45870.0</v>
      </c>
      <c r="E102" s="2" t="s">
        <v>12</v>
      </c>
      <c r="F102" s="2" t="s">
        <v>408</v>
      </c>
      <c r="G102" s="2" t="s">
        <v>409</v>
      </c>
      <c r="H102" s="2" t="s">
        <v>410</v>
      </c>
      <c r="I102" s="2" t="s">
        <v>411</v>
      </c>
      <c r="J102" s="2"/>
    </row>
    <row r="103" ht="14.25" customHeight="1">
      <c r="A103" s="2" t="s">
        <v>412</v>
      </c>
      <c r="B103" s="2" t="s">
        <v>413</v>
      </c>
      <c r="C103" s="3">
        <v>45272.0</v>
      </c>
      <c r="D103" s="3">
        <v>45870.0</v>
      </c>
      <c r="E103" s="2" t="s">
        <v>26</v>
      </c>
      <c r="F103" s="2" t="s">
        <v>27</v>
      </c>
      <c r="G103" s="2" t="s">
        <v>28</v>
      </c>
      <c r="H103" s="2" t="s">
        <v>195</v>
      </c>
      <c r="I103" s="2" t="s">
        <v>414</v>
      </c>
      <c r="J103" s="2"/>
    </row>
    <row r="104" ht="14.25" customHeight="1">
      <c r="A104" s="2" t="s">
        <v>415</v>
      </c>
      <c r="B104" s="2" t="s">
        <v>416</v>
      </c>
      <c r="C104" s="3">
        <v>45049.0</v>
      </c>
      <c r="D104" s="3">
        <v>45870.0</v>
      </c>
      <c r="E104" s="2" t="s">
        <v>12</v>
      </c>
      <c r="F104" s="2" t="s">
        <v>417</v>
      </c>
      <c r="G104" s="2" t="s">
        <v>409</v>
      </c>
      <c r="H104" s="2" t="s">
        <v>387</v>
      </c>
      <c r="I104" s="2"/>
      <c r="J104" s="2"/>
    </row>
    <row r="105" ht="14.25" customHeight="1">
      <c r="A105" s="2" t="s">
        <v>418</v>
      </c>
      <c r="B105" s="2" t="s">
        <v>419</v>
      </c>
      <c r="C105" s="3">
        <v>45734.0</v>
      </c>
      <c r="D105" s="3">
        <v>45870.0</v>
      </c>
      <c r="E105" s="2" t="s">
        <v>19</v>
      </c>
      <c r="F105" s="2" t="s">
        <v>20</v>
      </c>
      <c r="G105" s="2" t="s">
        <v>89</v>
      </c>
      <c r="H105" s="2" t="s">
        <v>22</v>
      </c>
      <c r="I105" s="2" t="s">
        <v>222</v>
      </c>
      <c r="J105" s="2"/>
    </row>
    <row r="106" ht="14.25" customHeight="1">
      <c r="A106" s="2" t="s">
        <v>420</v>
      </c>
      <c r="B106" s="2" t="s">
        <v>421</v>
      </c>
      <c r="C106" s="3">
        <v>42677.0</v>
      </c>
      <c r="D106" s="3">
        <v>45870.0</v>
      </c>
      <c r="E106" s="2" t="s">
        <v>26</v>
      </c>
      <c r="F106" s="2" t="s">
        <v>61</v>
      </c>
      <c r="G106" s="2" t="s">
        <v>422</v>
      </c>
      <c r="H106" s="2" t="s">
        <v>133</v>
      </c>
      <c r="I106" s="2"/>
      <c r="J106" s="2"/>
    </row>
    <row r="107" ht="14.25" customHeight="1">
      <c r="A107" s="2" t="s">
        <v>423</v>
      </c>
      <c r="B107" s="2" t="s">
        <v>424</v>
      </c>
      <c r="C107" s="3">
        <v>45280.0</v>
      </c>
      <c r="D107" s="3">
        <v>45870.0</v>
      </c>
      <c r="E107" s="2" t="s">
        <v>26</v>
      </c>
      <c r="F107" s="2" t="s">
        <v>27</v>
      </c>
      <c r="G107" s="2" t="s">
        <v>28</v>
      </c>
      <c r="H107" s="2" t="s">
        <v>195</v>
      </c>
      <c r="I107" s="2" t="s">
        <v>414</v>
      </c>
      <c r="J107" s="2"/>
    </row>
    <row r="108" ht="14.25" customHeight="1">
      <c r="A108" s="2" t="s">
        <v>425</v>
      </c>
      <c r="B108" s="2" t="s">
        <v>426</v>
      </c>
      <c r="C108" s="3">
        <v>45783.0</v>
      </c>
      <c r="D108" s="3">
        <v>45870.0</v>
      </c>
      <c r="E108" s="2" t="s">
        <v>26</v>
      </c>
      <c r="F108" s="2" t="s">
        <v>427</v>
      </c>
      <c r="G108" s="2" t="s">
        <v>428</v>
      </c>
      <c r="H108" s="2" t="s">
        <v>429</v>
      </c>
      <c r="I108" s="2" t="s">
        <v>430</v>
      </c>
      <c r="J108" s="2"/>
    </row>
    <row r="109" ht="14.25" customHeight="1">
      <c r="A109" s="2" t="s">
        <v>431</v>
      </c>
      <c r="B109" s="2" t="s">
        <v>432</v>
      </c>
      <c r="C109" s="3">
        <v>45055.0</v>
      </c>
      <c r="D109" s="3">
        <v>45843.0</v>
      </c>
      <c r="E109" s="2" t="s">
        <v>19</v>
      </c>
      <c r="F109" s="2" t="s">
        <v>433</v>
      </c>
      <c r="G109" s="2" t="s">
        <v>434</v>
      </c>
      <c r="H109" s="2" t="s">
        <v>435</v>
      </c>
      <c r="I109" s="2" t="s">
        <v>436</v>
      </c>
      <c r="J109" s="2"/>
    </row>
    <row r="110" ht="14.25" customHeight="1">
      <c r="A110" s="2" t="s">
        <v>437</v>
      </c>
      <c r="B110" s="2" t="s">
        <v>438</v>
      </c>
      <c r="C110" s="3">
        <v>44831.0</v>
      </c>
      <c r="D110" s="3">
        <v>45870.0</v>
      </c>
      <c r="E110" s="2" t="s">
        <v>26</v>
      </c>
      <c r="F110" s="2" t="s">
        <v>27</v>
      </c>
      <c r="G110" s="2" t="s">
        <v>62</v>
      </c>
      <c r="H110" s="2" t="s">
        <v>387</v>
      </c>
      <c r="I110" s="2" t="s">
        <v>231</v>
      </c>
      <c r="J110" s="2"/>
    </row>
    <row r="111" ht="14.25" customHeight="1">
      <c r="A111" s="2" t="s">
        <v>439</v>
      </c>
      <c r="B111" s="2" t="s">
        <v>440</v>
      </c>
      <c r="C111" s="3">
        <v>44908.0</v>
      </c>
      <c r="D111" s="3">
        <v>45870.0</v>
      </c>
      <c r="E111" s="2" t="s">
        <v>19</v>
      </c>
      <c r="F111" s="2" t="s">
        <v>78</v>
      </c>
      <c r="G111" s="2" t="s">
        <v>156</v>
      </c>
      <c r="H111" s="2" t="s">
        <v>80</v>
      </c>
      <c r="I111" s="2" t="s">
        <v>81</v>
      </c>
      <c r="J111" s="2"/>
    </row>
    <row r="112" ht="14.25" customHeight="1">
      <c r="A112" s="2" t="s">
        <v>441</v>
      </c>
      <c r="B112" s="2" t="s">
        <v>442</v>
      </c>
      <c r="C112" s="3">
        <v>45909.0</v>
      </c>
      <c r="D112" s="3">
        <v>45919.0</v>
      </c>
      <c r="E112" s="2" t="s">
        <v>26</v>
      </c>
      <c r="F112" s="2" t="s">
        <v>27</v>
      </c>
      <c r="G112" s="2" t="s">
        <v>303</v>
      </c>
      <c r="H112" s="2" t="s">
        <v>336</v>
      </c>
      <c r="I112" s="2"/>
      <c r="J112" s="2"/>
    </row>
    <row r="113" ht="14.25" customHeight="1">
      <c r="A113" s="2" t="s">
        <v>443</v>
      </c>
      <c r="B113" s="2" t="s">
        <v>444</v>
      </c>
      <c r="C113" s="3">
        <v>45300.0</v>
      </c>
      <c r="D113" s="3">
        <v>45870.0</v>
      </c>
      <c r="E113" s="2" t="s">
        <v>26</v>
      </c>
      <c r="F113" s="2" t="s">
        <v>50</v>
      </c>
      <c r="G113" s="2" t="s">
        <v>28</v>
      </c>
      <c r="H113" s="2" t="s">
        <v>52</v>
      </c>
      <c r="I113" s="2" t="s">
        <v>140</v>
      </c>
      <c r="J113" s="2"/>
    </row>
    <row r="114" ht="14.25" customHeight="1">
      <c r="A114" s="2" t="s">
        <v>445</v>
      </c>
      <c r="B114" s="2" t="s">
        <v>446</v>
      </c>
      <c r="C114" s="3">
        <v>44572.0</v>
      </c>
      <c r="D114" s="3">
        <v>45870.0</v>
      </c>
      <c r="E114" s="2" t="s">
        <v>111</v>
      </c>
      <c r="F114" s="2" t="s">
        <v>112</v>
      </c>
      <c r="G114" s="2" t="s">
        <v>447</v>
      </c>
      <c r="H114" s="2" t="s">
        <v>448</v>
      </c>
      <c r="I114" s="2" t="s">
        <v>161</v>
      </c>
      <c r="J114" s="2"/>
    </row>
    <row r="115" ht="14.25" customHeight="1">
      <c r="A115" s="2" t="s">
        <v>449</v>
      </c>
      <c r="B115" s="2" t="s">
        <v>450</v>
      </c>
      <c r="C115" s="3">
        <v>44641.0</v>
      </c>
      <c r="D115" s="3">
        <v>45870.0</v>
      </c>
      <c r="E115" s="2" t="s">
        <v>19</v>
      </c>
      <c r="F115" s="2" t="s">
        <v>248</v>
      </c>
      <c r="G115" s="2" t="s">
        <v>451</v>
      </c>
      <c r="H115" s="2" t="s">
        <v>452</v>
      </c>
      <c r="I115" s="2"/>
      <c r="J115" s="2"/>
    </row>
    <row r="116" ht="14.25" customHeight="1">
      <c r="A116" s="2" t="s">
        <v>453</v>
      </c>
      <c r="B116" s="2" t="s">
        <v>454</v>
      </c>
      <c r="C116" s="3">
        <v>45867.0</v>
      </c>
      <c r="D116" s="3">
        <v>45870.0</v>
      </c>
      <c r="E116" s="2" t="s">
        <v>26</v>
      </c>
      <c r="F116" s="2" t="s">
        <v>27</v>
      </c>
      <c r="G116" s="2" t="s">
        <v>51</v>
      </c>
      <c r="H116" s="2" t="s">
        <v>455</v>
      </c>
      <c r="I116" s="2"/>
      <c r="J116" s="2"/>
    </row>
    <row r="117" ht="14.25" customHeight="1">
      <c r="A117" s="2" t="s">
        <v>456</v>
      </c>
      <c r="B117" s="2" t="s">
        <v>457</v>
      </c>
      <c r="C117" s="3">
        <v>45280.0</v>
      </c>
      <c r="D117" s="3">
        <v>45870.0</v>
      </c>
      <c r="E117" s="2" t="s">
        <v>26</v>
      </c>
      <c r="F117" s="2" t="s">
        <v>61</v>
      </c>
      <c r="G117" s="2" t="s">
        <v>51</v>
      </c>
      <c r="H117" s="2" t="s">
        <v>458</v>
      </c>
      <c r="I117" s="2" t="s">
        <v>283</v>
      </c>
      <c r="J117" s="2"/>
    </row>
    <row r="118" ht="14.25" customHeight="1">
      <c r="A118" s="2" t="s">
        <v>459</v>
      </c>
      <c r="B118" s="2" t="s">
        <v>460</v>
      </c>
      <c r="C118" s="3">
        <v>42310.0</v>
      </c>
      <c r="D118" s="3">
        <v>45870.0</v>
      </c>
      <c r="E118" s="2" t="s">
        <v>26</v>
      </c>
      <c r="F118" s="2" t="s">
        <v>461</v>
      </c>
      <c r="G118" s="2" t="s">
        <v>462</v>
      </c>
      <c r="H118" s="2" t="s">
        <v>133</v>
      </c>
      <c r="I118" s="2"/>
      <c r="J118" s="2"/>
    </row>
    <row r="119" ht="14.25" customHeight="1">
      <c r="A119" s="2" t="s">
        <v>463</v>
      </c>
      <c r="B119" s="2" t="s">
        <v>464</v>
      </c>
      <c r="C119" s="3">
        <v>44726.0</v>
      </c>
      <c r="D119" s="3">
        <v>45870.0</v>
      </c>
      <c r="E119" s="2" t="s">
        <v>12</v>
      </c>
      <c r="F119" s="2" t="s">
        <v>465</v>
      </c>
      <c r="G119" s="2" t="s">
        <v>466</v>
      </c>
      <c r="H119" s="2" t="s">
        <v>63</v>
      </c>
      <c r="I119" s="2" t="s">
        <v>467</v>
      </c>
      <c r="J119" s="2"/>
    </row>
    <row r="120" ht="14.25" customHeight="1">
      <c r="A120" s="2" t="s">
        <v>468</v>
      </c>
      <c r="B120" s="2" t="s">
        <v>469</v>
      </c>
      <c r="C120" s="3">
        <v>44607.0</v>
      </c>
      <c r="D120" s="3">
        <v>45870.0</v>
      </c>
      <c r="E120" s="2" t="s">
        <v>26</v>
      </c>
      <c r="F120" s="2" t="s">
        <v>61</v>
      </c>
      <c r="G120" s="2" t="s">
        <v>51</v>
      </c>
      <c r="H120" s="2" t="s">
        <v>458</v>
      </c>
      <c r="I120" s="2" t="s">
        <v>283</v>
      </c>
      <c r="J120" s="2"/>
    </row>
    <row r="121" ht="14.25" customHeight="1">
      <c r="A121" s="2" t="s">
        <v>470</v>
      </c>
      <c r="B121" s="2" t="s">
        <v>471</v>
      </c>
      <c r="C121" s="3">
        <v>44565.0</v>
      </c>
      <c r="D121" s="3">
        <v>45870.0</v>
      </c>
      <c r="E121" s="2" t="s">
        <v>44</v>
      </c>
      <c r="F121" s="2" t="s">
        <v>472</v>
      </c>
      <c r="G121" s="2" t="s">
        <v>473</v>
      </c>
      <c r="H121" s="2" t="s">
        <v>474</v>
      </c>
      <c r="I121" s="2"/>
      <c r="J121" s="2"/>
    </row>
    <row r="122" ht="14.25" customHeight="1">
      <c r="A122" s="2" t="s">
        <v>475</v>
      </c>
      <c r="B122" s="2" t="s">
        <v>476</v>
      </c>
      <c r="C122" s="3">
        <v>44852.0</v>
      </c>
      <c r="D122" s="3">
        <v>45870.0</v>
      </c>
      <c r="E122" s="2" t="s">
        <v>111</v>
      </c>
      <c r="F122" s="2" t="s">
        <v>112</v>
      </c>
      <c r="G122" s="2" t="s">
        <v>28</v>
      </c>
      <c r="H122" s="2" t="s">
        <v>119</v>
      </c>
      <c r="I122" s="2" t="s">
        <v>161</v>
      </c>
      <c r="J122" s="2"/>
    </row>
    <row r="123" ht="14.25" customHeight="1">
      <c r="A123" s="2" t="s">
        <v>477</v>
      </c>
      <c r="B123" s="2" t="s">
        <v>478</v>
      </c>
      <c r="C123" s="3">
        <v>45265.0</v>
      </c>
      <c r="D123" s="3">
        <v>45870.0</v>
      </c>
      <c r="E123" s="2" t="s">
        <v>111</v>
      </c>
      <c r="F123" s="2" t="s">
        <v>363</v>
      </c>
      <c r="G123" s="2" t="s">
        <v>113</v>
      </c>
      <c r="H123" s="2" t="s">
        <v>160</v>
      </c>
      <c r="I123" s="2"/>
      <c r="J123" s="2"/>
    </row>
    <row r="124" ht="14.25" customHeight="1">
      <c r="A124" s="2" t="s">
        <v>479</v>
      </c>
      <c r="B124" s="2" t="s">
        <v>480</v>
      </c>
      <c r="C124" s="3">
        <v>45805.0</v>
      </c>
      <c r="D124" s="3">
        <v>45818.0</v>
      </c>
      <c r="E124" s="2" t="s">
        <v>19</v>
      </c>
      <c r="F124" s="2" t="s">
        <v>481</v>
      </c>
      <c r="G124" s="2" t="s">
        <v>198</v>
      </c>
      <c r="H124" s="2" t="s">
        <v>482</v>
      </c>
      <c r="I124" s="2" t="s">
        <v>70</v>
      </c>
      <c r="J124" s="2"/>
    </row>
    <row r="125" ht="14.25" customHeight="1">
      <c r="A125" s="2" t="s">
        <v>483</v>
      </c>
      <c r="B125" s="2" t="s">
        <v>484</v>
      </c>
      <c r="C125" s="3">
        <v>45300.0</v>
      </c>
      <c r="D125" s="3">
        <v>45870.0</v>
      </c>
      <c r="E125" s="2" t="s">
        <v>26</v>
      </c>
      <c r="F125" s="2" t="s">
        <v>50</v>
      </c>
      <c r="G125" s="2" t="s">
        <v>28</v>
      </c>
      <c r="H125" s="2" t="s">
        <v>52</v>
      </c>
      <c r="I125" s="2" t="s">
        <v>140</v>
      </c>
      <c r="J125" s="2"/>
    </row>
    <row r="126" ht="14.25" customHeight="1">
      <c r="A126" s="2" t="s">
        <v>485</v>
      </c>
      <c r="B126" s="2" t="s">
        <v>486</v>
      </c>
      <c r="C126" s="3">
        <v>44930.0</v>
      </c>
      <c r="D126" s="3">
        <v>45870.0</v>
      </c>
      <c r="E126" s="2" t="s">
        <v>12</v>
      </c>
      <c r="F126" s="2" t="s">
        <v>487</v>
      </c>
      <c r="G126" s="2" t="s">
        <v>488</v>
      </c>
      <c r="H126" s="2" t="s">
        <v>489</v>
      </c>
      <c r="I126" s="2" t="s">
        <v>490</v>
      </c>
      <c r="J126" s="2"/>
    </row>
    <row r="127" ht="14.25" customHeight="1">
      <c r="A127" s="2" t="s">
        <v>491</v>
      </c>
      <c r="B127" s="2" t="s">
        <v>492</v>
      </c>
      <c r="C127" s="3">
        <v>44985.0</v>
      </c>
      <c r="D127" s="3">
        <v>45870.0</v>
      </c>
      <c r="E127" s="2" t="s">
        <v>44</v>
      </c>
      <c r="F127" s="2" t="s">
        <v>164</v>
      </c>
      <c r="G127" s="2" t="s">
        <v>493</v>
      </c>
      <c r="H127" s="2" t="s">
        <v>399</v>
      </c>
      <c r="I127" s="2"/>
      <c r="J127" s="2"/>
    </row>
    <row r="128" ht="14.25" customHeight="1">
      <c r="A128" s="2" t="s">
        <v>494</v>
      </c>
      <c r="B128" s="2" t="s">
        <v>495</v>
      </c>
      <c r="C128" s="3">
        <v>45132.0</v>
      </c>
      <c r="D128" s="3">
        <v>45870.0</v>
      </c>
      <c r="E128" s="2" t="s">
        <v>26</v>
      </c>
      <c r="F128" s="2" t="s">
        <v>27</v>
      </c>
      <c r="G128" s="2" t="s">
        <v>128</v>
      </c>
      <c r="H128" s="2" t="s">
        <v>207</v>
      </c>
      <c r="I128" s="2" t="s">
        <v>208</v>
      </c>
      <c r="J128" s="2"/>
    </row>
    <row r="129" ht="14.25" customHeight="1">
      <c r="A129" s="2" t="s">
        <v>496</v>
      </c>
      <c r="B129" s="2" t="s">
        <v>497</v>
      </c>
      <c r="C129" s="3">
        <v>45028.0</v>
      </c>
      <c r="D129" s="3">
        <v>45820.0</v>
      </c>
      <c r="E129" s="2" t="s">
        <v>19</v>
      </c>
      <c r="F129" s="2" t="s">
        <v>433</v>
      </c>
      <c r="G129" s="2" t="s">
        <v>498</v>
      </c>
      <c r="H129" s="2" t="s">
        <v>380</v>
      </c>
      <c r="I129" s="2" t="s">
        <v>436</v>
      </c>
      <c r="J129" s="2"/>
    </row>
    <row r="130" ht="14.25" customHeight="1">
      <c r="A130" s="2" t="s">
        <v>499</v>
      </c>
      <c r="B130" s="2" t="s">
        <v>500</v>
      </c>
      <c r="C130" s="3">
        <v>45468.0</v>
      </c>
      <c r="D130" s="3">
        <v>45870.0</v>
      </c>
      <c r="E130" s="2" t="s">
        <v>111</v>
      </c>
      <c r="F130" s="2" t="s">
        <v>112</v>
      </c>
      <c r="G130" s="2" t="s">
        <v>351</v>
      </c>
      <c r="H130" s="2" t="s">
        <v>448</v>
      </c>
      <c r="I130" s="2" t="s">
        <v>161</v>
      </c>
      <c r="J130" s="2"/>
    </row>
    <row r="131" ht="14.25" customHeight="1">
      <c r="A131" s="2" t="s">
        <v>501</v>
      </c>
      <c r="B131" s="2" t="s">
        <v>502</v>
      </c>
      <c r="C131" s="3">
        <v>45888.0</v>
      </c>
      <c r="D131" s="3">
        <v>45888.0</v>
      </c>
      <c r="E131" s="2" t="s">
        <v>33</v>
      </c>
      <c r="F131" s="2" t="s">
        <v>503</v>
      </c>
      <c r="G131" s="2" t="s">
        <v>504</v>
      </c>
      <c r="H131" s="2" t="s">
        <v>505</v>
      </c>
      <c r="I131" s="2"/>
      <c r="J131" s="2"/>
    </row>
    <row r="132" ht="14.25" customHeight="1">
      <c r="A132" s="2" t="s">
        <v>506</v>
      </c>
      <c r="B132" s="2" t="s">
        <v>507</v>
      </c>
      <c r="C132" s="3">
        <v>45454.0</v>
      </c>
      <c r="D132" s="3">
        <v>45870.0</v>
      </c>
      <c r="E132" s="2" t="s">
        <v>12</v>
      </c>
      <c r="F132" s="2" t="s">
        <v>254</v>
      </c>
      <c r="G132" s="2" t="s">
        <v>508</v>
      </c>
      <c r="H132" s="2" t="s">
        <v>133</v>
      </c>
      <c r="I132" s="2"/>
      <c r="J132" s="2"/>
    </row>
    <row r="133" ht="14.25" customHeight="1">
      <c r="A133" s="2" t="s">
        <v>509</v>
      </c>
      <c r="B133" s="2" t="s">
        <v>510</v>
      </c>
      <c r="C133" s="3">
        <v>45146.0</v>
      </c>
      <c r="D133" s="3">
        <v>45874.0</v>
      </c>
      <c r="E133" s="2" t="s">
        <v>26</v>
      </c>
      <c r="F133" s="2" t="s">
        <v>50</v>
      </c>
      <c r="G133" s="2" t="s">
        <v>511</v>
      </c>
      <c r="H133" s="2" t="s">
        <v>333</v>
      </c>
      <c r="I133" s="2" t="s">
        <v>312</v>
      </c>
      <c r="J133" s="2"/>
    </row>
    <row r="134" ht="14.25" customHeight="1">
      <c r="A134" s="2" t="s">
        <v>512</v>
      </c>
      <c r="B134" s="2" t="s">
        <v>513</v>
      </c>
      <c r="C134" s="3">
        <v>45013.0</v>
      </c>
      <c r="D134" s="3">
        <v>45444.0</v>
      </c>
      <c r="E134" s="2" t="s">
        <v>19</v>
      </c>
      <c r="F134" s="2" t="s">
        <v>78</v>
      </c>
      <c r="G134" s="2" t="s">
        <v>514</v>
      </c>
      <c r="H134" s="2" t="s">
        <v>265</v>
      </c>
      <c r="I134" s="2" t="s">
        <v>515</v>
      </c>
      <c r="J134" s="2"/>
    </row>
    <row r="135" ht="14.25" customHeight="1">
      <c r="A135" s="2" t="s">
        <v>516</v>
      </c>
      <c r="B135" s="2" t="s">
        <v>517</v>
      </c>
      <c r="C135" s="3">
        <v>45069.0</v>
      </c>
      <c r="D135" s="3">
        <v>45845.0</v>
      </c>
      <c r="E135" s="2" t="s">
        <v>33</v>
      </c>
      <c r="F135" s="2" t="s">
        <v>315</v>
      </c>
      <c r="G135" s="2" t="s">
        <v>518</v>
      </c>
      <c r="H135" s="2" t="s">
        <v>519</v>
      </c>
      <c r="I135" s="2" t="s">
        <v>520</v>
      </c>
      <c r="J135" s="2"/>
    </row>
    <row r="136" ht="14.25" customHeight="1">
      <c r="A136" s="2" t="s">
        <v>521</v>
      </c>
      <c r="B136" s="2" t="s">
        <v>522</v>
      </c>
      <c r="C136" s="3">
        <v>45160.0</v>
      </c>
      <c r="D136" s="3">
        <v>45870.0</v>
      </c>
      <c r="E136" s="2" t="s">
        <v>26</v>
      </c>
      <c r="F136" s="2" t="s">
        <v>50</v>
      </c>
      <c r="G136" s="2" t="s">
        <v>372</v>
      </c>
      <c r="H136" s="2" t="s">
        <v>52</v>
      </c>
      <c r="I136" s="2" t="s">
        <v>231</v>
      </c>
      <c r="J136" s="2"/>
    </row>
    <row r="137" ht="14.25" customHeight="1">
      <c r="A137" s="2" t="s">
        <v>523</v>
      </c>
      <c r="B137" s="2" t="s">
        <v>524</v>
      </c>
      <c r="C137" s="3">
        <v>45132.0</v>
      </c>
      <c r="D137" s="3">
        <v>45627.0</v>
      </c>
      <c r="E137" s="2" t="s">
        <v>33</v>
      </c>
      <c r="F137" s="2" t="s">
        <v>39</v>
      </c>
      <c r="G137" s="2" t="s">
        <v>405</v>
      </c>
      <c r="H137" s="2" t="s">
        <v>525</v>
      </c>
      <c r="I137" s="2"/>
      <c r="J137" s="2"/>
    </row>
    <row r="138" ht="14.25" customHeight="1">
      <c r="A138" s="2" t="s">
        <v>526</v>
      </c>
      <c r="B138" s="2" t="s">
        <v>527</v>
      </c>
      <c r="C138" s="3">
        <v>45209.0</v>
      </c>
      <c r="D138" s="3">
        <v>45870.0</v>
      </c>
      <c r="E138" s="2" t="s">
        <v>19</v>
      </c>
      <c r="F138" s="2" t="s">
        <v>181</v>
      </c>
      <c r="G138" s="2" t="s">
        <v>182</v>
      </c>
      <c r="H138" s="2" t="s">
        <v>360</v>
      </c>
      <c r="I138" s="2" t="s">
        <v>184</v>
      </c>
      <c r="J138" s="2"/>
    </row>
    <row r="139" ht="14.25" customHeight="1">
      <c r="A139" s="2" t="s">
        <v>528</v>
      </c>
      <c r="B139" s="2" t="s">
        <v>529</v>
      </c>
      <c r="C139" s="3">
        <v>44734.0</v>
      </c>
      <c r="D139" s="3">
        <v>45870.0</v>
      </c>
      <c r="E139" s="2" t="s">
        <v>111</v>
      </c>
      <c r="F139" s="2" t="s">
        <v>363</v>
      </c>
      <c r="G139" s="2" t="s">
        <v>530</v>
      </c>
      <c r="H139" s="2" t="s">
        <v>75</v>
      </c>
      <c r="I139" s="2"/>
      <c r="J139" s="2"/>
    </row>
    <row r="140" ht="14.25" customHeight="1">
      <c r="A140" s="2" t="s">
        <v>531</v>
      </c>
      <c r="B140" s="2" t="s">
        <v>532</v>
      </c>
      <c r="C140" s="3">
        <v>44720.0</v>
      </c>
      <c r="D140" s="3">
        <v>45880.0</v>
      </c>
      <c r="E140" s="2" t="s">
        <v>26</v>
      </c>
      <c r="F140" s="2" t="s">
        <v>50</v>
      </c>
      <c r="G140" s="2" t="s">
        <v>533</v>
      </c>
      <c r="H140" s="2" t="s">
        <v>133</v>
      </c>
      <c r="I140" s="2"/>
      <c r="J140" s="2"/>
    </row>
    <row r="141" ht="14.25" customHeight="1">
      <c r="A141" s="2" t="s">
        <v>534</v>
      </c>
      <c r="B141" s="2" t="s">
        <v>535</v>
      </c>
      <c r="C141" s="3">
        <v>45189.0</v>
      </c>
      <c r="D141" s="3">
        <v>45689.0</v>
      </c>
      <c r="E141" s="2" t="s">
        <v>19</v>
      </c>
      <c r="F141" s="2" t="s">
        <v>536</v>
      </c>
      <c r="G141" s="2" t="s">
        <v>537</v>
      </c>
      <c r="H141" s="2" t="s">
        <v>538</v>
      </c>
      <c r="I141" s="2" t="s">
        <v>328</v>
      </c>
      <c r="J141" s="2"/>
    </row>
    <row r="142" ht="14.25" customHeight="1">
      <c r="A142" s="2" t="s">
        <v>539</v>
      </c>
      <c r="B142" s="2" t="s">
        <v>540</v>
      </c>
      <c r="C142" s="3">
        <v>45867.0</v>
      </c>
      <c r="D142" s="3">
        <v>45909.0</v>
      </c>
      <c r="E142" s="2" t="s">
        <v>26</v>
      </c>
      <c r="F142" s="2" t="s">
        <v>50</v>
      </c>
      <c r="G142" s="2" t="s">
        <v>372</v>
      </c>
      <c r="H142" s="2" t="s">
        <v>129</v>
      </c>
      <c r="I142" s="2" t="s">
        <v>312</v>
      </c>
      <c r="J142" s="2"/>
    </row>
    <row r="143" ht="14.25" customHeight="1">
      <c r="A143" s="2" t="s">
        <v>541</v>
      </c>
      <c r="B143" s="2" t="s">
        <v>542</v>
      </c>
      <c r="C143" s="3">
        <v>44992.0</v>
      </c>
      <c r="D143" s="3">
        <v>45870.0</v>
      </c>
      <c r="E143" s="2" t="s">
        <v>19</v>
      </c>
      <c r="F143" s="2" t="s">
        <v>181</v>
      </c>
      <c r="G143" s="2" t="s">
        <v>182</v>
      </c>
      <c r="H143" s="2" t="s">
        <v>360</v>
      </c>
      <c r="I143" s="2" t="s">
        <v>111</v>
      </c>
      <c r="J143" s="2"/>
    </row>
    <row r="144" ht="14.25" customHeight="1">
      <c r="A144" s="2" t="s">
        <v>543</v>
      </c>
      <c r="B144" s="2"/>
      <c r="C144" s="3">
        <v>45915.0</v>
      </c>
      <c r="D144" s="3">
        <v>45922.0</v>
      </c>
      <c r="E144" s="2" t="s">
        <v>33</v>
      </c>
      <c r="F144" s="2" t="s">
        <v>34</v>
      </c>
      <c r="G144" s="2" t="s">
        <v>544</v>
      </c>
      <c r="H144" s="2" t="s">
        <v>545</v>
      </c>
      <c r="I144" s="2"/>
      <c r="J144" s="2"/>
    </row>
    <row r="145" ht="14.25" customHeight="1">
      <c r="A145" s="2" t="s">
        <v>546</v>
      </c>
      <c r="B145" s="2" t="s">
        <v>547</v>
      </c>
      <c r="C145" s="3">
        <v>45300.0</v>
      </c>
      <c r="D145" s="3">
        <v>45870.0</v>
      </c>
      <c r="E145" s="2" t="s">
        <v>12</v>
      </c>
      <c r="F145" s="2" t="s">
        <v>548</v>
      </c>
      <c r="G145" s="2" t="s">
        <v>549</v>
      </c>
      <c r="H145" s="2" t="s">
        <v>550</v>
      </c>
      <c r="I145" s="2" t="s">
        <v>467</v>
      </c>
      <c r="J145" s="2"/>
    </row>
    <row r="146" ht="14.25" customHeight="1">
      <c r="A146" s="2" t="s">
        <v>551</v>
      </c>
      <c r="B146" s="2" t="s">
        <v>552</v>
      </c>
      <c r="C146" s="3">
        <v>44018.0</v>
      </c>
      <c r="D146" s="3">
        <v>45455.0</v>
      </c>
      <c r="E146" s="2" t="s">
        <v>33</v>
      </c>
      <c r="F146" s="2" t="s">
        <v>503</v>
      </c>
      <c r="G146" s="2" t="s">
        <v>553</v>
      </c>
      <c r="H146" s="2" t="s">
        <v>554</v>
      </c>
      <c r="I146" s="2"/>
      <c r="J146" s="2"/>
    </row>
    <row r="147" ht="14.25" customHeight="1">
      <c r="A147" s="2" t="s">
        <v>555</v>
      </c>
      <c r="B147" s="2" t="s">
        <v>556</v>
      </c>
      <c r="C147" s="3">
        <v>45776.0</v>
      </c>
      <c r="D147" s="3">
        <v>45870.0</v>
      </c>
      <c r="E147" s="2" t="s">
        <v>26</v>
      </c>
      <c r="F147" s="2" t="s">
        <v>27</v>
      </c>
      <c r="G147" s="2" t="s">
        <v>533</v>
      </c>
      <c r="H147" s="2" t="s">
        <v>387</v>
      </c>
      <c r="I147" s="2"/>
      <c r="J147" s="2"/>
    </row>
    <row r="148" ht="14.25" customHeight="1">
      <c r="A148" s="2" t="s">
        <v>557</v>
      </c>
      <c r="B148" s="2" t="s">
        <v>558</v>
      </c>
      <c r="C148" s="3">
        <v>45426.0</v>
      </c>
      <c r="D148" s="3">
        <v>45870.0</v>
      </c>
      <c r="E148" s="2" t="s">
        <v>19</v>
      </c>
      <c r="F148" s="2" t="s">
        <v>176</v>
      </c>
      <c r="G148" s="2" t="s">
        <v>559</v>
      </c>
      <c r="H148" s="2" t="s">
        <v>327</v>
      </c>
      <c r="I148" s="2" t="s">
        <v>328</v>
      </c>
      <c r="J148" s="2"/>
    </row>
    <row r="149" ht="14.25" customHeight="1">
      <c r="A149" s="2" t="s">
        <v>560</v>
      </c>
      <c r="B149" s="2" t="s">
        <v>561</v>
      </c>
      <c r="C149" s="3">
        <v>44761.0</v>
      </c>
      <c r="D149" s="3">
        <v>45870.0</v>
      </c>
      <c r="E149" s="2" t="s">
        <v>26</v>
      </c>
      <c r="F149" s="2" t="s">
        <v>147</v>
      </c>
      <c r="G149" s="2" t="s">
        <v>28</v>
      </c>
      <c r="H149" s="2" t="s">
        <v>562</v>
      </c>
      <c r="I149" s="2" t="s">
        <v>104</v>
      </c>
      <c r="J149" s="2"/>
    </row>
    <row r="150" ht="14.25" customHeight="1">
      <c r="A150" s="2" t="s">
        <v>563</v>
      </c>
      <c r="B150" s="2" t="s">
        <v>564</v>
      </c>
      <c r="C150" s="3">
        <v>44692.0</v>
      </c>
      <c r="D150" s="3">
        <v>45870.0</v>
      </c>
      <c r="E150" s="2" t="s">
        <v>26</v>
      </c>
      <c r="F150" s="2" t="s">
        <v>147</v>
      </c>
      <c r="G150" s="2" t="s">
        <v>372</v>
      </c>
      <c r="H150" s="2" t="s">
        <v>304</v>
      </c>
      <c r="I150" s="2" t="s">
        <v>565</v>
      </c>
      <c r="J150" s="2"/>
    </row>
    <row r="151" ht="14.25" customHeight="1">
      <c r="A151" s="2" t="s">
        <v>566</v>
      </c>
      <c r="B151" s="2" t="s">
        <v>567</v>
      </c>
      <c r="C151" s="3">
        <v>44652.0</v>
      </c>
      <c r="D151" s="3">
        <v>45870.0</v>
      </c>
      <c r="E151" s="2" t="s">
        <v>26</v>
      </c>
      <c r="F151" s="2" t="s">
        <v>50</v>
      </c>
      <c r="G151" s="2" t="s">
        <v>28</v>
      </c>
      <c r="H151" s="2" t="s">
        <v>568</v>
      </c>
      <c r="I151" s="2" t="s">
        <v>569</v>
      </c>
      <c r="J151" s="2"/>
    </row>
    <row r="152" ht="14.25" customHeight="1">
      <c r="A152" s="2" t="s">
        <v>570</v>
      </c>
      <c r="B152" s="2" t="s">
        <v>571</v>
      </c>
      <c r="C152" s="3">
        <v>44831.0</v>
      </c>
      <c r="D152" s="3">
        <v>45870.0</v>
      </c>
      <c r="E152" s="2" t="s">
        <v>19</v>
      </c>
      <c r="F152" s="2" t="s">
        <v>78</v>
      </c>
      <c r="G152" s="2" t="s">
        <v>156</v>
      </c>
      <c r="H152" s="2" t="s">
        <v>80</v>
      </c>
      <c r="I152" s="2" t="s">
        <v>81</v>
      </c>
      <c r="J152" s="2"/>
    </row>
    <row r="153" ht="14.25" customHeight="1">
      <c r="A153" s="2" t="s">
        <v>572</v>
      </c>
      <c r="B153" s="2" t="s">
        <v>573</v>
      </c>
      <c r="C153" s="3">
        <v>44453.0</v>
      </c>
      <c r="D153" s="3">
        <v>45870.0</v>
      </c>
      <c r="E153" s="2" t="s">
        <v>111</v>
      </c>
      <c r="F153" s="2" t="s">
        <v>112</v>
      </c>
      <c r="G153" s="2" t="s">
        <v>447</v>
      </c>
      <c r="H153" s="2" t="s">
        <v>352</v>
      </c>
      <c r="I153" s="2" t="s">
        <v>161</v>
      </c>
      <c r="J153" s="2"/>
    </row>
    <row r="154" ht="14.25" customHeight="1">
      <c r="A154" s="2" t="s">
        <v>574</v>
      </c>
      <c r="B154" s="2" t="s">
        <v>575</v>
      </c>
      <c r="C154" s="3">
        <v>45692.0</v>
      </c>
      <c r="D154" s="3">
        <v>45870.0</v>
      </c>
      <c r="E154" s="2" t="s">
        <v>19</v>
      </c>
      <c r="F154" s="2" t="s">
        <v>181</v>
      </c>
      <c r="G154" s="2" t="s">
        <v>182</v>
      </c>
      <c r="H154" s="2" t="s">
        <v>183</v>
      </c>
      <c r="I154" s="2"/>
      <c r="J154" s="2"/>
    </row>
    <row r="155" ht="14.25" customHeight="1">
      <c r="A155" s="2" t="s">
        <v>576</v>
      </c>
      <c r="B155" s="2" t="s">
        <v>577</v>
      </c>
      <c r="C155" s="3">
        <v>45013.0</v>
      </c>
      <c r="D155" s="3">
        <v>45870.0</v>
      </c>
      <c r="E155" s="2" t="s">
        <v>44</v>
      </c>
      <c r="F155" s="2" t="s">
        <v>472</v>
      </c>
      <c r="G155" s="2" t="s">
        <v>578</v>
      </c>
      <c r="H155" s="2" t="s">
        <v>474</v>
      </c>
      <c r="I155" s="2"/>
      <c r="J155" s="2"/>
    </row>
    <row r="156" ht="14.25" customHeight="1">
      <c r="A156" s="2" t="s">
        <v>579</v>
      </c>
      <c r="B156" s="2" t="s">
        <v>580</v>
      </c>
      <c r="C156" s="3">
        <v>44726.0</v>
      </c>
      <c r="D156" s="3">
        <v>45870.0</v>
      </c>
      <c r="E156" s="2" t="s">
        <v>44</v>
      </c>
      <c r="F156" s="2" t="s">
        <v>164</v>
      </c>
      <c r="G156" s="2" t="s">
        <v>581</v>
      </c>
      <c r="H156" s="2" t="s">
        <v>582</v>
      </c>
      <c r="I156" s="2"/>
      <c r="J156" s="2"/>
    </row>
    <row r="157" ht="14.25" customHeight="1">
      <c r="A157" s="2" t="s">
        <v>583</v>
      </c>
      <c r="B157" s="2" t="s">
        <v>584</v>
      </c>
      <c r="C157" s="3">
        <v>45698.0</v>
      </c>
      <c r="D157" s="3">
        <v>45870.0</v>
      </c>
      <c r="E157" s="2" t="s">
        <v>12</v>
      </c>
      <c r="F157" s="2" t="s">
        <v>548</v>
      </c>
      <c r="G157" s="2" t="s">
        <v>585</v>
      </c>
      <c r="H157" s="2" t="s">
        <v>133</v>
      </c>
      <c r="I157" s="2"/>
      <c r="J157" s="2"/>
    </row>
    <row r="158" ht="14.25" customHeight="1">
      <c r="A158" s="2" t="s">
        <v>586</v>
      </c>
      <c r="B158" s="2" t="s">
        <v>587</v>
      </c>
      <c r="C158" s="3">
        <v>45308.0</v>
      </c>
      <c r="D158" s="3">
        <v>45870.0</v>
      </c>
      <c r="E158" s="2" t="s">
        <v>26</v>
      </c>
      <c r="F158" s="2" t="s">
        <v>50</v>
      </c>
      <c r="G158" s="2" t="s">
        <v>28</v>
      </c>
      <c r="H158" s="2" t="s">
        <v>52</v>
      </c>
      <c r="I158" s="2" t="s">
        <v>231</v>
      </c>
      <c r="J158" s="2"/>
    </row>
    <row r="159" ht="14.25" customHeight="1">
      <c r="A159" s="2" t="s">
        <v>588</v>
      </c>
      <c r="B159" s="2" t="s">
        <v>589</v>
      </c>
      <c r="C159" s="3">
        <v>44915.0</v>
      </c>
      <c r="D159" s="3">
        <v>45870.0</v>
      </c>
      <c r="E159" s="2" t="s">
        <v>44</v>
      </c>
      <c r="F159" s="2" t="s">
        <v>164</v>
      </c>
      <c r="G159" s="2" t="s">
        <v>590</v>
      </c>
      <c r="H159" s="2" t="s">
        <v>582</v>
      </c>
      <c r="I159" s="2" t="s">
        <v>81</v>
      </c>
      <c r="J159" s="2"/>
    </row>
    <row r="160" ht="14.25" customHeight="1">
      <c r="A160" s="2" t="s">
        <v>591</v>
      </c>
      <c r="B160" s="2" t="s">
        <v>592</v>
      </c>
      <c r="C160" s="3">
        <v>44684.0</v>
      </c>
      <c r="D160" s="3">
        <v>45870.0</v>
      </c>
      <c r="E160" s="2" t="s">
        <v>26</v>
      </c>
      <c r="F160" s="2" t="s">
        <v>147</v>
      </c>
      <c r="G160" s="2" t="s">
        <v>372</v>
      </c>
      <c r="H160" s="2" t="s">
        <v>304</v>
      </c>
      <c r="I160" s="2" t="s">
        <v>16</v>
      </c>
      <c r="J160" s="2"/>
    </row>
    <row r="161" ht="14.25" customHeight="1">
      <c r="A161" s="2" t="s">
        <v>593</v>
      </c>
      <c r="B161" s="2" t="s">
        <v>594</v>
      </c>
      <c r="C161" s="3">
        <v>45077.0</v>
      </c>
      <c r="D161" s="3">
        <v>45870.0</v>
      </c>
      <c r="E161" s="2" t="s">
        <v>26</v>
      </c>
      <c r="F161" s="2" t="s">
        <v>427</v>
      </c>
      <c r="G161" s="2" t="s">
        <v>428</v>
      </c>
      <c r="H161" s="2" t="s">
        <v>429</v>
      </c>
      <c r="I161" s="2" t="s">
        <v>595</v>
      </c>
      <c r="J161" s="2"/>
    </row>
    <row r="162" ht="14.25" customHeight="1">
      <c r="A162" s="2" t="s">
        <v>596</v>
      </c>
      <c r="B162" s="2" t="s">
        <v>597</v>
      </c>
      <c r="C162" s="3">
        <v>45797.0</v>
      </c>
      <c r="D162" s="3">
        <v>45870.0</v>
      </c>
      <c r="E162" s="2" t="s">
        <v>26</v>
      </c>
      <c r="F162" s="2" t="s">
        <v>598</v>
      </c>
      <c r="G162" s="2" t="s">
        <v>599</v>
      </c>
      <c r="H162" s="2" t="s">
        <v>550</v>
      </c>
      <c r="I162" s="2" t="s">
        <v>600</v>
      </c>
      <c r="J162" s="2"/>
    </row>
    <row r="163" ht="14.25" customHeight="1">
      <c r="A163" s="2" t="s">
        <v>601</v>
      </c>
      <c r="B163" s="2" t="s">
        <v>602</v>
      </c>
      <c r="C163" s="3">
        <v>45083.0</v>
      </c>
      <c r="D163" s="3">
        <v>45870.0</v>
      </c>
      <c r="E163" s="2" t="s">
        <v>26</v>
      </c>
      <c r="F163" s="2" t="s">
        <v>61</v>
      </c>
      <c r="G163" s="2" t="s">
        <v>511</v>
      </c>
      <c r="H163" s="2" t="s">
        <v>63</v>
      </c>
      <c r="I163" s="2" t="s">
        <v>100</v>
      </c>
      <c r="J163" s="2"/>
    </row>
    <row r="164" ht="14.25" customHeight="1">
      <c r="A164" s="2" t="s">
        <v>603</v>
      </c>
      <c r="B164" s="2" t="s">
        <v>604</v>
      </c>
      <c r="C164" s="3">
        <v>45265.0</v>
      </c>
      <c r="D164" s="3">
        <v>45870.0</v>
      </c>
      <c r="E164" s="2" t="s">
        <v>26</v>
      </c>
      <c r="F164" s="2" t="s">
        <v>61</v>
      </c>
      <c r="G164" s="2" t="s">
        <v>28</v>
      </c>
      <c r="H164" s="2" t="s">
        <v>288</v>
      </c>
      <c r="I164" s="2" t="s">
        <v>64</v>
      </c>
      <c r="J164" s="2"/>
    </row>
    <row r="165" ht="14.25" customHeight="1">
      <c r="A165" s="2" t="s">
        <v>605</v>
      </c>
      <c r="B165" s="2" t="s">
        <v>606</v>
      </c>
      <c r="C165" s="3">
        <v>45363.0</v>
      </c>
      <c r="D165" s="3">
        <v>45870.0</v>
      </c>
      <c r="E165" s="2" t="s">
        <v>26</v>
      </c>
      <c r="F165" s="2" t="s">
        <v>147</v>
      </c>
      <c r="G165" s="2" t="s">
        <v>28</v>
      </c>
      <c r="H165" s="2" t="s">
        <v>304</v>
      </c>
      <c r="I165" s="2" t="s">
        <v>16</v>
      </c>
      <c r="J165" s="2"/>
    </row>
    <row r="166" ht="14.25" customHeight="1">
      <c r="A166" s="2" t="s">
        <v>607</v>
      </c>
      <c r="B166" s="2" t="s">
        <v>608</v>
      </c>
      <c r="C166" s="3">
        <v>44740.0</v>
      </c>
      <c r="D166" s="3">
        <v>45870.0</v>
      </c>
      <c r="E166" s="2" t="s">
        <v>26</v>
      </c>
      <c r="F166" s="2" t="s">
        <v>461</v>
      </c>
      <c r="G166" s="2" t="s">
        <v>533</v>
      </c>
      <c r="H166" s="2" t="s">
        <v>410</v>
      </c>
      <c r="I166" s="2" t="s">
        <v>609</v>
      </c>
      <c r="J166" s="2"/>
    </row>
    <row r="167" ht="14.25" customHeight="1">
      <c r="A167" s="2" t="s">
        <v>610</v>
      </c>
      <c r="B167" s="2" t="s">
        <v>611</v>
      </c>
      <c r="C167" s="3">
        <v>45489.0</v>
      </c>
      <c r="D167" s="3">
        <v>45489.0</v>
      </c>
      <c r="E167" s="2" t="s">
        <v>19</v>
      </c>
      <c r="F167" s="2" t="s">
        <v>612</v>
      </c>
      <c r="G167" s="2" t="s">
        <v>198</v>
      </c>
      <c r="H167" s="2" t="s">
        <v>613</v>
      </c>
      <c r="I167" s="2" t="s">
        <v>70</v>
      </c>
      <c r="J167" s="2"/>
    </row>
    <row r="168" ht="14.25" customHeight="1">
      <c r="A168" s="2" t="s">
        <v>614</v>
      </c>
      <c r="B168" s="2" t="s">
        <v>615</v>
      </c>
      <c r="C168" s="3">
        <v>45741.0</v>
      </c>
      <c r="D168" s="3">
        <v>45870.0</v>
      </c>
      <c r="E168" s="2" t="s">
        <v>26</v>
      </c>
      <c r="F168" s="2" t="s">
        <v>27</v>
      </c>
      <c r="G168" s="2" t="s">
        <v>533</v>
      </c>
      <c r="H168" s="2" t="s">
        <v>133</v>
      </c>
      <c r="I168" s="2"/>
      <c r="J168" s="2"/>
    </row>
    <row r="169" ht="14.25" customHeight="1">
      <c r="A169" s="2" t="s">
        <v>616</v>
      </c>
      <c r="B169" s="2" t="s">
        <v>617</v>
      </c>
      <c r="C169" s="3">
        <v>44964.0</v>
      </c>
      <c r="D169" s="3">
        <v>45870.0</v>
      </c>
      <c r="E169" s="2" t="s">
        <v>26</v>
      </c>
      <c r="F169" s="2" t="s">
        <v>27</v>
      </c>
      <c r="G169" s="2" t="s">
        <v>51</v>
      </c>
      <c r="H169" s="2" t="s">
        <v>29</v>
      </c>
      <c r="I169" s="2" t="s">
        <v>30</v>
      </c>
      <c r="J169" s="2"/>
    </row>
    <row r="170" ht="14.25" customHeight="1">
      <c r="A170" s="2" t="s">
        <v>618</v>
      </c>
      <c r="B170" s="2" t="s">
        <v>619</v>
      </c>
      <c r="C170" s="3">
        <v>44894.0</v>
      </c>
      <c r="D170" s="3">
        <v>45870.0</v>
      </c>
      <c r="E170" s="2" t="s">
        <v>26</v>
      </c>
      <c r="F170" s="2" t="s">
        <v>27</v>
      </c>
      <c r="G170" s="2" t="s">
        <v>620</v>
      </c>
      <c r="H170" s="2" t="s">
        <v>207</v>
      </c>
      <c r="I170" s="2" t="s">
        <v>208</v>
      </c>
      <c r="J170" s="2"/>
    </row>
    <row r="171" ht="14.25" customHeight="1">
      <c r="A171" s="2" t="s">
        <v>621</v>
      </c>
      <c r="B171" s="2" t="s">
        <v>622</v>
      </c>
      <c r="C171" s="3">
        <v>45294.0</v>
      </c>
      <c r="D171" s="3">
        <v>45897.0</v>
      </c>
      <c r="E171" s="2" t="s">
        <v>26</v>
      </c>
      <c r="F171" s="2" t="s">
        <v>27</v>
      </c>
      <c r="G171" s="2" t="s">
        <v>28</v>
      </c>
      <c r="H171" s="2" t="s">
        <v>29</v>
      </c>
      <c r="I171" s="2" t="s">
        <v>30</v>
      </c>
      <c r="J171" s="2"/>
    </row>
    <row r="172" ht="14.25" customHeight="1">
      <c r="A172" s="2" t="s">
        <v>623</v>
      </c>
      <c r="B172" s="2" t="s">
        <v>624</v>
      </c>
      <c r="C172" s="3">
        <v>44670.0</v>
      </c>
      <c r="D172" s="3">
        <v>45870.0</v>
      </c>
      <c r="E172" s="2" t="s">
        <v>26</v>
      </c>
      <c r="F172" s="2" t="s">
        <v>27</v>
      </c>
      <c r="G172" s="2" t="s">
        <v>28</v>
      </c>
      <c r="H172" s="2" t="s">
        <v>336</v>
      </c>
      <c r="I172" s="2" t="s">
        <v>337</v>
      </c>
      <c r="J172" s="2"/>
    </row>
    <row r="173" ht="14.25" customHeight="1">
      <c r="A173" s="2" t="s">
        <v>625</v>
      </c>
      <c r="B173" s="2" t="s">
        <v>626</v>
      </c>
      <c r="C173" s="3">
        <v>45482.0</v>
      </c>
      <c r="D173" s="3">
        <v>45888.0</v>
      </c>
      <c r="E173" s="2" t="s">
        <v>12</v>
      </c>
      <c r="F173" s="2" t="s">
        <v>201</v>
      </c>
      <c r="G173" s="2" t="s">
        <v>627</v>
      </c>
      <c r="H173" s="2" t="s">
        <v>15</v>
      </c>
      <c r="I173" s="2" t="s">
        <v>628</v>
      </c>
      <c r="J173" s="2"/>
    </row>
    <row r="174" ht="14.25" customHeight="1">
      <c r="A174" s="2" t="s">
        <v>629</v>
      </c>
      <c r="B174" s="2" t="s">
        <v>630</v>
      </c>
      <c r="C174" s="3">
        <v>45181.0</v>
      </c>
      <c r="D174" s="3">
        <v>45909.0</v>
      </c>
      <c r="E174" s="2" t="s">
        <v>26</v>
      </c>
      <c r="F174" s="2" t="s">
        <v>50</v>
      </c>
      <c r="G174" s="2" t="s">
        <v>372</v>
      </c>
      <c r="H174" s="2" t="s">
        <v>129</v>
      </c>
      <c r="I174" s="2" t="s">
        <v>569</v>
      </c>
      <c r="J174" s="2"/>
    </row>
    <row r="175" ht="14.25" customHeight="1">
      <c r="A175" s="2" t="s">
        <v>631</v>
      </c>
      <c r="B175" s="2" t="s">
        <v>632</v>
      </c>
      <c r="C175" s="3">
        <v>44930.0</v>
      </c>
      <c r="D175" s="3">
        <v>45870.0</v>
      </c>
      <c r="E175" s="2" t="s">
        <v>111</v>
      </c>
      <c r="F175" s="2" t="s">
        <v>112</v>
      </c>
      <c r="G175" s="2" t="s">
        <v>633</v>
      </c>
      <c r="H175" s="2" t="s">
        <v>448</v>
      </c>
      <c r="I175" s="2" t="s">
        <v>161</v>
      </c>
      <c r="J175" s="2"/>
    </row>
    <row r="176" ht="14.25" customHeight="1">
      <c r="A176" s="2" t="s">
        <v>634</v>
      </c>
      <c r="B176" s="2" t="s">
        <v>635</v>
      </c>
      <c r="C176" s="3">
        <v>45370.0</v>
      </c>
      <c r="D176" s="3">
        <v>45870.0</v>
      </c>
      <c r="E176" s="2" t="s">
        <v>19</v>
      </c>
      <c r="F176" s="2" t="s">
        <v>56</v>
      </c>
      <c r="G176" s="2" t="s">
        <v>636</v>
      </c>
      <c r="H176" s="2" t="s">
        <v>637</v>
      </c>
      <c r="I176" s="2" t="s">
        <v>381</v>
      </c>
      <c r="J176" s="2"/>
    </row>
    <row r="177" ht="14.25" customHeight="1">
      <c r="A177" s="2" t="s">
        <v>638</v>
      </c>
      <c r="B177" s="2" t="s">
        <v>639</v>
      </c>
      <c r="C177" s="3">
        <v>45860.0</v>
      </c>
      <c r="D177" s="3">
        <v>45870.0</v>
      </c>
      <c r="E177" s="2" t="s">
        <v>26</v>
      </c>
      <c r="F177" s="2" t="s">
        <v>27</v>
      </c>
      <c r="G177" s="2" t="s">
        <v>28</v>
      </c>
      <c r="H177" s="2" t="s">
        <v>455</v>
      </c>
      <c r="I177" s="2"/>
      <c r="J177" s="2"/>
    </row>
    <row r="178" ht="14.25" customHeight="1">
      <c r="A178" s="2" t="s">
        <v>640</v>
      </c>
      <c r="B178" s="2" t="s">
        <v>641</v>
      </c>
      <c r="C178" s="3">
        <v>45062.0</v>
      </c>
      <c r="D178" s="3">
        <v>45870.0</v>
      </c>
      <c r="E178" s="2" t="s">
        <v>26</v>
      </c>
      <c r="F178" s="2" t="s">
        <v>598</v>
      </c>
      <c r="G178" s="2" t="s">
        <v>642</v>
      </c>
      <c r="H178" s="2" t="s">
        <v>550</v>
      </c>
      <c r="I178" s="2" t="s">
        <v>643</v>
      </c>
      <c r="J178" s="2"/>
    </row>
    <row r="179" ht="14.25" customHeight="1">
      <c r="A179" s="2" t="s">
        <v>644</v>
      </c>
      <c r="B179" s="2" t="s">
        <v>645</v>
      </c>
      <c r="C179" s="3">
        <v>44621.0</v>
      </c>
      <c r="D179" s="3">
        <v>45909.0</v>
      </c>
      <c r="E179" s="2" t="s">
        <v>26</v>
      </c>
      <c r="F179" s="2" t="s">
        <v>50</v>
      </c>
      <c r="G179" s="2" t="s">
        <v>28</v>
      </c>
      <c r="H179" s="2" t="s">
        <v>129</v>
      </c>
      <c r="I179" s="2" t="s">
        <v>231</v>
      </c>
      <c r="J179" s="2"/>
    </row>
    <row r="180" ht="14.25" customHeight="1">
      <c r="A180" s="2" t="s">
        <v>646</v>
      </c>
      <c r="B180" s="2" t="s">
        <v>647</v>
      </c>
      <c r="C180" s="3">
        <v>45216.0</v>
      </c>
      <c r="D180" s="3">
        <v>45901.0</v>
      </c>
      <c r="E180" s="2" t="s">
        <v>19</v>
      </c>
      <c r="F180" s="2" t="s">
        <v>219</v>
      </c>
      <c r="G180" s="2" t="s">
        <v>648</v>
      </c>
      <c r="H180" s="2" t="s">
        <v>221</v>
      </c>
      <c r="I180" s="2" t="s">
        <v>222</v>
      </c>
      <c r="J180" s="2"/>
    </row>
    <row r="181" ht="14.25" customHeight="1">
      <c r="A181" s="2" t="s">
        <v>649</v>
      </c>
      <c r="B181" s="2" t="s">
        <v>650</v>
      </c>
      <c r="C181" s="3">
        <v>45216.0</v>
      </c>
      <c r="D181" s="3">
        <v>45870.0</v>
      </c>
      <c r="E181" s="2" t="s">
        <v>12</v>
      </c>
      <c r="F181" s="2" t="s">
        <v>254</v>
      </c>
      <c r="G181" s="2" t="s">
        <v>255</v>
      </c>
      <c r="H181" s="2" t="s">
        <v>256</v>
      </c>
      <c r="I181" s="2" t="s">
        <v>140</v>
      </c>
      <c r="J181" s="2"/>
    </row>
    <row r="182" ht="14.25" customHeight="1">
      <c r="A182" s="2" t="s">
        <v>651</v>
      </c>
      <c r="B182" s="2" t="s">
        <v>652</v>
      </c>
      <c r="C182" s="3">
        <v>45853.0</v>
      </c>
      <c r="D182" s="3">
        <v>45870.0</v>
      </c>
      <c r="E182" s="2" t="s">
        <v>26</v>
      </c>
      <c r="F182" s="2" t="s">
        <v>27</v>
      </c>
      <c r="G182" s="2" t="s">
        <v>533</v>
      </c>
      <c r="H182" s="2" t="s">
        <v>387</v>
      </c>
      <c r="I182" s="2"/>
      <c r="J182" s="2"/>
    </row>
    <row r="183" ht="14.25" customHeight="1">
      <c r="A183" s="2" t="s">
        <v>653</v>
      </c>
      <c r="B183" s="2" t="s">
        <v>654</v>
      </c>
      <c r="C183" s="3">
        <v>45811.0</v>
      </c>
      <c r="D183" s="3">
        <v>45870.0</v>
      </c>
      <c r="E183" s="2" t="s">
        <v>19</v>
      </c>
      <c r="F183" s="2" t="s">
        <v>20</v>
      </c>
      <c r="G183" s="2" t="s">
        <v>655</v>
      </c>
      <c r="H183" s="2" t="s">
        <v>380</v>
      </c>
      <c r="I183" s="2"/>
      <c r="J183" s="2"/>
    </row>
    <row r="184" ht="14.25" customHeight="1">
      <c r="A184" s="2" t="s">
        <v>656</v>
      </c>
      <c r="B184" s="2" t="s">
        <v>657</v>
      </c>
      <c r="C184" s="3">
        <v>44692.0</v>
      </c>
      <c r="D184" s="3">
        <v>45870.0</v>
      </c>
      <c r="E184" s="2" t="s">
        <v>19</v>
      </c>
      <c r="F184" s="2" t="s">
        <v>56</v>
      </c>
      <c r="G184" s="2" t="s">
        <v>559</v>
      </c>
      <c r="H184" s="2" t="s">
        <v>538</v>
      </c>
      <c r="I184" s="2" t="s">
        <v>328</v>
      </c>
      <c r="J184" s="2"/>
    </row>
    <row r="185" ht="14.25" customHeight="1">
      <c r="A185" s="2" t="s">
        <v>658</v>
      </c>
      <c r="B185" s="2" t="s">
        <v>659</v>
      </c>
      <c r="C185" s="3">
        <v>45908.0</v>
      </c>
      <c r="D185" s="3">
        <v>45908.0</v>
      </c>
      <c r="E185" s="2" t="s">
        <v>19</v>
      </c>
      <c r="F185" s="2" t="s">
        <v>274</v>
      </c>
      <c r="G185" s="2" t="s">
        <v>660</v>
      </c>
      <c r="H185" s="2" t="s">
        <v>661</v>
      </c>
      <c r="I185" s="2"/>
      <c r="J185" s="2"/>
    </row>
    <row r="186" ht="14.25" customHeight="1">
      <c r="A186" s="2" t="s">
        <v>662</v>
      </c>
      <c r="B186" s="2" t="s">
        <v>663</v>
      </c>
      <c r="C186" s="3">
        <v>45727.0</v>
      </c>
      <c r="D186" s="3">
        <v>45870.0</v>
      </c>
      <c r="E186" s="2" t="s">
        <v>19</v>
      </c>
      <c r="F186" s="2" t="s">
        <v>176</v>
      </c>
      <c r="G186" s="2" t="s">
        <v>559</v>
      </c>
      <c r="H186" s="2" t="s">
        <v>664</v>
      </c>
      <c r="I186" s="2"/>
      <c r="J186" s="2"/>
    </row>
    <row r="187" ht="14.25" customHeight="1">
      <c r="A187" s="2" t="s">
        <v>665</v>
      </c>
      <c r="B187" s="2" t="s">
        <v>666</v>
      </c>
      <c r="C187" s="3">
        <v>44720.0</v>
      </c>
      <c r="D187" s="3">
        <v>45916.0</v>
      </c>
      <c r="E187" s="2" t="s">
        <v>26</v>
      </c>
      <c r="F187" s="2" t="s">
        <v>50</v>
      </c>
      <c r="G187" s="2" t="s">
        <v>51</v>
      </c>
      <c r="H187" s="2" t="s">
        <v>667</v>
      </c>
      <c r="I187" s="2" t="s">
        <v>53</v>
      </c>
      <c r="J187" s="2"/>
    </row>
    <row r="188" ht="14.25" customHeight="1">
      <c r="A188" s="2" t="s">
        <v>668</v>
      </c>
      <c r="B188" s="2" t="s">
        <v>669</v>
      </c>
      <c r="C188" s="3">
        <v>44692.0</v>
      </c>
      <c r="D188" s="3">
        <v>45870.0</v>
      </c>
      <c r="E188" s="2" t="s">
        <v>26</v>
      </c>
      <c r="F188" s="2" t="s">
        <v>61</v>
      </c>
      <c r="G188" s="2" t="s">
        <v>28</v>
      </c>
      <c r="H188" s="2" t="s">
        <v>107</v>
      </c>
      <c r="I188" s="2" t="s">
        <v>108</v>
      </c>
      <c r="J188" s="2"/>
    </row>
    <row r="189" ht="14.25" customHeight="1">
      <c r="A189" s="2" t="s">
        <v>670</v>
      </c>
      <c r="B189" s="2" t="s">
        <v>671</v>
      </c>
      <c r="C189" s="3">
        <v>44439.0</v>
      </c>
      <c r="D189" s="3">
        <v>45870.0</v>
      </c>
      <c r="E189" s="2" t="s">
        <v>26</v>
      </c>
      <c r="F189" s="2" t="s">
        <v>61</v>
      </c>
      <c r="G189" s="2" t="s">
        <v>28</v>
      </c>
      <c r="H189" s="2" t="s">
        <v>458</v>
      </c>
      <c r="I189" s="2" t="s">
        <v>388</v>
      </c>
      <c r="J189" s="2"/>
    </row>
    <row r="190" ht="14.25" customHeight="1">
      <c r="A190" s="2" t="s">
        <v>672</v>
      </c>
      <c r="B190" s="2" t="s">
        <v>673</v>
      </c>
      <c r="C190" s="3">
        <v>45839.0</v>
      </c>
      <c r="D190" s="3">
        <v>45870.0</v>
      </c>
      <c r="E190" s="2" t="s">
        <v>26</v>
      </c>
      <c r="F190" s="2" t="s">
        <v>598</v>
      </c>
      <c r="G190" s="2" t="s">
        <v>674</v>
      </c>
      <c r="H190" s="2" t="s">
        <v>550</v>
      </c>
      <c r="I190" s="2" t="s">
        <v>675</v>
      </c>
      <c r="J190" s="2"/>
    </row>
    <row r="191" ht="14.25" customHeight="1">
      <c r="A191" s="2" t="s">
        <v>676</v>
      </c>
      <c r="B191" s="2" t="s">
        <v>677</v>
      </c>
      <c r="C191" s="3">
        <v>45118.0</v>
      </c>
      <c r="D191" s="3">
        <v>45870.0</v>
      </c>
      <c r="E191" s="2" t="s">
        <v>26</v>
      </c>
      <c r="F191" s="2" t="s">
        <v>61</v>
      </c>
      <c r="G191" s="2" t="s">
        <v>28</v>
      </c>
      <c r="H191" s="2" t="s">
        <v>384</v>
      </c>
      <c r="I191" s="2" t="s">
        <v>100</v>
      </c>
      <c r="J191" s="2"/>
    </row>
    <row r="192" ht="14.25" customHeight="1">
      <c r="A192" s="2" t="s">
        <v>678</v>
      </c>
      <c r="B192" s="2" t="s">
        <v>679</v>
      </c>
      <c r="C192" s="3">
        <v>45853.0</v>
      </c>
      <c r="D192" s="3">
        <v>45853.0</v>
      </c>
      <c r="E192" s="2" t="s">
        <v>33</v>
      </c>
      <c r="F192" s="2" t="s">
        <v>315</v>
      </c>
      <c r="G192" s="2" t="s">
        <v>680</v>
      </c>
      <c r="H192" s="2" t="s">
        <v>317</v>
      </c>
      <c r="I192" s="2"/>
      <c r="J192" s="2"/>
    </row>
    <row r="193" ht="14.25" customHeight="1">
      <c r="A193" s="2" t="s">
        <v>681</v>
      </c>
      <c r="B193" s="2" t="s">
        <v>682</v>
      </c>
      <c r="C193" s="3">
        <v>45846.0</v>
      </c>
      <c r="D193" s="3">
        <v>45870.0</v>
      </c>
      <c r="E193" s="2" t="s">
        <v>26</v>
      </c>
      <c r="F193" s="2" t="s">
        <v>147</v>
      </c>
      <c r="G193" s="2" t="s">
        <v>28</v>
      </c>
      <c r="H193" s="2" t="s">
        <v>304</v>
      </c>
      <c r="I193" s="2" t="s">
        <v>16</v>
      </c>
      <c r="J193" s="2"/>
    </row>
    <row r="194" ht="14.25" customHeight="1">
      <c r="A194" s="2" t="s">
        <v>683</v>
      </c>
      <c r="B194" s="2" t="s">
        <v>684</v>
      </c>
      <c r="C194" s="3">
        <v>44348.0</v>
      </c>
      <c r="D194" s="3">
        <v>45870.0</v>
      </c>
      <c r="E194" s="2" t="s">
        <v>111</v>
      </c>
      <c r="F194" s="2" t="s">
        <v>112</v>
      </c>
      <c r="G194" s="2" t="s">
        <v>685</v>
      </c>
      <c r="H194" s="2" t="s">
        <v>686</v>
      </c>
      <c r="I194" s="2" t="s">
        <v>161</v>
      </c>
      <c r="J194" s="2"/>
    </row>
    <row r="195" ht="14.25" customHeight="1">
      <c r="A195" s="2" t="s">
        <v>687</v>
      </c>
      <c r="B195" s="2" t="s">
        <v>688</v>
      </c>
      <c r="C195" s="3">
        <v>45216.0</v>
      </c>
      <c r="D195" s="3">
        <v>45901.0</v>
      </c>
      <c r="E195" s="2" t="s">
        <v>26</v>
      </c>
      <c r="F195" s="2" t="s">
        <v>61</v>
      </c>
      <c r="G195" s="2" t="s">
        <v>28</v>
      </c>
      <c r="H195" s="2" t="s">
        <v>410</v>
      </c>
      <c r="I195" s="2" t="s">
        <v>283</v>
      </c>
      <c r="J195" s="2"/>
    </row>
    <row r="196" ht="14.25" customHeight="1">
      <c r="A196" s="2" t="s">
        <v>689</v>
      </c>
      <c r="B196" s="2" t="s">
        <v>690</v>
      </c>
      <c r="C196" s="3">
        <v>45321.0</v>
      </c>
      <c r="D196" s="3">
        <v>45797.0</v>
      </c>
      <c r="E196" s="2" t="s">
        <v>19</v>
      </c>
      <c r="F196" s="2" t="s">
        <v>67</v>
      </c>
      <c r="G196" s="2" t="s">
        <v>691</v>
      </c>
      <c r="H196" s="2" t="s">
        <v>482</v>
      </c>
      <c r="I196" s="2" t="s">
        <v>70</v>
      </c>
      <c r="J196" s="2"/>
    </row>
    <row r="197" ht="14.25" customHeight="1">
      <c r="A197" s="2" t="s">
        <v>692</v>
      </c>
      <c r="B197" s="2" t="s">
        <v>693</v>
      </c>
      <c r="C197" s="3">
        <v>45916.0</v>
      </c>
      <c r="D197" s="3">
        <v>45916.0</v>
      </c>
      <c r="E197" s="2" t="s">
        <v>26</v>
      </c>
      <c r="F197" s="2" t="s">
        <v>50</v>
      </c>
      <c r="G197" s="2" t="s">
        <v>62</v>
      </c>
      <c r="H197" s="2" t="s">
        <v>568</v>
      </c>
      <c r="I197" s="2"/>
      <c r="J197" s="2"/>
    </row>
    <row r="198" ht="14.25" customHeight="1">
      <c r="A198" s="2" t="s">
        <v>694</v>
      </c>
      <c r="B198" s="2" t="s">
        <v>695</v>
      </c>
      <c r="C198" s="3">
        <v>45077.0</v>
      </c>
      <c r="D198" s="3">
        <v>45870.0</v>
      </c>
      <c r="E198" s="2" t="s">
        <v>44</v>
      </c>
      <c r="F198" s="2" t="s">
        <v>45</v>
      </c>
      <c r="G198" s="2" t="s">
        <v>696</v>
      </c>
      <c r="H198" s="2" t="s">
        <v>47</v>
      </c>
      <c r="I198" s="2"/>
      <c r="J198" s="2"/>
    </row>
    <row r="199" ht="14.25" customHeight="1">
      <c r="A199" s="2" t="s">
        <v>697</v>
      </c>
      <c r="B199" s="2" t="s">
        <v>698</v>
      </c>
      <c r="C199" s="3">
        <v>41974.0</v>
      </c>
      <c r="D199" s="3">
        <v>45870.0</v>
      </c>
      <c r="E199" s="2" t="s">
        <v>111</v>
      </c>
      <c r="F199" s="2" t="s">
        <v>112</v>
      </c>
      <c r="G199" s="2" t="s">
        <v>699</v>
      </c>
      <c r="H199" s="2" t="s">
        <v>119</v>
      </c>
      <c r="I199" s="2" t="s">
        <v>161</v>
      </c>
      <c r="J199" s="2"/>
    </row>
    <row r="200" ht="14.25" customHeight="1">
      <c r="A200" s="2" t="s">
        <v>700</v>
      </c>
      <c r="B200" s="2" t="s">
        <v>701</v>
      </c>
      <c r="C200" s="3">
        <v>45209.0</v>
      </c>
      <c r="D200" s="3">
        <v>45870.0</v>
      </c>
      <c r="E200" s="2" t="s">
        <v>26</v>
      </c>
      <c r="F200" s="2" t="s">
        <v>61</v>
      </c>
      <c r="G200" s="2" t="s">
        <v>28</v>
      </c>
      <c r="H200" s="2" t="s">
        <v>384</v>
      </c>
      <c r="I200" s="2" t="s">
        <v>100</v>
      </c>
      <c r="J200" s="2"/>
    </row>
    <row r="201" ht="14.25" customHeight="1">
      <c r="A201" s="2" t="s">
        <v>702</v>
      </c>
      <c r="B201" s="2" t="s">
        <v>703</v>
      </c>
      <c r="C201" s="3">
        <v>44544.0</v>
      </c>
      <c r="D201" s="3">
        <v>45444.0</v>
      </c>
      <c r="E201" s="2" t="s">
        <v>19</v>
      </c>
      <c r="F201" s="2" t="s">
        <v>704</v>
      </c>
      <c r="G201" s="2" t="s">
        <v>320</v>
      </c>
      <c r="H201" s="2" t="s">
        <v>69</v>
      </c>
      <c r="I201" s="2" t="s">
        <v>222</v>
      </c>
      <c r="J201" s="2"/>
    </row>
    <row r="202" ht="14.25" customHeight="1">
      <c r="A202" s="2" t="s">
        <v>705</v>
      </c>
      <c r="B202" s="2" t="s">
        <v>706</v>
      </c>
      <c r="C202" s="3">
        <v>44846.0</v>
      </c>
      <c r="D202" s="3">
        <v>45870.0</v>
      </c>
      <c r="E202" s="2" t="s">
        <v>26</v>
      </c>
      <c r="F202" s="2" t="s">
        <v>427</v>
      </c>
      <c r="G202" s="2" t="s">
        <v>707</v>
      </c>
      <c r="H202" s="2" t="s">
        <v>429</v>
      </c>
      <c r="I202" s="2" t="s">
        <v>595</v>
      </c>
      <c r="J202" s="2"/>
    </row>
    <row r="203" ht="14.25" customHeight="1">
      <c r="A203" s="2" t="s">
        <v>708</v>
      </c>
      <c r="B203" s="2" t="s">
        <v>709</v>
      </c>
      <c r="C203" s="3">
        <v>45202.0</v>
      </c>
      <c r="D203" s="3">
        <v>45870.0</v>
      </c>
      <c r="E203" s="2" t="s">
        <v>12</v>
      </c>
      <c r="F203" s="2" t="s">
        <v>465</v>
      </c>
      <c r="G203" s="2" t="s">
        <v>255</v>
      </c>
      <c r="H203" s="2" t="s">
        <v>63</v>
      </c>
      <c r="I203" s="2" t="s">
        <v>710</v>
      </c>
      <c r="J203" s="2"/>
    </row>
    <row r="204" ht="14.25" customHeight="1">
      <c r="A204" s="2" t="s">
        <v>711</v>
      </c>
      <c r="B204" s="2" t="s">
        <v>712</v>
      </c>
      <c r="C204" s="3">
        <v>45189.0</v>
      </c>
      <c r="D204" s="3">
        <v>45874.0</v>
      </c>
      <c r="E204" s="2" t="s">
        <v>26</v>
      </c>
      <c r="F204" s="2" t="s">
        <v>50</v>
      </c>
      <c r="G204" s="2" t="s">
        <v>511</v>
      </c>
      <c r="H204" s="2" t="s">
        <v>333</v>
      </c>
      <c r="I204" s="2" t="s">
        <v>140</v>
      </c>
      <c r="J204" s="2"/>
    </row>
    <row r="205" ht="14.25" customHeight="1">
      <c r="A205" s="2" t="s">
        <v>713</v>
      </c>
      <c r="B205" s="2" t="s">
        <v>714</v>
      </c>
      <c r="C205" s="3">
        <v>44075.0</v>
      </c>
      <c r="D205" s="3">
        <v>45870.0</v>
      </c>
      <c r="E205" s="2" t="s">
        <v>26</v>
      </c>
      <c r="F205" s="2" t="s">
        <v>61</v>
      </c>
      <c r="G205" s="2" t="s">
        <v>51</v>
      </c>
      <c r="H205" s="2" t="s">
        <v>288</v>
      </c>
      <c r="I205" s="2" t="s">
        <v>64</v>
      </c>
      <c r="J205" s="2"/>
    </row>
    <row r="206" ht="14.25" customHeight="1">
      <c r="A206" s="2" t="s">
        <v>715</v>
      </c>
      <c r="B206" s="2" t="s">
        <v>716</v>
      </c>
      <c r="C206" s="3">
        <v>45006.0</v>
      </c>
      <c r="D206" s="3">
        <v>45870.0</v>
      </c>
      <c r="E206" s="2" t="s">
        <v>19</v>
      </c>
      <c r="F206" s="2" t="s">
        <v>84</v>
      </c>
      <c r="G206" s="2" t="s">
        <v>347</v>
      </c>
      <c r="H206" s="2" t="s">
        <v>86</v>
      </c>
      <c r="I206" s="2" t="s">
        <v>348</v>
      </c>
      <c r="J206" s="2"/>
    </row>
    <row r="207" ht="14.25" customHeight="1">
      <c r="A207" s="2" t="s">
        <v>717</v>
      </c>
      <c r="B207" s="2" t="s">
        <v>718</v>
      </c>
      <c r="C207" s="3">
        <v>45727.0</v>
      </c>
      <c r="D207" s="3">
        <v>45870.0</v>
      </c>
      <c r="E207" s="2" t="s">
        <v>19</v>
      </c>
      <c r="F207" s="2" t="s">
        <v>248</v>
      </c>
      <c r="G207" s="2" t="s">
        <v>719</v>
      </c>
      <c r="H207" s="2" t="s">
        <v>720</v>
      </c>
      <c r="I207" s="2"/>
      <c r="J207" s="2"/>
    </row>
    <row r="208" ht="14.25" customHeight="1">
      <c r="A208" s="2" t="s">
        <v>721</v>
      </c>
      <c r="B208" s="2" t="s">
        <v>722</v>
      </c>
      <c r="C208" s="3">
        <v>45202.0</v>
      </c>
      <c r="D208" s="3">
        <v>45901.0</v>
      </c>
      <c r="E208" s="2" t="s">
        <v>19</v>
      </c>
      <c r="F208" s="2" t="s">
        <v>78</v>
      </c>
      <c r="G208" s="2" t="s">
        <v>79</v>
      </c>
      <c r="H208" s="2" t="s">
        <v>80</v>
      </c>
      <c r="I208" s="2" t="s">
        <v>328</v>
      </c>
      <c r="J208" s="2"/>
    </row>
    <row r="209" ht="14.25" customHeight="1">
      <c r="A209" s="2" t="s">
        <v>723</v>
      </c>
      <c r="B209" s="2" t="s">
        <v>724</v>
      </c>
      <c r="C209" s="3">
        <v>43165.0</v>
      </c>
      <c r="D209" s="3">
        <v>45870.0</v>
      </c>
      <c r="E209" s="2" t="s">
        <v>26</v>
      </c>
      <c r="F209" s="2" t="s">
        <v>27</v>
      </c>
      <c r="G209" s="2" t="s">
        <v>51</v>
      </c>
      <c r="H209" s="2" t="s">
        <v>207</v>
      </c>
      <c r="I209" s="2" t="s">
        <v>208</v>
      </c>
      <c r="J209" s="2"/>
    </row>
    <row r="210" ht="14.25" customHeight="1">
      <c r="A210" s="2" t="s">
        <v>725</v>
      </c>
      <c r="B210" s="2" t="s">
        <v>726</v>
      </c>
      <c r="C210" s="3">
        <v>45013.0</v>
      </c>
      <c r="D210" s="3">
        <v>45885.0</v>
      </c>
      <c r="E210" s="2" t="s">
        <v>33</v>
      </c>
      <c r="F210" s="2" t="s">
        <v>39</v>
      </c>
      <c r="G210" s="2" t="s">
        <v>727</v>
      </c>
      <c r="H210" s="2" t="s">
        <v>41</v>
      </c>
      <c r="I210" s="2"/>
      <c r="J210" s="2"/>
    </row>
    <row r="211" ht="14.25" customHeight="1">
      <c r="A211" s="2" t="s">
        <v>728</v>
      </c>
      <c r="B211" s="2" t="s">
        <v>729</v>
      </c>
      <c r="C211" s="3">
        <v>44817.0</v>
      </c>
      <c r="D211" s="3">
        <v>45870.0</v>
      </c>
      <c r="E211" s="2" t="s">
        <v>111</v>
      </c>
      <c r="F211" s="2" t="s">
        <v>363</v>
      </c>
      <c r="G211" s="2" t="s">
        <v>730</v>
      </c>
      <c r="H211" s="2" t="s">
        <v>160</v>
      </c>
      <c r="I211" s="2"/>
      <c r="J211" s="2"/>
    </row>
    <row r="212" ht="14.25" customHeight="1">
      <c r="A212" s="2" t="s">
        <v>731</v>
      </c>
      <c r="B212" s="2" t="s">
        <v>732</v>
      </c>
      <c r="C212" s="3">
        <v>45559.0</v>
      </c>
      <c r="D212" s="3">
        <v>45870.0</v>
      </c>
      <c r="E212" s="2" t="s">
        <v>12</v>
      </c>
      <c r="F212" s="2" t="s">
        <v>417</v>
      </c>
      <c r="G212" s="2" t="s">
        <v>733</v>
      </c>
      <c r="H212" s="2" t="s">
        <v>387</v>
      </c>
      <c r="I212" s="2" t="s">
        <v>734</v>
      </c>
      <c r="J212" s="2"/>
    </row>
    <row r="213" ht="14.25" customHeight="1">
      <c r="A213" s="2" t="s">
        <v>735</v>
      </c>
      <c r="B213" s="2" t="s">
        <v>736</v>
      </c>
      <c r="C213" s="3">
        <v>45068.0</v>
      </c>
      <c r="D213" s="3">
        <v>45870.0</v>
      </c>
      <c r="E213" s="2" t="s">
        <v>26</v>
      </c>
      <c r="F213" s="2" t="s">
        <v>27</v>
      </c>
      <c r="G213" s="2" t="s">
        <v>303</v>
      </c>
      <c r="H213" s="2" t="s">
        <v>336</v>
      </c>
      <c r="I213" s="2" t="s">
        <v>337</v>
      </c>
      <c r="J213" s="2"/>
    </row>
    <row r="214" ht="14.25" customHeight="1">
      <c r="A214" s="2" t="s">
        <v>737</v>
      </c>
      <c r="B214" s="2" t="s">
        <v>738</v>
      </c>
      <c r="C214" s="3">
        <v>45202.0</v>
      </c>
      <c r="D214" s="3">
        <v>45202.0</v>
      </c>
      <c r="E214" s="2" t="s">
        <v>19</v>
      </c>
      <c r="F214" s="2" t="s">
        <v>78</v>
      </c>
      <c r="G214" s="2" t="s">
        <v>264</v>
      </c>
      <c r="H214" s="2" t="s">
        <v>265</v>
      </c>
      <c r="I214" s="2" t="s">
        <v>81</v>
      </c>
      <c r="J214" s="2"/>
    </row>
    <row r="215" ht="14.25" customHeight="1">
      <c r="A215" s="2" t="s">
        <v>739</v>
      </c>
      <c r="B215" s="2" t="s">
        <v>740</v>
      </c>
      <c r="C215" s="3">
        <v>45308.0</v>
      </c>
      <c r="D215" s="3">
        <v>45309.0</v>
      </c>
      <c r="E215" s="2" t="s">
        <v>33</v>
      </c>
      <c r="F215" s="2" t="s">
        <v>503</v>
      </c>
      <c r="G215" s="2" t="s">
        <v>741</v>
      </c>
      <c r="H215" s="2" t="s">
        <v>742</v>
      </c>
      <c r="I215" s="2"/>
      <c r="J215" s="2"/>
    </row>
    <row r="216" ht="14.25" customHeight="1">
      <c r="A216" s="2" t="s">
        <v>743</v>
      </c>
      <c r="B216" s="2" t="s">
        <v>744</v>
      </c>
      <c r="C216" s="3">
        <v>44607.0</v>
      </c>
      <c r="D216" s="3">
        <v>45870.0</v>
      </c>
      <c r="E216" s="2" t="s">
        <v>19</v>
      </c>
      <c r="F216" s="2" t="s">
        <v>248</v>
      </c>
      <c r="G216" s="2" t="s">
        <v>745</v>
      </c>
      <c r="H216" s="2" t="s">
        <v>746</v>
      </c>
      <c r="I216" s="2"/>
      <c r="J216" s="2"/>
    </row>
    <row r="217" ht="14.25" customHeight="1">
      <c r="A217" s="2" t="s">
        <v>747</v>
      </c>
      <c r="B217" s="2" t="s">
        <v>748</v>
      </c>
      <c r="C217" s="3">
        <v>45398.0</v>
      </c>
      <c r="D217" s="3">
        <v>45811.0</v>
      </c>
      <c r="E217" s="2" t="s">
        <v>19</v>
      </c>
      <c r="F217" s="2" t="s">
        <v>20</v>
      </c>
      <c r="G217" s="2" t="s">
        <v>21</v>
      </c>
      <c r="H217" s="2" t="s">
        <v>170</v>
      </c>
      <c r="I217" s="2" t="s">
        <v>90</v>
      </c>
      <c r="J217" s="2"/>
    </row>
    <row r="218" ht="14.25" customHeight="1">
      <c r="A218" s="2" t="s">
        <v>749</v>
      </c>
      <c r="B218" s="2" t="s">
        <v>750</v>
      </c>
      <c r="C218" s="3">
        <v>45874.0</v>
      </c>
      <c r="D218" s="3">
        <v>45874.0</v>
      </c>
      <c r="E218" s="2" t="s">
        <v>19</v>
      </c>
      <c r="F218" s="2" t="s">
        <v>274</v>
      </c>
      <c r="G218" s="2" t="s">
        <v>751</v>
      </c>
      <c r="H218" s="2" t="s">
        <v>380</v>
      </c>
      <c r="I218" s="2"/>
      <c r="J218" s="2"/>
    </row>
    <row r="219" ht="14.25" customHeight="1">
      <c r="A219" s="2" t="s">
        <v>752</v>
      </c>
      <c r="B219" s="2" t="s">
        <v>753</v>
      </c>
      <c r="C219" s="3">
        <v>44642.0</v>
      </c>
      <c r="D219" s="3">
        <v>45870.0</v>
      </c>
      <c r="E219" s="2" t="s">
        <v>44</v>
      </c>
      <c r="F219" s="2" t="s">
        <v>259</v>
      </c>
      <c r="G219" s="2" t="s">
        <v>754</v>
      </c>
      <c r="H219" s="2" t="s">
        <v>755</v>
      </c>
      <c r="I219" s="2"/>
      <c r="J219" s="2"/>
    </row>
    <row r="220" ht="14.25" customHeight="1">
      <c r="A220" s="2" t="s">
        <v>756</v>
      </c>
      <c r="B220" s="2" t="s">
        <v>757</v>
      </c>
      <c r="C220" s="3">
        <v>45811.0</v>
      </c>
      <c r="D220" s="3">
        <v>45870.0</v>
      </c>
      <c r="E220" s="2" t="s">
        <v>26</v>
      </c>
      <c r="F220" s="2" t="s">
        <v>27</v>
      </c>
      <c r="G220" s="2" t="s">
        <v>51</v>
      </c>
      <c r="H220" s="2" t="s">
        <v>758</v>
      </c>
      <c r="I220" s="2" t="s">
        <v>140</v>
      </c>
      <c r="J220" s="2"/>
    </row>
    <row r="221" ht="14.25" customHeight="1">
      <c r="A221" s="2" t="s">
        <v>759</v>
      </c>
      <c r="B221" s="2" t="s">
        <v>760</v>
      </c>
      <c r="C221" s="3">
        <v>45699.0</v>
      </c>
      <c r="D221" s="3">
        <v>45870.0</v>
      </c>
      <c r="E221" s="2" t="s">
        <v>19</v>
      </c>
      <c r="F221" s="2" t="s">
        <v>248</v>
      </c>
      <c r="G221" s="2" t="s">
        <v>761</v>
      </c>
      <c r="H221" s="2" t="s">
        <v>452</v>
      </c>
      <c r="I221" s="2" t="s">
        <v>251</v>
      </c>
      <c r="J221" s="2"/>
    </row>
    <row r="222" ht="14.25" customHeight="1">
      <c r="A222" s="2" t="s">
        <v>762</v>
      </c>
      <c r="B222" s="2" t="s">
        <v>763</v>
      </c>
      <c r="C222" s="3">
        <v>45419.0</v>
      </c>
      <c r="D222" s="3">
        <v>45835.0</v>
      </c>
      <c r="E222" s="2" t="s">
        <v>19</v>
      </c>
      <c r="F222" s="2" t="s">
        <v>612</v>
      </c>
      <c r="G222" s="2" t="s">
        <v>691</v>
      </c>
      <c r="H222" s="2" t="s">
        <v>221</v>
      </c>
      <c r="I222" s="2" t="s">
        <v>70</v>
      </c>
      <c r="J222" s="2"/>
    </row>
    <row r="223" ht="14.25" customHeight="1">
      <c r="A223" s="2" t="s">
        <v>764</v>
      </c>
      <c r="B223" s="2" t="s">
        <v>765</v>
      </c>
      <c r="C223" s="3">
        <v>45503.0</v>
      </c>
      <c r="D223" s="3">
        <v>45717.0</v>
      </c>
      <c r="E223" s="2" t="s">
        <v>26</v>
      </c>
      <c r="F223" s="2" t="s">
        <v>766</v>
      </c>
      <c r="G223" s="2" t="s">
        <v>767</v>
      </c>
      <c r="H223" s="2" t="s">
        <v>188</v>
      </c>
      <c r="I223" s="2" t="s">
        <v>467</v>
      </c>
      <c r="J223" s="2"/>
    </row>
    <row r="224" ht="14.25" customHeight="1">
      <c r="A224" s="2" t="s">
        <v>768</v>
      </c>
      <c r="B224" s="2" t="s">
        <v>769</v>
      </c>
      <c r="C224" s="3">
        <v>45308.0</v>
      </c>
      <c r="D224" s="3">
        <v>45870.0</v>
      </c>
      <c r="E224" s="2" t="s">
        <v>111</v>
      </c>
      <c r="F224" s="2" t="s">
        <v>112</v>
      </c>
      <c r="G224" s="2" t="s">
        <v>770</v>
      </c>
      <c r="H224" s="2" t="s">
        <v>771</v>
      </c>
      <c r="I224" s="2" t="s">
        <v>161</v>
      </c>
      <c r="J224" s="2"/>
    </row>
    <row r="225" ht="14.25" customHeight="1">
      <c r="A225" s="2" t="s">
        <v>772</v>
      </c>
      <c r="B225" s="2" t="s">
        <v>773</v>
      </c>
      <c r="C225" s="3">
        <v>45280.0</v>
      </c>
      <c r="D225" s="3">
        <v>45839.0</v>
      </c>
      <c r="E225" s="2" t="s">
        <v>33</v>
      </c>
      <c r="F225" s="2" t="s">
        <v>34</v>
      </c>
      <c r="G225" s="2" t="s">
        <v>774</v>
      </c>
      <c r="H225" s="2" t="s">
        <v>545</v>
      </c>
      <c r="I225" s="2"/>
      <c r="J225" s="2"/>
    </row>
    <row r="226" ht="14.25" customHeight="1">
      <c r="A226" s="2" t="s">
        <v>775</v>
      </c>
      <c r="B226" s="2" t="s">
        <v>776</v>
      </c>
      <c r="C226" s="3">
        <v>45308.0</v>
      </c>
      <c r="D226" s="3">
        <v>45308.0</v>
      </c>
      <c r="E226" s="2" t="s">
        <v>19</v>
      </c>
      <c r="F226" s="2" t="s">
        <v>433</v>
      </c>
      <c r="G226" s="2" t="s">
        <v>777</v>
      </c>
      <c r="H226" s="2" t="s">
        <v>435</v>
      </c>
      <c r="I226" s="2" t="s">
        <v>436</v>
      </c>
      <c r="J226" s="2"/>
    </row>
    <row r="227" ht="14.25" customHeight="1">
      <c r="A227" s="2" t="s">
        <v>778</v>
      </c>
      <c r="B227" s="2" t="s">
        <v>779</v>
      </c>
      <c r="C227" s="3">
        <v>45888.0</v>
      </c>
      <c r="D227" s="3">
        <v>45888.0</v>
      </c>
      <c r="E227" s="2" t="s">
        <v>12</v>
      </c>
      <c r="F227" s="2" t="s">
        <v>465</v>
      </c>
      <c r="G227" s="2" t="s">
        <v>255</v>
      </c>
      <c r="H227" s="2" t="s">
        <v>63</v>
      </c>
      <c r="I227" s="2"/>
      <c r="J227" s="2"/>
    </row>
    <row r="228" ht="14.25" customHeight="1">
      <c r="A228" s="2" t="s">
        <v>780</v>
      </c>
      <c r="B228" s="2" t="s">
        <v>781</v>
      </c>
      <c r="C228" s="3">
        <v>45691.0</v>
      </c>
      <c r="D228" s="3">
        <v>45691.0</v>
      </c>
      <c r="E228" s="2" t="s">
        <v>33</v>
      </c>
      <c r="F228" s="2" t="s">
        <v>315</v>
      </c>
      <c r="G228" s="2" t="s">
        <v>782</v>
      </c>
      <c r="H228" s="2"/>
      <c r="I228" s="2"/>
      <c r="J228" s="2"/>
    </row>
    <row r="229" ht="14.25" customHeight="1">
      <c r="A229" s="2" t="s">
        <v>783</v>
      </c>
      <c r="B229" s="2" t="s">
        <v>784</v>
      </c>
      <c r="C229" s="3">
        <v>45797.0</v>
      </c>
      <c r="D229" s="3">
        <v>45870.0</v>
      </c>
      <c r="E229" s="2" t="s">
        <v>44</v>
      </c>
      <c r="F229" s="2" t="s">
        <v>164</v>
      </c>
      <c r="G229" s="2" t="s">
        <v>785</v>
      </c>
      <c r="H229" s="2" t="s">
        <v>582</v>
      </c>
      <c r="I229" s="2"/>
      <c r="J229" s="2"/>
    </row>
    <row r="230" ht="14.25" customHeight="1">
      <c r="A230" s="2" t="s">
        <v>786</v>
      </c>
      <c r="B230" s="2" t="s">
        <v>787</v>
      </c>
      <c r="C230" s="3">
        <v>45903.0</v>
      </c>
      <c r="D230" s="3">
        <v>45903.0</v>
      </c>
      <c r="E230" s="2" t="s">
        <v>33</v>
      </c>
      <c r="F230" s="2" t="s">
        <v>34</v>
      </c>
      <c r="G230" s="2" t="s">
        <v>788</v>
      </c>
      <c r="H230" s="2" t="s">
        <v>789</v>
      </c>
      <c r="I230" s="2"/>
      <c r="J230" s="2"/>
    </row>
    <row r="231" ht="14.25" customHeight="1">
      <c r="A231" s="2" t="s">
        <v>790</v>
      </c>
      <c r="B231" s="2" t="s">
        <v>791</v>
      </c>
      <c r="C231" s="3">
        <v>44635.0</v>
      </c>
      <c r="D231" s="3">
        <v>45917.0</v>
      </c>
      <c r="E231" s="2" t="s">
        <v>33</v>
      </c>
      <c r="F231" s="2" t="s">
        <v>34</v>
      </c>
      <c r="G231" s="2" t="s">
        <v>792</v>
      </c>
      <c r="H231" s="2" t="s">
        <v>94</v>
      </c>
      <c r="I231" s="2"/>
      <c r="J231" s="2"/>
    </row>
    <row r="232" ht="14.25" customHeight="1">
      <c r="A232" s="2" t="s">
        <v>793</v>
      </c>
      <c r="B232" s="2" t="s">
        <v>794</v>
      </c>
      <c r="C232" s="3">
        <v>45209.0</v>
      </c>
      <c r="D232" s="3">
        <v>45888.0</v>
      </c>
      <c r="E232" s="2" t="s">
        <v>26</v>
      </c>
      <c r="F232" s="2" t="s">
        <v>427</v>
      </c>
      <c r="G232" s="2" t="s">
        <v>795</v>
      </c>
      <c r="H232" s="2" t="s">
        <v>15</v>
      </c>
      <c r="I232" s="2" t="s">
        <v>595</v>
      </c>
      <c r="J232" s="2"/>
    </row>
    <row r="233" ht="14.25" customHeight="1">
      <c r="A233" s="2" t="s">
        <v>796</v>
      </c>
      <c r="B233" s="2" t="s">
        <v>797</v>
      </c>
      <c r="C233" s="3">
        <v>45881.0</v>
      </c>
      <c r="D233" s="3">
        <v>45909.0</v>
      </c>
      <c r="E233" s="2" t="s">
        <v>26</v>
      </c>
      <c r="F233" s="2" t="s">
        <v>50</v>
      </c>
      <c r="G233" s="2" t="s">
        <v>128</v>
      </c>
      <c r="H233" s="2" t="s">
        <v>129</v>
      </c>
      <c r="I233" s="2" t="s">
        <v>242</v>
      </c>
      <c r="J233" s="2"/>
    </row>
    <row r="234" ht="14.25" customHeight="1">
      <c r="A234" s="2" t="s">
        <v>798</v>
      </c>
      <c r="B234" s="2" t="s">
        <v>799</v>
      </c>
      <c r="C234" s="3">
        <v>44944.0</v>
      </c>
      <c r="D234" s="3">
        <v>45870.0</v>
      </c>
      <c r="E234" s="2" t="s">
        <v>44</v>
      </c>
      <c r="F234" s="2" t="s">
        <v>472</v>
      </c>
      <c r="G234" s="2" t="s">
        <v>800</v>
      </c>
      <c r="H234" s="2" t="s">
        <v>399</v>
      </c>
      <c r="I234" s="2"/>
      <c r="J234" s="2"/>
    </row>
    <row r="235" ht="14.25" customHeight="1">
      <c r="A235" s="2" t="s">
        <v>801</v>
      </c>
      <c r="B235" s="2" t="s">
        <v>802</v>
      </c>
      <c r="C235" s="3">
        <v>44607.0</v>
      </c>
      <c r="D235" s="3">
        <v>45444.0</v>
      </c>
      <c r="E235" s="2" t="s">
        <v>19</v>
      </c>
      <c r="F235" s="2" t="s">
        <v>78</v>
      </c>
      <c r="G235" s="2" t="s">
        <v>803</v>
      </c>
      <c r="H235" s="2" t="s">
        <v>265</v>
      </c>
      <c r="I235" s="2" t="s">
        <v>81</v>
      </c>
      <c r="J235" s="2"/>
    </row>
    <row r="236" ht="14.25" customHeight="1">
      <c r="A236" s="2" t="s">
        <v>804</v>
      </c>
      <c r="B236" s="2" t="s">
        <v>805</v>
      </c>
      <c r="C236" s="3">
        <v>45321.0</v>
      </c>
      <c r="D236" s="3">
        <v>45321.0</v>
      </c>
      <c r="E236" s="2" t="s">
        <v>19</v>
      </c>
      <c r="F236" s="2" t="s">
        <v>433</v>
      </c>
      <c r="G236" s="2" t="s">
        <v>434</v>
      </c>
      <c r="H236" s="2" t="s">
        <v>435</v>
      </c>
      <c r="I236" s="2" t="s">
        <v>436</v>
      </c>
      <c r="J236" s="2"/>
    </row>
    <row r="237" ht="14.25" customHeight="1">
      <c r="A237" s="2" t="s">
        <v>806</v>
      </c>
      <c r="B237" s="2" t="s">
        <v>807</v>
      </c>
      <c r="C237" s="3">
        <v>45308.0</v>
      </c>
      <c r="D237" s="3">
        <v>45870.0</v>
      </c>
      <c r="E237" s="2" t="s">
        <v>12</v>
      </c>
      <c r="F237" s="2" t="s">
        <v>97</v>
      </c>
      <c r="G237" s="2" t="s">
        <v>98</v>
      </c>
      <c r="H237" s="2" t="s">
        <v>271</v>
      </c>
      <c r="I237" s="2" t="s">
        <v>710</v>
      </c>
      <c r="J237" s="2"/>
    </row>
    <row r="238" ht="14.25" customHeight="1">
      <c r="A238" s="2" t="s">
        <v>808</v>
      </c>
      <c r="B238" s="2" t="s">
        <v>809</v>
      </c>
      <c r="C238" s="3">
        <v>44775.0</v>
      </c>
      <c r="D238" s="3">
        <v>45870.0</v>
      </c>
      <c r="E238" s="2" t="s">
        <v>111</v>
      </c>
      <c r="F238" s="2" t="s">
        <v>112</v>
      </c>
      <c r="G238" s="2" t="s">
        <v>118</v>
      </c>
      <c r="H238" s="2" t="s">
        <v>119</v>
      </c>
      <c r="I238" s="2" t="s">
        <v>120</v>
      </c>
      <c r="J238" s="2"/>
    </row>
    <row r="239" ht="14.25" customHeight="1">
      <c r="A239" s="2" t="s">
        <v>810</v>
      </c>
      <c r="B239" s="2" t="s">
        <v>811</v>
      </c>
      <c r="C239" s="3">
        <v>43592.0</v>
      </c>
      <c r="D239" s="3">
        <v>45870.0</v>
      </c>
      <c r="E239" s="2" t="s">
        <v>26</v>
      </c>
      <c r="F239" s="2" t="s">
        <v>147</v>
      </c>
      <c r="G239" s="2" t="s">
        <v>62</v>
      </c>
      <c r="H239" s="2" t="s">
        <v>304</v>
      </c>
      <c r="I239" s="2" t="s">
        <v>104</v>
      </c>
      <c r="J239" s="2"/>
    </row>
    <row r="240" ht="14.25" customHeight="1">
      <c r="A240" s="2" t="s">
        <v>812</v>
      </c>
      <c r="B240" s="2" t="s">
        <v>813</v>
      </c>
      <c r="C240" s="3">
        <v>45433.0</v>
      </c>
      <c r="D240" s="3">
        <v>45870.0</v>
      </c>
      <c r="E240" s="2" t="s">
        <v>26</v>
      </c>
      <c r="F240" s="2" t="s">
        <v>147</v>
      </c>
      <c r="G240" s="2" t="s">
        <v>372</v>
      </c>
      <c r="H240" s="2" t="s">
        <v>562</v>
      </c>
      <c r="I240" s="2" t="s">
        <v>104</v>
      </c>
      <c r="J240" s="2"/>
    </row>
    <row r="241" ht="14.25" customHeight="1">
      <c r="A241" s="2" t="s">
        <v>814</v>
      </c>
      <c r="B241" s="2" t="s">
        <v>815</v>
      </c>
      <c r="C241" s="3">
        <v>45643.0</v>
      </c>
      <c r="D241" s="3">
        <v>45870.0</v>
      </c>
      <c r="E241" s="2" t="s">
        <v>44</v>
      </c>
      <c r="F241" s="2" t="s">
        <v>123</v>
      </c>
      <c r="G241" s="2" t="s">
        <v>816</v>
      </c>
      <c r="H241" s="2" t="s">
        <v>399</v>
      </c>
      <c r="I241" s="2"/>
      <c r="J241" s="2"/>
    </row>
    <row r="242" ht="14.25" customHeight="1">
      <c r="A242" s="2" t="s">
        <v>817</v>
      </c>
      <c r="B242" s="2" t="s">
        <v>818</v>
      </c>
      <c r="C242" s="3">
        <v>44615.0</v>
      </c>
      <c r="D242" s="3">
        <v>45870.0</v>
      </c>
      <c r="E242" s="2" t="s">
        <v>111</v>
      </c>
      <c r="F242" s="2" t="s">
        <v>112</v>
      </c>
      <c r="G242" s="2" t="s">
        <v>351</v>
      </c>
      <c r="H242" s="2" t="s">
        <v>448</v>
      </c>
      <c r="I242" s="2" t="s">
        <v>161</v>
      </c>
      <c r="J242" s="2"/>
    </row>
    <row r="243" ht="14.25" customHeight="1">
      <c r="A243" s="2" t="s">
        <v>819</v>
      </c>
      <c r="B243" s="2" t="s">
        <v>820</v>
      </c>
      <c r="C243" s="3">
        <v>45818.0</v>
      </c>
      <c r="D243" s="3">
        <v>45870.0</v>
      </c>
      <c r="E243" s="2" t="s">
        <v>26</v>
      </c>
      <c r="F243" s="2" t="s">
        <v>50</v>
      </c>
      <c r="G243" s="2" t="s">
        <v>51</v>
      </c>
      <c r="H243" s="2" t="s">
        <v>52</v>
      </c>
      <c r="I243" s="2" t="s">
        <v>140</v>
      </c>
      <c r="J243" s="2"/>
    </row>
    <row r="244" ht="14.25" customHeight="1">
      <c r="A244" s="2" t="s">
        <v>821</v>
      </c>
      <c r="B244" s="2" t="s">
        <v>822</v>
      </c>
      <c r="C244" s="3">
        <v>44999.0</v>
      </c>
      <c r="D244" s="3">
        <v>45870.0</v>
      </c>
      <c r="E244" s="2" t="s">
        <v>26</v>
      </c>
      <c r="F244" s="2" t="s">
        <v>61</v>
      </c>
      <c r="G244" s="2" t="s">
        <v>28</v>
      </c>
      <c r="H244" s="2" t="s">
        <v>107</v>
      </c>
      <c r="I244" s="2" t="s">
        <v>108</v>
      </c>
      <c r="J244" s="2"/>
    </row>
    <row r="245" ht="14.25" customHeight="1">
      <c r="A245" s="2" t="s">
        <v>823</v>
      </c>
      <c r="B245" s="2" t="s">
        <v>824</v>
      </c>
      <c r="C245" s="3">
        <v>44621.0</v>
      </c>
      <c r="D245" s="3">
        <v>45870.0</v>
      </c>
      <c r="E245" s="2" t="s">
        <v>12</v>
      </c>
      <c r="F245" s="2" t="s">
        <v>97</v>
      </c>
      <c r="G245" s="2" t="s">
        <v>98</v>
      </c>
      <c r="H245" s="2" t="s">
        <v>271</v>
      </c>
      <c r="I245" s="2" t="s">
        <v>242</v>
      </c>
      <c r="J245" s="2"/>
    </row>
    <row r="246" ht="14.25" customHeight="1">
      <c r="A246" s="2" t="s">
        <v>825</v>
      </c>
      <c r="B246" s="2" t="s">
        <v>826</v>
      </c>
      <c r="C246" s="3">
        <v>45846.0</v>
      </c>
      <c r="D246" s="3">
        <v>45894.0</v>
      </c>
      <c r="E246" s="2" t="s">
        <v>44</v>
      </c>
      <c r="F246" s="2" t="s">
        <v>164</v>
      </c>
      <c r="G246" s="2" t="s">
        <v>827</v>
      </c>
      <c r="H246" s="2" t="s">
        <v>166</v>
      </c>
      <c r="I246" s="2"/>
      <c r="J246" s="2"/>
    </row>
    <row r="247" ht="14.25" customHeight="1">
      <c r="A247" s="2" t="s">
        <v>828</v>
      </c>
      <c r="B247" s="2" t="s">
        <v>829</v>
      </c>
      <c r="C247" s="3">
        <v>45412.0</v>
      </c>
      <c r="D247" s="3">
        <v>45870.0</v>
      </c>
      <c r="E247" s="2" t="s">
        <v>44</v>
      </c>
      <c r="F247" s="2" t="s">
        <v>472</v>
      </c>
      <c r="G247" s="2" t="s">
        <v>830</v>
      </c>
      <c r="H247" s="2" t="s">
        <v>831</v>
      </c>
      <c r="I247" s="2"/>
      <c r="J247" s="2"/>
    </row>
    <row r="248" ht="14.25" customHeight="1">
      <c r="A248" s="2" t="s">
        <v>832</v>
      </c>
      <c r="B248" s="2" t="s">
        <v>833</v>
      </c>
      <c r="C248" s="3">
        <v>45308.0</v>
      </c>
      <c r="D248" s="3">
        <v>45870.0</v>
      </c>
      <c r="E248" s="2" t="s">
        <v>111</v>
      </c>
      <c r="F248" s="2" t="s">
        <v>363</v>
      </c>
      <c r="G248" s="2" t="s">
        <v>834</v>
      </c>
      <c r="H248" s="2" t="s">
        <v>170</v>
      </c>
      <c r="I248" s="2" t="s">
        <v>161</v>
      </c>
      <c r="J248" s="2"/>
    </row>
    <row r="249" ht="14.25" customHeight="1">
      <c r="A249" s="2" t="s">
        <v>835</v>
      </c>
      <c r="B249" s="2" t="s">
        <v>836</v>
      </c>
      <c r="C249" s="3">
        <v>44474.0</v>
      </c>
      <c r="D249" s="3">
        <v>45870.0</v>
      </c>
      <c r="E249" s="2" t="s">
        <v>19</v>
      </c>
      <c r="F249" s="2" t="s">
        <v>176</v>
      </c>
      <c r="G249" s="2" t="s">
        <v>837</v>
      </c>
      <c r="H249" s="2" t="s">
        <v>380</v>
      </c>
      <c r="I249" s="2"/>
      <c r="J249" s="2"/>
    </row>
    <row r="250" ht="14.25" customHeight="1">
      <c r="A250" s="2" t="s">
        <v>838</v>
      </c>
      <c r="B250" s="2" t="s">
        <v>839</v>
      </c>
      <c r="C250" s="3">
        <v>45175.0</v>
      </c>
      <c r="D250" s="3">
        <v>45870.0</v>
      </c>
      <c r="E250" s="2" t="s">
        <v>44</v>
      </c>
      <c r="F250" s="2" t="s">
        <v>259</v>
      </c>
      <c r="G250" s="2" t="s">
        <v>840</v>
      </c>
      <c r="H250" s="2" t="s">
        <v>755</v>
      </c>
      <c r="I250" s="2"/>
      <c r="J250" s="2"/>
    </row>
    <row r="251" ht="14.25" customHeight="1">
      <c r="A251" s="2" t="s">
        <v>841</v>
      </c>
      <c r="B251" s="2" t="s">
        <v>842</v>
      </c>
      <c r="C251" s="3">
        <v>45692.0</v>
      </c>
      <c r="D251" s="3">
        <v>45692.0</v>
      </c>
      <c r="E251" s="2" t="s">
        <v>19</v>
      </c>
      <c r="F251" s="2" t="s">
        <v>219</v>
      </c>
      <c r="G251" s="2" t="s">
        <v>220</v>
      </c>
      <c r="H251" s="2" t="s">
        <v>221</v>
      </c>
      <c r="I251" s="2" t="s">
        <v>222</v>
      </c>
      <c r="J251" s="2"/>
    </row>
    <row r="252" ht="14.25" customHeight="1">
      <c r="A252" s="2" t="s">
        <v>843</v>
      </c>
      <c r="B252" s="2" t="s">
        <v>844</v>
      </c>
      <c r="C252" s="3">
        <v>44670.0</v>
      </c>
      <c r="D252" s="3">
        <v>45901.0</v>
      </c>
      <c r="E252" s="2" t="s">
        <v>19</v>
      </c>
      <c r="F252" s="2" t="s">
        <v>56</v>
      </c>
      <c r="G252" s="2" t="s">
        <v>559</v>
      </c>
      <c r="H252" s="2" t="s">
        <v>538</v>
      </c>
      <c r="I252" s="2" t="s">
        <v>381</v>
      </c>
      <c r="J252" s="2"/>
    </row>
    <row r="253" ht="14.25" customHeight="1">
      <c r="A253" s="2" t="s">
        <v>845</v>
      </c>
      <c r="B253" s="2" t="s">
        <v>846</v>
      </c>
      <c r="C253" s="3">
        <v>44580.0</v>
      </c>
      <c r="D253" s="3">
        <v>45870.0</v>
      </c>
      <c r="E253" s="2" t="s">
        <v>26</v>
      </c>
      <c r="F253" s="2" t="s">
        <v>27</v>
      </c>
      <c r="G253" s="2" t="s">
        <v>372</v>
      </c>
      <c r="H253" s="2" t="s">
        <v>455</v>
      </c>
      <c r="I253" s="2" t="s">
        <v>411</v>
      </c>
      <c r="J253" s="2"/>
    </row>
    <row r="254" ht="14.25" customHeight="1">
      <c r="A254" s="2" t="s">
        <v>847</v>
      </c>
      <c r="B254" s="2" t="s">
        <v>848</v>
      </c>
      <c r="C254" s="3">
        <v>45189.0</v>
      </c>
      <c r="D254" s="3">
        <v>45818.0</v>
      </c>
      <c r="E254" s="2" t="s">
        <v>19</v>
      </c>
      <c r="F254" s="2" t="s">
        <v>481</v>
      </c>
      <c r="G254" s="2" t="s">
        <v>198</v>
      </c>
      <c r="H254" s="2" t="s">
        <v>482</v>
      </c>
      <c r="I254" s="2" t="s">
        <v>70</v>
      </c>
      <c r="J254" s="2"/>
    </row>
    <row r="255" ht="14.25" customHeight="1">
      <c r="A255" s="2" t="s">
        <v>849</v>
      </c>
      <c r="B255" s="2" t="s">
        <v>850</v>
      </c>
      <c r="C255" s="3">
        <v>45202.0</v>
      </c>
      <c r="D255" s="3">
        <v>45916.0</v>
      </c>
      <c r="E255" s="2" t="s">
        <v>19</v>
      </c>
      <c r="F255" s="2" t="s">
        <v>248</v>
      </c>
      <c r="G255" s="2" t="s">
        <v>851</v>
      </c>
      <c r="H255" s="2" t="s">
        <v>746</v>
      </c>
      <c r="I255" s="2"/>
      <c r="J255" s="2"/>
    </row>
    <row r="256" ht="14.25" customHeight="1">
      <c r="A256" s="2" t="s">
        <v>852</v>
      </c>
      <c r="B256" s="2" t="s">
        <v>853</v>
      </c>
      <c r="C256" s="3">
        <v>45447.0</v>
      </c>
      <c r="D256" s="3">
        <v>45870.0</v>
      </c>
      <c r="E256" s="2" t="s">
        <v>12</v>
      </c>
      <c r="F256" s="2" t="s">
        <v>201</v>
      </c>
      <c r="G256" s="2" t="s">
        <v>854</v>
      </c>
      <c r="H256" s="2" t="s">
        <v>203</v>
      </c>
      <c r="I256" s="2" t="s">
        <v>628</v>
      </c>
      <c r="J256" s="2"/>
    </row>
    <row r="257" ht="14.25" customHeight="1">
      <c r="A257" s="2" t="s">
        <v>855</v>
      </c>
      <c r="B257" s="2" t="s">
        <v>856</v>
      </c>
      <c r="C257" s="3">
        <v>45090.0</v>
      </c>
      <c r="D257" s="3">
        <v>45870.0</v>
      </c>
      <c r="E257" s="2" t="s">
        <v>111</v>
      </c>
      <c r="F257" s="2" t="s">
        <v>112</v>
      </c>
      <c r="G257" s="2" t="s">
        <v>857</v>
      </c>
      <c r="H257" s="2" t="s">
        <v>686</v>
      </c>
      <c r="I257" s="2" t="s">
        <v>161</v>
      </c>
      <c r="J257" s="2"/>
    </row>
    <row r="258" ht="14.25" customHeight="1">
      <c r="A258" s="2" t="s">
        <v>858</v>
      </c>
      <c r="B258" s="2" t="s">
        <v>859</v>
      </c>
      <c r="C258" s="3">
        <v>45077.0</v>
      </c>
      <c r="D258" s="3">
        <v>45870.0</v>
      </c>
      <c r="E258" s="2" t="s">
        <v>44</v>
      </c>
      <c r="F258" s="2" t="s">
        <v>259</v>
      </c>
      <c r="G258" s="2" t="s">
        <v>860</v>
      </c>
      <c r="H258" s="2" t="s">
        <v>755</v>
      </c>
      <c r="I258" s="2"/>
      <c r="J258" s="2"/>
    </row>
    <row r="259" ht="14.25" customHeight="1">
      <c r="A259" s="2" t="s">
        <v>861</v>
      </c>
      <c r="B259" s="2" t="s">
        <v>862</v>
      </c>
      <c r="C259" s="3">
        <v>44930.0</v>
      </c>
      <c r="D259" s="3">
        <v>45413.0</v>
      </c>
      <c r="E259" s="2" t="s">
        <v>19</v>
      </c>
      <c r="F259" s="2" t="s">
        <v>433</v>
      </c>
      <c r="G259" s="2" t="s">
        <v>434</v>
      </c>
      <c r="H259" s="2" t="s">
        <v>435</v>
      </c>
      <c r="I259" s="2" t="s">
        <v>436</v>
      </c>
      <c r="J259" s="2"/>
    </row>
    <row r="260" ht="14.25" customHeight="1">
      <c r="A260" s="2" t="s">
        <v>863</v>
      </c>
      <c r="B260" s="2" t="s">
        <v>864</v>
      </c>
      <c r="C260" s="3">
        <v>44652.0</v>
      </c>
      <c r="D260" s="3">
        <v>45870.0</v>
      </c>
      <c r="E260" s="2" t="s">
        <v>111</v>
      </c>
      <c r="F260" s="2" t="s">
        <v>112</v>
      </c>
      <c r="G260" s="2" t="s">
        <v>447</v>
      </c>
      <c r="H260" s="2" t="s">
        <v>448</v>
      </c>
      <c r="I260" s="2" t="s">
        <v>161</v>
      </c>
      <c r="J260" s="2"/>
    </row>
    <row r="261" ht="14.25" customHeight="1">
      <c r="A261" s="2" t="s">
        <v>865</v>
      </c>
      <c r="B261" s="2" t="s">
        <v>866</v>
      </c>
      <c r="C261" s="3">
        <v>45335.0</v>
      </c>
      <c r="D261" s="3">
        <v>45870.0</v>
      </c>
      <c r="E261" s="2" t="s">
        <v>19</v>
      </c>
      <c r="F261" s="2" t="s">
        <v>84</v>
      </c>
      <c r="G261" s="2" t="s">
        <v>867</v>
      </c>
      <c r="H261" s="2" t="s">
        <v>380</v>
      </c>
      <c r="I261" s="2" t="s">
        <v>348</v>
      </c>
      <c r="J261" s="2"/>
    </row>
    <row r="262" ht="14.25" customHeight="1">
      <c r="A262" s="2" t="s">
        <v>868</v>
      </c>
      <c r="B262" s="2" t="s">
        <v>869</v>
      </c>
      <c r="C262" s="3">
        <v>44704.0</v>
      </c>
      <c r="D262" s="3">
        <v>45870.0</v>
      </c>
      <c r="E262" s="2" t="s">
        <v>26</v>
      </c>
      <c r="F262" s="2" t="s">
        <v>61</v>
      </c>
      <c r="G262" s="2" t="s">
        <v>51</v>
      </c>
      <c r="H262" s="2" t="s">
        <v>282</v>
      </c>
      <c r="I262" s="2" t="s">
        <v>283</v>
      </c>
      <c r="J262" s="2"/>
    </row>
    <row r="263" ht="14.25" customHeight="1">
      <c r="A263" s="2" t="s">
        <v>870</v>
      </c>
      <c r="B263" s="2" t="s">
        <v>871</v>
      </c>
      <c r="C263" s="3">
        <v>45783.0</v>
      </c>
      <c r="D263" s="3">
        <v>45870.0</v>
      </c>
      <c r="E263" s="2" t="s">
        <v>26</v>
      </c>
      <c r="F263" s="2" t="s">
        <v>598</v>
      </c>
      <c r="G263" s="2" t="s">
        <v>674</v>
      </c>
      <c r="H263" s="2" t="s">
        <v>550</v>
      </c>
      <c r="I263" s="2" t="s">
        <v>675</v>
      </c>
      <c r="J263" s="2"/>
    </row>
    <row r="264" ht="14.25" customHeight="1">
      <c r="A264" s="2" t="s">
        <v>872</v>
      </c>
      <c r="B264" s="2" t="s">
        <v>873</v>
      </c>
      <c r="C264" s="3">
        <v>45118.0</v>
      </c>
      <c r="D264" s="3">
        <v>45778.0</v>
      </c>
      <c r="E264" s="2" t="s">
        <v>33</v>
      </c>
      <c r="F264" s="2" t="s">
        <v>503</v>
      </c>
      <c r="G264" s="2" t="s">
        <v>874</v>
      </c>
      <c r="H264" s="2" t="s">
        <v>875</v>
      </c>
      <c r="I264" s="2"/>
      <c r="J264" s="2"/>
    </row>
    <row r="265" ht="14.25" customHeight="1">
      <c r="A265" s="2" t="s">
        <v>876</v>
      </c>
      <c r="B265" s="2" t="s">
        <v>877</v>
      </c>
      <c r="C265" s="3">
        <v>45629.0</v>
      </c>
      <c r="D265" s="3">
        <v>45870.0</v>
      </c>
      <c r="E265" s="2" t="s">
        <v>19</v>
      </c>
      <c r="F265" s="2" t="s">
        <v>248</v>
      </c>
      <c r="G265" s="2" t="s">
        <v>878</v>
      </c>
      <c r="H265" s="2" t="s">
        <v>746</v>
      </c>
      <c r="I265" s="2"/>
      <c r="J265" s="2"/>
    </row>
    <row r="266" ht="14.25" customHeight="1">
      <c r="A266" s="2" t="s">
        <v>879</v>
      </c>
      <c r="B266" s="2" t="s">
        <v>880</v>
      </c>
      <c r="C266" s="3">
        <v>45069.0</v>
      </c>
      <c r="D266" s="3">
        <v>45885.0</v>
      </c>
      <c r="E266" s="2" t="s">
        <v>19</v>
      </c>
      <c r="F266" s="2" t="s">
        <v>248</v>
      </c>
      <c r="G266" s="2" t="s">
        <v>881</v>
      </c>
      <c r="H266" s="2" t="s">
        <v>882</v>
      </c>
      <c r="I266" s="2" t="s">
        <v>251</v>
      </c>
      <c r="J266" s="2"/>
    </row>
    <row r="267" ht="14.25" customHeight="1">
      <c r="A267" s="2" t="s">
        <v>883</v>
      </c>
      <c r="B267" s="2" t="s">
        <v>884</v>
      </c>
      <c r="C267" s="3">
        <v>45636.0</v>
      </c>
      <c r="D267" s="3">
        <v>45870.0</v>
      </c>
      <c r="E267" s="2" t="s">
        <v>12</v>
      </c>
      <c r="F267" s="2" t="s">
        <v>201</v>
      </c>
      <c r="G267" s="2" t="s">
        <v>299</v>
      </c>
      <c r="H267" s="2" t="s">
        <v>203</v>
      </c>
      <c r="I267" s="2" t="s">
        <v>300</v>
      </c>
      <c r="J267" s="2"/>
    </row>
    <row r="268" ht="14.25" customHeight="1">
      <c r="A268" s="2" t="s">
        <v>885</v>
      </c>
      <c r="B268" s="2" t="s">
        <v>886</v>
      </c>
      <c r="C268" s="3">
        <v>45461.0</v>
      </c>
      <c r="D268" s="3">
        <v>45870.0</v>
      </c>
      <c r="E268" s="2" t="s">
        <v>19</v>
      </c>
      <c r="F268" s="2" t="s">
        <v>176</v>
      </c>
      <c r="G268" s="2" t="s">
        <v>559</v>
      </c>
      <c r="H268" s="2" t="s">
        <v>327</v>
      </c>
      <c r="I268" s="2" t="s">
        <v>328</v>
      </c>
      <c r="J268" s="2"/>
    </row>
    <row r="269" ht="14.25" customHeight="1">
      <c r="A269" s="2" t="s">
        <v>887</v>
      </c>
      <c r="B269" s="2" t="s">
        <v>888</v>
      </c>
      <c r="C269" s="3">
        <v>45790.0</v>
      </c>
      <c r="D269" s="3">
        <v>45870.0</v>
      </c>
      <c r="E269" s="2" t="s">
        <v>26</v>
      </c>
      <c r="F269" s="2" t="s">
        <v>147</v>
      </c>
      <c r="G269" s="2" t="s">
        <v>51</v>
      </c>
      <c r="H269" s="2" t="s">
        <v>562</v>
      </c>
      <c r="I269" s="2"/>
      <c r="J269" s="2"/>
    </row>
    <row r="270" ht="14.25" customHeight="1">
      <c r="A270" s="2" t="s">
        <v>889</v>
      </c>
      <c r="B270" s="2" t="s">
        <v>890</v>
      </c>
      <c r="C270" s="3">
        <v>45867.0</v>
      </c>
      <c r="D270" s="3">
        <v>45870.0</v>
      </c>
      <c r="E270" s="2" t="s">
        <v>12</v>
      </c>
      <c r="F270" s="2" t="s">
        <v>417</v>
      </c>
      <c r="G270" s="2" t="s">
        <v>255</v>
      </c>
      <c r="H270" s="2" t="s">
        <v>387</v>
      </c>
      <c r="I270" s="2" t="s">
        <v>891</v>
      </c>
      <c r="J270" s="2"/>
    </row>
    <row r="271" ht="14.25" customHeight="1">
      <c r="A271" s="2" t="s">
        <v>892</v>
      </c>
      <c r="B271" s="2" t="s">
        <v>893</v>
      </c>
      <c r="C271" s="3">
        <v>45272.0</v>
      </c>
      <c r="D271" s="3">
        <v>45870.0</v>
      </c>
      <c r="E271" s="2" t="s">
        <v>12</v>
      </c>
      <c r="F271" s="2" t="s">
        <v>201</v>
      </c>
      <c r="G271" s="2" t="s">
        <v>707</v>
      </c>
      <c r="H271" s="2" t="s">
        <v>203</v>
      </c>
      <c r="I271" s="2" t="s">
        <v>628</v>
      </c>
      <c r="J271" s="2"/>
    </row>
    <row r="272" ht="14.25" customHeight="1">
      <c r="A272" s="2" t="s">
        <v>894</v>
      </c>
      <c r="B272" s="2" t="s">
        <v>895</v>
      </c>
      <c r="C272" s="3">
        <v>44664.0</v>
      </c>
      <c r="D272" s="3">
        <v>45870.0</v>
      </c>
      <c r="E272" s="2" t="s">
        <v>26</v>
      </c>
      <c r="F272" s="2" t="s">
        <v>27</v>
      </c>
      <c r="G272" s="2" t="s">
        <v>28</v>
      </c>
      <c r="H272" s="2" t="s">
        <v>207</v>
      </c>
      <c r="I272" s="2" t="s">
        <v>30</v>
      </c>
      <c r="J272" s="2"/>
    </row>
    <row r="273" ht="14.25" customHeight="1">
      <c r="A273" s="2" t="s">
        <v>896</v>
      </c>
      <c r="B273" s="2" t="s">
        <v>897</v>
      </c>
      <c r="C273" s="3">
        <v>45280.0</v>
      </c>
      <c r="D273" s="3">
        <v>45870.0</v>
      </c>
      <c r="E273" s="2" t="s">
        <v>26</v>
      </c>
      <c r="F273" s="2" t="s">
        <v>27</v>
      </c>
      <c r="G273" s="2" t="s">
        <v>28</v>
      </c>
      <c r="H273" s="2" t="s">
        <v>336</v>
      </c>
      <c r="I273" s="2" t="s">
        <v>337</v>
      </c>
      <c r="J273" s="2"/>
    </row>
    <row r="274" ht="14.25" customHeight="1">
      <c r="A274" s="2" t="s">
        <v>898</v>
      </c>
      <c r="B274" s="2" t="s">
        <v>899</v>
      </c>
      <c r="C274" s="3">
        <v>45280.0</v>
      </c>
      <c r="D274" s="3">
        <v>45870.0</v>
      </c>
      <c r="E274" s="2" t="s">
        <v>26</v>
      </c>
      <c r="F274" s="2" t="s">
        <v>27</v>
      </c>
      <c r="G274" s="2" t="s">
        <v>303</v>
      </c>
      <c r="H274" s="2" t="s">
        <v>387</v>
      </c>
      <c r="I274" s="2" t="s">
        <v>414</v>
      </c>
      <c r="J274" s="2"/>
    </row>
    <row r="275" ht="14.25" customHeight="1">
      <c r="A275" s="2" t="s">
        <v>900</v>
      </c>
      <c r="B275" s="2" t="s">
        <v>901</v>
      </c>
      <c r="C275" s="3">
        <v>45294.0</v>
      </c>
      <c r="D275" s="3">
        <v>45870.0</v>
      </c>
      <c r="E275" s="2" t="s">
        <v>19</v>
      </c>
      <c r="F275" s="2" t="s">
        <v>56</v>
      </c>
      <c r="G275" s="2" t="s">
        <v>326</v>
      </c>
      <c r="H275" s="2" t="s">
        <v>538</v>
      </c>
      <c r="I275" s="2" t="s">
        <v>381</v>
      </c>
      <c r="J275" s="2"/>
    </row>
    <row r="276" ht="14.25" customHeight="1">
      <c r="A276" s="2" t="s">
        <v>902</v>
      </c>
      <c r="B276" s="2" t="s">
        <v>903</v>
      </c>
      <c r="C276" s="3">
        <v>43578.0</v>
      </c>
      <c r="D276" s="3">
        <v>45870.0</v>
      </c>
      <c r="E276" s="2" t="s">
        <v>26</v>
      </c>
      <c r="F276" s="2" t="s">
        <v>61</v>
      </c>
      <c r="G276" s="2" t="s">
        <v>51</v>
      </c>
      <c r="H276" s="2" t="s">
        <v>458</v>
      </c>
      <c r="I276" s="2" t="s">
        <v>283</v>
      </c>
      <c r="J276" s="2"/>
    </row>
    <row r="277" ht="14.25" customHeight="1">
      <c r="A277" s="2" t="s">
        <v>904</v>
      </c>
      <c r="B277" s="2" t="s">
        <v>905</v>
      </c>
      <c r="C277" s="3">
        <v>42983.0</v>
      </c>
      <c r="D277" s="3">
        <v>45870.0</v>
      </c>
      <c r="E277" s="2" t="s">
        <v>26</v>
      </c>
      <c r="F277" s="2" t="s">
        <v>27</v>
      </c>
      <c r="G277" s="2" t="s">
        <v>28</v>
      </c>
      <c r="H277" s="2" t="s">
        <v>29</v>
      </c>
      <c r="I277" s="2" t="s">
        <v>30</v>
      </c>
      <c r="J277" s="2"/>
    </row>
    <row r="278" ht="14.25" customHeight="1">
      <c r="A278" s="2" t="s">
        <v>906</v>
      </c>
      <c r="B278" s="2" t="s">
        <v>907</v>
      </c>
      <c r="C278" s="3">
        <v>43473.0</v>
      </c>
      <c r="D278" s="3">
        <v>45870.0</v>
      </c>
      <c r="E278" s="2" t="s">
        <v>26</v>
      </c>
      <c r="F278" s="2" t="s">
        <v>461</v>
      </c>
      <c r="G278" s="2" t="s">
        <v>303</v>
      </c>
      <c r="H278" s="2" t="s">
        <v>410</v>
      </c>
      <c r="I278" s="2" t="s">
        <v>609</v>
      </c>
      <c r="J278" s="2"/>
    </row>
    <row r="279" ht="14.25" customHeight="1">
      <c r="A279" s="2" t="s">
        <v>908</v>
      </c>
      <c r="B279" s="2" t="s">
        <v>909</v>
      </c>
      <c r="C279" s="3">
        <v>44873.0</v>
      </c>
      <c r="D279" s="3">
        <v>45917.0</v>
      </c>
      <c r="E279" s="2" t="s">
        <v>33</v>
      </c>
      <c r="F279" s="2" t="s">
        <v>34</v>
      </c>
      <c r="G279" s="2" t="s">
        <v>910</v>
      </c>
      <c r="H279" s="2" t="s">
        <v>94</v>
      </c>
      <c r="I279" s="2"/>
      <c r="J279" s="2"/>
    </row>
    <row r="280" ht="14.25" customHeight="1">
      <c r="A280" s="2" t="s">
        <v>911</v>
      </c>
      <c r="B280" s="2" t="s">
        <v>912</v>
      </c>
      <c r="C280" s="3">
        <v>45013.0</v>
      </c>
      <c r="D280" s="3">
        <v>45843.0</v>
      </c>
      <c r="E280" s="2" t="s">
        <v>19</v>
      </c>
      <c r="F280" s="2" t="s">
        <v>612</v>
      </c>
      <c r="G280" s="2" t="s">
        <v>198</v>
      </c>
      <c r="H280" s="2" t="s">
        <v>613</v>
      </c>
      <c r="I280" s="2" t="s">
        <v>381</v>
      </c>
      <c r="J280" s="2"/>
    </row>
    <row r="281" ht="14.25" customHeight="1">
      <c r="A281" s="2" t="s">
        <v>913</v>
      </c>
      <c r="B281" s="2" t="s">
        <v>914</v>
      </c>
      <c r="C281" s="3">
        <v>44312.0</v>
      </c>
      <c r="D281" s="3">
        <v>45870.0</v>
      </c>
      <c r="E281" s="2" t="s">
        <v>12</v>
      </c>
      <c r="F281" s="2" t="s">
        <v>97</v>
      </c>
      <c r="G281" s="2" t="s">
        <v>98</v>
      </c>
      <c r="H281" s="2" t="s">
        <v>99</v>
      </c>
      <c r="I281" s="2" t="s">
        <v>104</v>
      </c>
      <c r="J281" s="2"/>
    </row>
    <row r="282" ht="14.25" customHeight="1">
      <c r="A282" s="2" t="s">
        <v>915</v>
      </c>
      <c r="B282" s="2" t="s">
        <v>916</v>
      </c>
      <c r="C282" s="3">
        <v>45447.0</v>
      </c>
      <c r="D282" s="3">
        <v>45870.0</v>
      </c>
      <c r="E282" s="2" t="s">
        <v>44</v>
      </c>
      <c r="F282" s="2" t="s">
        <v>45</v>
      </c>
      <c r="G282" s="2" t="s">
        <v>917</v>
      </c>
      <c r="H282" s="2" t="s">
        <v>47</v>
      </c>
      <c r="I282" s="2"/>
      <c r="J282" s="2"/>
    </row>
    <row r="283" ht="14.25" customHeight="1">
      <c r="A283" s="2" t="s">
        <v>918</v>
      </c>
      <c r="B283" s="2" t="s">
        <v>919</v>
      </c>
      <c r="C283" s="3">
        <v>45216.0</v>
      </c>
      <c r="D283" s="3">
        <v>45870.0</v>
      </c>
      <c r="E283" s="2" t="s">
        <v>12</v>
      </c>
      <c r="F283" s="2" t="s">
        <v>201</v>
      </c>
      <c r="G283" s="2" t="s">
        <v>299</v>
      </c>
      <c r="H283" s="2" t="s">
        <v>203</v>
      </c>
      <c r="I283" s="2" t="s">
        <v>204</v>
      </c>
      <c r="J283" s="2"/>
    </row>
    <row r="284" ht="14.25" customHeight="1">
      <c r="A284" s="2" t="s">
        <v>920</v>
      </c>
      <c r="B284" s="2" t="s">
        <v>921</v>
      </c>
      <c r="C284" s="3">
        <v>44665.0</v>
      </c>
      <c r="D284" s="3">
        <v>45870.0</v>
      </c>
      <c r="E284" s="2" t="s">
        <v>26</v>
      </c>
      <c r="F284" s="2" t="s">
        <v>147</v>
      </c>
      <c r="G284" s="2" t="s">
        <v>303</v>
      </c>
      <c r="H284" s="2" t="s">
        <v>304</v>
      </c>
      <c r="I284" s="2" t="s">
        <v>16</v>
      </c>
      <c r="J284" s="2"/>
    </row>
    <row r="285" ht="14.25" customHeight="1">
      <c r="A285" s="2" t="s">
        <v>922</v>
      </c>
      <c r="B285" s="2" t="s">
        <v>923</v>
      </c>
      <c r="C285" s="3">
        <v>44607.0</v>
      </c>
      <c r="D285" s="3">
        <v>45916.0</v>
      </c>
      <c r="E285" s="2" t="s">
        <v>19</v>
      </c>
      <c r="F285" s="2" t="s">
        <v>248</v>
      </c>
      <c r="G285" s="2" t="s">
        <v>924</v>
      </c>
      <c r="H285" s="2" t="s">
        <v>746</v>
      </c>
      <c r="I285" s="2"/>
      <c r="J285" s="2"/>
    </row>
    <row r="286" ht="14.25" customHeight="1">
      <c r="A286" s="2" t="s">
        <v>925</v>
      </c>
      <c r="B286" s="2" t="s">
        <v>926</v>
      </c>
      <c r="C286" s="3">
        <v>44873.0</v>
      </c>
      <c r="D286" s="3">
        <v>45901.0</v>
      </c>
      <c r="E286" s="2" t="s">
        <v>19</v>
      </c>
      <c r="F286" s="2" t="s">
        <v>536</v>
      </c>
      <c r="G286" s="2" t="s">
        <v>559</v>
      </c>
      <c r="H286" s="2" t="s">
        <v>538</v>
      </c>
      <c r="I286" s="2" t="s">
        <v>328</v>
      </c>
      <c r="J286" s="2"/>
    </row>
    <row r="287" ht="14.25" customHeight="1">
      <c r="A287" s="2" t="s">
        <v>927</v>
      </c>
      <c r="B287" s="2" t="s">
        <v>928</v>
      </c>
      <c r="C287" s="3">
        <v>43515.0</v>
      </c>
      <c r="D287" s="3">
        <v>45870.0</v>
      </c>
      <c r="E287" s="2" t="s">
        <v>12</v>
      </c>
      <c r="F287" s="2" t="s">
        <v>487</v>
      </c>
      <c r="G287" s="2" t="s">
        <v>929</v>
      </c>
      <c r="H287" s="2" t="s">
        <v>489</v>
      </c>
      <c r="I287" s="2" t="s">
        <v>930</v>
      </c>
      <c r="J287" s="2"/>
    </row>
    <row r="288" ht="14.25" customHeight="1">
      <c r="A288" s="2" t="s">
        <v>931</v>
      </c>
      <c r="B288" s="2" t="s">
        <v>932</v>
      </c>
      <c r="C288" s="3">
        <v>45608.0</v>
      </c>
      <c r="D288" s="3">
        <v>45870.0</v>
      </c>
      <c r="E288" s="2" t="s">
        <v>12</v>
      </c>
      <c r="F288" s="2" t="s">
        <v>201</v>
      </c>
      <c r="G288" s="2" t="s">
        <v>707</v>
      </c>
      <c r="H288" s="2" t="s">
        <v>203</v>
      </c>
      <c r="I288" s="2" t="s">
        <v>628</v>
      </c>
      <c r="J288" s="2"/>
    </row>
    <row r="289" ht="14.25" customHeight="1">
      <c r="A289" s="2" t="s">
        <v>933</v>
      </c>
      <c r="B289" s="2" t="s">
        <v>934</v>
      </c>
      <c r="C289" s="3">
        <v>44811.0</v>
      </c>
      <c r="D289" s="3">
        <v>45870.0</v>
      </c>
      <c r="E289" s="2" t="s">
        <v>19</v>
      </c>
      <c r="F289" s="2" t="s">
        <v>78</v>
      </c>
      <c r="G289" s="2" t="s">
        <v>935</v>
      </c>
      <c r="H289" s="2" t="s">
        <v>380</v>
      </c>
      <c r="I289" s="2" t="s">
        <v>81</v>
      </c>
      <c r="J289" s="2"/>
    </row>
    <row r="290" ht="14.25" customHeight="1">
      <c r="A290" s="2" t="s">
        <v>936</v>
      </c>
      <c r="B290" s="2" t="s">
        <v>937</v>
      </c>
      <c r="C290" s="3">
        <v>45659.0</v>
      </c>
      <c r="D290" s="3">
        <v>45659.0</v>
      </c>
      <c r="E290" s="2" t="s">
        <v>33</v>
      </c>
      <c r="F290" s="2" t="s">
        <v>34</v>
      </c>
      <c r="G290" s="2" t="s">
        <v>938</v>
      </c>
      <c r="H290" s="2" t="s">
        <v>94</v>
      </c>
      <c r="I290" s="2"/>
      <c r="J290" s="2"/>
    </row>
    <row r="291" ht="14.25" customHeight="1">
      <c r="A291" s="2" t="s">
        <v>939</v>
      </c>
      <c r="B291" s="2" t="s">
        <v>940</v>
      </c>
      <c r="C291" s="3">
        <v>45580.0</v>
      </c>
      <c r="D291" s="3">
        <v>45902.0</v>
      </c>
      <c r="E291" s="2" t="s">
        <v>19</v>
      </c>
      <c r="F291" s="2" t="s">
        <v>274</v>
      </c>
      <c r="G291" s="2" t="s">
        <v>941</v>
      </c>
      <c r="H291" s="2" t="s">
        <v>661</v>
      </c>
      <c r="I291" s="2" t="s">
        <v>942</v>
      </c>
      <c r="J291" s="2"/>
    </row>
    <row r="292" ht="14.25" customHeight="1">
      <c r="A292" s="2" t="s">
        <v>943</v>
      </c>
      <c r="B292" s="2" t="s">
        <v>944</v>
      </c>
      <c r="C292" s="3">
        <v>44270.0</v>
      </c>
      <c r="D292" s="3">
        <v>45627.0</v>
      </c>
      <c r="E292" s="2" t="s">
        <v>33</v>
      </c>
      <c r="F292" s="2" t="s">
        <v>34</v>
      </c>
      <c r="G292" s="2" t="s">
        <v>945</v>
      </c>
      <c r="H292" s="2" t="s">
        <v>94</v>
      </c>
      <c r="I292" s="2"/>
      <c r="J292" s="2"/>
    </row>
    <row r="293" ht="14.25" customHeight="1">
      <c r="A293" s="2" t="s">
        <v>946</v>
      </c>
      <c r="B293" s="2" t="s">
        <v>947</v>
      </c>
      <c r="C293" s="3">
        <v>45811.0</v>
      </c>
      <c r="D293" s="3">
        <v>45811.0</v>
      </c>
      <c r="E293" s="2" t="s">
        <v>19</v>
      </c>
      <c r="F293" s="2" t="s">
        <v>274</v>
      </c>
      <c r="G293" s="2" t="s">
        <v>948</v>
      </c>
      <c r="H293" s="2" t="s">
        <v>380</v>
      </c>
      <c r="I293" s="2"/>
      <c r="J293" s="2"/>
    </row>
    <row r="294" ht="14.25" customHeight="1">
      <c r="A294" s="2" t="s">
        <v>949</v>
      </c>
      <c r="B294" s="2" t="s">
        <v>950</v>
      </c>
      <c r="C294" s="3">
        <v>45104.0</v>
      </c>
      <c r="D294" s="3">
        <v>45870.0</v>
      </c>
      <c r="E294" s="2" t="s">
        <v>12</v>
      </c>
      <c r="F294" s="2" t="s">
        <v>97</v>
      </c>
      <c r="G294" s="2" t="s">
        <v>103</v>
      </c>
      <c r="H294" s="2" t="s">
        <v>99</v>
      </c>
      <c r="I294" s="2" t="s">
        <v>16</v>
      </c>
      <c r="J294" s="2"/>
    </row>
    <row r="295" ht="14.25" customHeight="1">
      <c r="A295" s="2" t="s">
        <v>951</v>
      </c>
      <c r="B295" s="2" t="s">
        <v>952</v>
      </c>
      <c r="C295" s="3">
        <v>45181.0</v>
      </c>
      <c r="D295" s="3">
        <v>45870.0</v>
      </c>
      <c r="E295" s="2" t="s">
        <v>111</v>
      </c>
      <c r="F295" s="2" t="s">
        <v>112</v>
      </c>
      <c r="G295" s="2" t="s">
        <v>953</v>
      </c>
      <c r="H295" s="2" t="s">
        <v>114</v>
      </c>
      <c r="I295" s="2" t="s">
        <v>115</v>
      </c>
      <c r="J295" s="2"/>
    </row>
    <row r="296" ht="14.25" customHeight="1">
      <c r="A296" s="2" t="s">
        <v>954</v>
      </c>
      <c r="B296" s="2" t="s">
        <v>955</v>
      </c>
      <c r="C296" s="3">
        <v>45006.0</v>
      </c>
      <c r="D296" s="3">
        <v>45870.0</v>
      </c>
      <c r="E296" s="2" t="s">
        <v>111</v>
      </c>
      <c r="F296" s="2" t="s">
        <v>112</v>
      </c>
      <c r="G296" s="2" t="s">
        <v>956</v>
      </c>
      <c r="H296" s="2" t="s">
        <v>686</v>
      </c>
      <c r="I296" s="2" t="s">
        <v>111</v>
      </c>
      <c r="J296" s="2"/>
    </row>
    <row r="297" ht="14.25" customHeight="1">
      <c r="A297" s="2" t="s">
        <v>957</v>
      </c>
      <c r="B297" s="2" t="s">
        <v>958</v>
      </c>
      <c r="C297" s="3">
        <v>42303.0</v>
      </c>
      <c r="D297" s="3">
        <v>45870.0</v>
      </c>
      <c r="E297" s="2" t="s">
        <v>44</v>
      </c>
      <c r="F297" s="2" t="s">
        <v>45</v>
      </c>
      <c r="G297" s="2" t="s">
        <v>959</v>
      </c>
      <c r="H297" s="2" t="s">
        <v>399</v>
      </c>
      <c r="I297" s="2"/>
      <c r="J297" s="2"/>
    </row>
    <row r="298" ht="14.25" customHeight="1">
      <c r="A298" s="2" t="s">
        <v>960</v>
      </c>
      <c r="B298" s="2" t="s">
        <v>961</v>
      </c>
      <c r="C298" s="3">
        <v>45153.0</v>
      </c>
      <c r="D298" s="3">
        <v>45870.0</v>
      </c>
      <c r="E298" s="2" t="s">
        <v>26</v>
      </c>
      <c r="F298" s="2" t="s">
        <v>61</v>
      </c>
      <c r="G298" s="2" t="s">
        <v>51</v>
      </c>
      <c r="H298" s="2" t="s">
        <v>107</v>
      </c>
      <c r="I298" s="2" t="s">
        <v>108</v>
      </c>
      <c r="J298" s="2"/>
    </row>
    <row r="299" ht="14.25" customHeight="1">
      <c r="A299" s="2" t="s">
        <v>962</v>
      </c>
      <c r="B299" s="2" t="s">
        <v>963</v>
      </c>
      <c r="C299" s="3">
        <v>44474.0</v>
      </c>
      <c r="D299" s="3">
        <v>45870.0</v>
      </c>
      <c r="E299" s="2" t="s">
        <v>12</v>
      </c>
      <c r="F299" s="2" t="s">
        <v>417</v>
      </c>
      <c r="G299" s="2" t="s">
        <v>409</v>
      </c>
      <c r="H299" s="2" t="s">
        <v>387</v>
      </c>
      <c r="I299" s="2" t="s">
        <v>414</v>
      </c>
      <c r="J299" s="2"/>
    </row>
    <row r="300" ht="14.25" customHeight="1">
      <c r="A300" s="2" t="s">
        <v>964</v>
      </c>
      <c r="B300" s="2" t="s">
        <v>965</v>
      </c>
      <c r="C300" s="3">
        <v>44474.0</v>
      </c>
      <c r="D300" s="3">
        <v>45870.0</v>
      </c>
      <c r="E300" s="2" t="s">
        <v>19</v>
      </c>
      <c r="F300" s="2" t="s">
        <v>176</v>
      </c>
      <c r="G300" s="2" t="s">
        <v>326</v>
      </c>
      <c r="H300" s="2" t="s">
        <v>327</v>
      </c>
      <c r="I300" s="2" t="s">
        <v>111</v>
      </c>
      <c r="J300" s="2"/>
    </row>
    <row r="301" ht="14.25" customHeight="1">
      <c r="A301" s="2" t="s">
        <v>966</v>
      </c>
      <c r="B301" s="2" t="s">
        <v>967</v>
      </c>
      <c r="C301" s="3">
        <v>44930.0</v>
      </c>
      <c r="D301" s="3">
        <v>45778.0</v>
      </c>
      <c r="E301" s="2" t="s">
        <v>33</v>
      </c>
      <c r="F301" s="2" t="s">
        <v>968</v>
      </c>
      <c r="G301" s="2" t="s">
        <v>969</v>
      </c>
      <c r="H301" s="2" t="s">
        <v>238</v>
      </c>
      <c r="I301" s="2"/>
      <c r="J301" s="2"/>
    </row>
    <row r="302" ht="14.25" customHeight="1">
      <c r="A302" s="2" t="s">
        <v>970</v>
      </c>
      <c r="B302" s="2" t="s">
        <v>971</v>
      </c>
      <c r="C302" s="3">
        <v>45280.0</v>
      </c>
      <c r="D302" s="3">
        <v>45870.0</v>
      </c>
      <c r="E302" s="2" t="s">
        <v>26</v>
      </c>
      <c r="F302" s="2" t="s">
        <v>61</v>
      </c>
      <c r="G302" s="2" t="s">
        <v>51</v>
      </c>
      <c r="H302" s="2" t="s">
        <v>458</v>
      </c>
      <c r="I302" s="2" t="s">
        <v>283</v>
      </c>
      <c r="J302" s="2"/>
    </row>
    <row r="303" ht="14.25" customHeight="1">
      <c r="A303" s="2" t="s">
        <v>972</v>
      </c>
      <c r="B303" s="2" t="s">
        <v>973</v>
      </c>
      <c r="C303" s="3">
        <v>45797.0</v>
      </c>
      <c r="D303" s="3">
        <v>45845.0</v>
      </c>
      <c r="E303" s="2" t="s">
        <v>33</v>
      </c>
      <c r="F303" s="2" t="s">
        <v>315</v>
      </c>
      <c r="G303" s="2" t="s">
        <v>585</v>
      </c>
      <c r="H303" s="2" t="s">
        <v>188</v>
      </c>
      <c r="I303" s="2"/>
      <c r="J303" s="2"/>
    </row>
    <row r="304" ht="14.25" customHeight="1">
      <c r="A304" s="2" t="s">
        <v>974</v>
      </c>
      <c r="B304" s="2" t="s">
        <v>975</v>
      </c>
      <c r="C304" s="3">
        <v>45280.0</v>
      </c>
      <c r="D304" s="3">
        <v>45870.0</v>
      </c>
      <c r="E304" s="2" t="s">
        <v>26</v>
      </c>
      <c r="F304" s="2" t="s">
        <v>27</v>
      </c>
      <c r="G304" s="2" t="s">
        <v>28</v>
      </c>
      <c r="H304" s="2" t="s">
        <v>29</v>
      </c>
      <c r="I304" s="2" t="s">
        <v>414</v>
      </c>
      <c r="J304" s="2"/>
    </row>
    <row r="305" ht="14.25" customHeight="1">
      <c r="A305" s="2" t="s">
        <v>976</v>
      </c>
      <c r="B305" s="2" t="s">
        <v>977</v>
      </c>
      <c r="C305" s="3">
        <v>45524.0</v>
      </c>
      <c r="D305" s="3">
        <v>45870.0</v>
      </c>
      <c r="E305" s="2" t="s">
        <v>12</v>
      </c>
      <c r="F305" s="2" t="s">
        <v>201</v>
      </c>
      <c r="G305" s="2" t="s">
        <v>299</v>
      </c>
      <c r="H305" s="2" t="s">
        <v>203</v>
      </c>
      <c r="I305" s="2" t="s">
        <v>204</v>
      </c>
      <c r="J305" s="2"/>
    </row>
    <row r="306" ht="14.25" customHeight="1">
      <c r="A306" s="2" t="s">
        <v>978</v>
      </c>
      <c r="B306" s="2" t="s">
        <v>979</v>
      </c>
      <c r="C306" s="3">
        <v>45216.0</v>
      </c>
      <c r="D306" s="3">
        <v>45870.0</v>
      </c>
      <c r="E306" s="2" t="s">
        <v>26</v>
      </c>
      <c r="F306" s="2" t="s">
        <v>27</v>
      </c>
      <c r="G306" s="2" t="s">
        <v>980</v>
      </c>
      <c r="H306" s="2" t="s">
        <v>29</v>
      </c>
      <c r="I306" s="2" t="s">
        <v>30</v>
      </c>
      <c r="J306" s="2"/>
    </row>
    <row r="307" ht="14.25" customHeight="1">
      <c r="A307" s="2" t="s">
        <v>981</v>
      </c>
      <c r="B307" s="2" t="s">
        <v>982</v>
      </c>
      <c r="C307" s="3">
        <v>45125.0</v>
      </c>
      <c r="D307" s="3">
        <v>45778.0</v>
      </c>
      <c r="E307" s="2" t="s">
        <v>33</v>
      </c>
      <c r="F307" s="2" t="s">
        <v>503</v>
      </c>
      <c r="G307" s="2" t="s">
        <v>983</v>
      </c>
      <c r="H307" s="2" t="s">
        <v>554</v>
      </c>
      <c r="I307" s="2"/>
      <c r="J307" s="2"/>
    </row>
    <row r="308" ht="14.25" customHeight="1">
      <c r="A308" s="2" t="s">
        <v>984</v>
      </c>
      <c r="B308" s="2" t="s">
        <v>985</v>
      </c>
      <c r="C308" s="3">
        <v>45874.0</v>
      </c>
      <c r="D308" s="3">
        <v>45874.0</v>
      </c>
      <c r="E308" s="2" t="s">
        <v>33</v>
      </c>
      <c r="F308" s="2" t="s">
        <v>986</v>
      </c>
      <c r="G308" s="2" t="s">
        <v>987</v>
      </c>
      <c r="H308" s="2" t="s">
        <v>519</v>
      </c>
      <c r="I308" s="2" t="s">
        <v>988</v>
      </c>
      <c r="J308" s="2"/>
    </row>
    <row r="309" ht="14.25" customHeight="1">
      <c r="A309" s="2" t="s">
        <v>989</v>
      </c>
      <c r="B309" s="2" t="s">
        <v>990</v>
      </c>
      <c r="C309" s="3">
        <v>45482.0</v>
      </c>
      <c r="D309" s="3">
        <v>45870.0</v>
      </c>
      <c r="E309" s="2" t="s">
        <v>19</v>
      </c>
      <c r="F309" s="2" t="s">
        <v>248</v>
      </c>
      <c r="G309" s="2" t="s">
        <v>991</v>
      </c>
      <c r="H309" s="2" t="s">
        <v>452</v>
      </c>
      <c r="I309" s="2" t="s">
        <v>251</v>
      </c>
      <c r="J309" s="2"/>
    </row>
    <row r="310" ht="14.25" customHeight="1">
      <c r="A310" s="2" t="s">
        <v>992</v>
      </c>
      <c r="B310" s="2" t="s">
        <v>993</v>
      </c>
      <c r="C310" s="3">
        <v>45853.0</v>
      </c>
      <c r="D310" s="3">
        <v>45870.0</v>
      </c>
      <c r="E310" s="2" t="s">
        <v>19</v>
      </c>
      <c r="F310" s="2" t="s">
        <v>181</v>
      </c>
      <c r="G310" s="2" t="s">
        <v>994</v>
      </c>
      <c r="H310" s="2" t="s">
        <v>170</v>
      </c>
      <c r="I310" s="2"/>
      <c r="J310" s="2"/>
    </row>
    <row r="311" ht="14.25" customHeight="1">
      <c r="A311" s="2" t="s">
        <v>995</v>
      </c>
      <c r="B311" s="2" t="s">
        <v>996</v>
      </c>
      <c r="C311" s="3">
        <v>45349.0</v>
      </c>
      <c r="D311" s="3">
        <v>45870.0</v>
      </c>
      <c r="E311" s="2" t="s">
        <v>26</v>
      </c>
      <c r="F311" s="2" t="s">
        <v>461</v>
      </c>
      <c r="G311" s="2" t="s">
        <v>28</v>
      </c>
      <c r="H311" s="2" t="s">
        <v>410</v>
      </c>
      <c r="I311" s="2" t="s">
        <v>565</v>
      </c>
      <c r="J311" s="2"/>
    </row>
    <row r="312" ht="14.25" customHeight="1">
      <c r="A312" s="2" t="s">
        <v>997</v>
      </c>
      <c r="B312" s="2" t="s">
        <v>998</v>
      </c>
      <c r="C312" s="3">
        <v>44690.0</v>
      </c>
      <c r="D312" s="3">
        <v>45870.0</v>
      </c>
      <c r="E312" s="2" t="s">
        <v>26</v>
      </c>
      <c r="F312" s="2" t="s">
        <v>27</v>
      </c>
      <c r="G312" s="2" t="s">
        <v>303</v>
      </c>
      <c r="H312" s="2" t="s">
        <v>758</v>
      </c>
      <c r="I312" s="2" t="s">
        <v>414</v>
      </c>
      <c r="J312" s="2"/>
    </row>
    <row r="313" ht="14.25" customHeight="1">
      <c r="A313" s="2" t="s">
        <v>999</v>
      </c>
      <c r="B313" s="2" t="s">
        <v>1000</v>
      </c>
      <c r="C313" s="3">
        <v>45377.0</v>
      </c>
      <c r="D313" s="3">
        <v>45870.0</v>
      </c>
      <c r="E313" s="2" t="s">
        <v>111</v>
      </c>
      <c r="F313" s="2" t="s">
        <v>363</v>
      </c>
      <c r="G313" s="2" t="s">
        <v>1001</v>
      </c>
      <c r="H313" s="2" t="s">
        <v>1002</v>
      </c>
      <c r="I313" s="2" t="s">
        <v>161</v>
      </c>
      <c r="J313" s="2"/>
    </row>
    <row r="314" ht="14.25" customHeight="1">
      <c r="A314" s="2" t="s">
        <v>1003</v>
      </c>
      <c r="B314" s="2" t="s">
        <v>1004</v>
      </c>
      <c r="C314" s="3">
        <v>45825.0</v>
      </c>
      <c r="D314" s="3">
        <v>45870.0</v>
      </c>
      <c r="E314" s="2" t="s">
        <v>19</v>
      </c>
      <c r="F314" s="2" t="s">
        <v>20</v>
      </c>
      <c r="G314" s="2" t="s">
        <v>21</v>
      </c>
      <c r="H314" s="2" t="s">
        <v>22</v>
      </c>
      <c r="I314" s="2" t="s">
        <v>90</v>
      </c>
      <c r="J314" s="2"/>
    </row>
    <row r="315" ht="14.25" customHeight="1">
      <c r="A315" s="2" t="s">
        <v>1005</v>
      </c>
      <c r="B315" s="2" t="s">
        <v>1006</v>
      </c>
      <c r="C315" s="3">
        <v>45888.0</v>
      </c>
      <c r="D315" s="3">
        <v>45888.0</v>
      </c>
      <c r="E315" s="2" t="s">
        <v>26</v>
      </c>
      <c r="F315" s="2" t="s">
        <v>766</v>
      </c>
      <c r="G315" s="2" t="s">
        <v>1007</v>
      </c>
      <c r="H315" s="2" t="s">
        <v>133</v>
      </c>
      <c r="I315" s="2"/>
      <c r="J315" s="2"/>
    </row>
    <row r="316" ht="14.25" customHeight="1">
      <c r="A316" s="2" t="s">
        <v>1008</v>
      </c>
      <c r="B316" s="2" t="s">
        <v>1009</v>
      </c>
      <c r="C316" s="3">
        <v>44502.0</v>
      </c>
      <c r="D316" s="3">
        <v>45870.0</v>
      </c>
      <c r="E316" s="2" t="s">
        <v>19</v>
      </c>
      <c r="F316" s="2" t="s">
        <v>84</v>
      </c>
      <c r="G316" s="2" t="s">
        <v>1010</v>
      </c>
      <c r="H316" s="2" t="s">
        <v>1011</v>
      </c>
      <c r="I316" s="2" t="s">
        <v>348</v>
      </c>
      <c r="J316" s="2"/>
    </row>
    <row r="317" ht="14.25" customHeight="1">
      <c r="A317" s="2" t="s">
        <v>1012</v>
      </c>
      <c r="B317" s="2" t="s">
        <v>1013</v>
      </c>
      <c r="C317" s="3">
        <v>44600.0</v>
      </c>
      <c r="D317" s="3">
        <v>45870.0</v>
      </c>
      <c r="E317" s="2" t="s">
        <v>111</v>
      </c>
      <c r="F317" s="2" t="s">
        <v>363</v>
      </c>
      <c r="G317" s="2" t="s">
        <v>1001</v>
      </c>
      <c r="H317" s="2" t="s">
        <v>1002</v>
      </c>
      <c r="I317" s="2" t="s">
        <v>111</v>
      </c>
      <c r="J317" s="2"/>
    </row>
    <row r="318" ht="14.25" customHeight="1">
      <c r="A318" s="2" t="s">
        <v>1014</v>
      </c>
      <c r="B318" s="2" t="s">
        <v>1015</v>
      </c>
      <c r="C318" s="3">
        <v>45664.0</v>
      </c>
      <c r="D318" s="3">
        <v>45916.0</v>
      </c>
      <c r="E318" s="2" t="s">
        <v>19</v>
      </c>
      <c r="F318" s="2" t="s">
        <v>248</v>
      </c>
      <c r="G318" s="2" t="s">
        <v>1016</v>
      </c>
      <c r="H318" s="2" t="s">
        <v>746</v>
      </c>
      <c r="I318" s="2"/>
      <c r="J318" s="2"/>
    </row>
    <row r="319" ht="14.25" customHeight="1">
      <c r="A319" s="2" t="s">
        <v>1017</v>
      </c>
      <c r="B319" s="2" t="s">
        <v>1018</v>
      </c>
      <c r="C319" s="3">
        <v>45377.0</v>
      </c>
      <c r="D319" s="3">
        <v>45870.0</v>
      </c>
      <c r="E319" s="2" t="s">
        <v>111</v>
      </c>
      <c r="F319" s="2" t="s">
        <v>363</v>
      </c>
      <c r="G319" s="2" t="s">
        <v>1001</v>
      </c>
      <c r="H319" s="2" t="s">
        <v>1002</v>
      </c>
      <c r="I319" s="2" t="s">
        <v>161</v>
      </c>
      <c r="J319" s="2"/>
    </row>
    <row r="320" ht="14.25" customHeight="1">
      <c r="A320" s="2" t="s">
        <v>1019</v>
      </c>
      <c r="B320" s="2" t="s">
        <v>1020</v>
      </c>
      <c r="C320" s="3">
        <v>45300.0</v>
      </c>
      <c r="D320" s="3">
        <v>45870.0</v>
      </c>
      <c r="E320" s="2" t="s">
        <v>19</v>
      </c>
      <c r="F320" s="2" t="s">
        <v>181</v>
      </c>
      <c r="G320" s="2" t="s">
        <v>359</v>
      </c>
      <c r="H320" s="2" t="s">
        <v>360</v>
      </c>
      <c r="I320" s="2" t="s">
        <v>111</v>
      </c>
      <c r="J320" s="2"/>
    </row>
    <row r="321" ht="14.25" customHeight="1">
      <c r="A321" s="2" t="s">
        <v>1021</v>
      </c>
      <c r="B321" s="2" t="s">
        <v>1022</v>
      </c>
      <c r="C321" s="3">
        <v>44684.0</v>
      </c>
      <c r="D321" s="3">
        <v>45870.0</v>
      </c>
      <c r="E321" s="2" t="s">
        <v>111</v>
      </c>
      <c r="F321" s="2" t="s">
        <v>112</v>
      </c>
      <c r="G321" s="2" t="s">
        <v>351</v>
      </c>
      <c r="H321" s="2" t="s">
        <v>352</v>
      </c>
      <c r="I321" s="2" t="s">
        <v>161</v>
      </c>
      <c r="J321" s="2"/>
    </row>
    <row r="322" ht="14.25" customHeight="1">
      <c r="A322" s="2" t="s">
        <v>1023</v>
      </c>
      <c r="B322" s="2" t="s">
        <v>1024</v>
      </c>
      <c r="C322" s="3">
        <v>45412.0</v>
      </c>
      <c r="D322" s="3">
        <v>45870.0</v>
      </c>
      <c r="E322" s="2" t="s">
        <v>19</v>
      </c>
      <c r="F322" s="2" t="s">
        <v>56</v>
      </c>
      <c r="G322" s="2" t="s">
        <v>559</v>
      </c>
      <c r="H322" s="2" t="s">
        <v>58</v>
      </c>
      <c r="I322" s="2" t="s">
        <v>381</v>
      </c>
      <c r="J322" s="2"/>
    </row>
    <row r="323" ht="14.25" customHeight="1">
      <c r="A323" s="2" t="s">
        <v>1025</v>
      </c>
      <c r="B323" s="2" t="s">
        <v>1026</v>
      </c>
      <c r="C323" s="3">
        <v>45237.0</v>
      </c>
      <c r="D323" s="3">
        <v>45870.0</v>
      </c>
      <c r="E323" s="2" t="s">
        <v>26</v>
      </c>
      <c r="F323" s="2" t="s">
        <v>61</v>
      </c>
      <c r="G323" s="2" t="s">
        <v>28</v>
      </c>
      <c r="H323" s="2" t="s">
        <v>107</v>
      </c>
      <c r="I323" s="2" t="s">
        <v>108</v>
      </c>
      <c r="J323" s="2"/>
    </row>
    <row r="324" ht="14.25" customHeight="1">
      <c r="A324" s="2" t="s">
        <v>1027</v>
      </c>
      <c r="B324" s="2" t="s">
        <v>1028</v>
      </c>
      <c r="C324" s="3">
        <v>45503.0</v>
      </c>
      <c r="D324" s="3">
        <v>45870.0</v>
      </c>
      <c r="E324" s="2" t="s">
        <v>19</v>
      </c>
      <c r="F324" s="2" t="s">
        <v>84</v>
      </c>
      <c r="G324" s="2" t="s">
        <v>1029</v>
      </c>
      <c r="H324" s="2" t="s">
        <v>1011</v>
      </c>
      <c r="I324" s="2" t="s">
        <v>348</v>
      </c>
      <c r="J324" s="2"/>
    </row>
    <row r="325" ht="14.25" customHeight="1">
      <c r="A325" s="2" t="s">
        <v>1030</v>
      </c>
      <c r="B325" s="2" t="s">
        <v>1031</v>
      </c>
      <c r="C325" s="3">
        <v>44172.0</v>
      </c>
      <c r="D325" s="3">
        <v>45778.0</v>
      </c>
      <c r="E325" s="2" t="s">
        <v>33</v>
      </c>
      <c r="F325" s="2" t="s">
        <v>503</v>
      </c>
      <c r="G325" s="2" t="s">
        <v>1032</v>
      </c>
      <c r="H325" s="2" t="s">
        <v>192</v>
      </c>
      <c r="I325" s="2"/>
      <c r="J325" s="2"/>
    </row>
    <row r="326" ht="14.25" customHeight="1">
      <c r="A326" s="2" t="s">
        <v>1033</v>
      </c>
      <c r="B326" s="2" t="s">
        <v>1034</v>
      </c>
      <c r="C326" s="3">
        <v>44726.0</v>
      </c>
      <c r="D326" s="3">
        <v>45870.0</v>
      </c>
      <c r="E326" s="2" t="s">
        <v>26</v>
      </c>
      <c r="F326" s="2" t="s">
        <v>427</v>
      </c>
      <c r="G326" s="2" t="s">
        <v>428</v>
      </c>
      <c r="H326" s="2" t="s">
        <v>429</v>
      </c>
      <c r="I326" s="2" t="s">
        <v>595</v>
      </c>
      <c r="J326" s="2"/>
    </row>
    <row r="327" ht="14.25" customHeight="1">
      <c r="A327" s="2" t="s">
        <v>1035</v>
      </c>
      <c r="B327" s="2" t="s">
        <v>1036</v>
      </c>
      <c r="C327" s="3">
        <v>43787.0</v>
      </c>
      <c r="D327" s="3">
        <v>45231.0</v>
      </c>
      <c r="E327" s="2" t="s">
        <v>33</v>
      </c>
      <c r="F327" s="2" t="s">
        <v>503</v>
      </c>
      <c r="G327" s="2" t="s">
        <v>1037</v>
      </c>
      <c r="H327" s="2" t="s">
        <v>875</v>
      </c>
      <c r="I327" s="2"/>
      <c r="J327" s="2"/>
    </row>
    <row r="328" ht="14.25" customHeight="1">
      <c r="A328" s="2" t="s">
        <v>1038</v>
      </c>
      <c r="B328" s="2" t="s">
        <v>1039</v>
      </c>
      <c r="C328" s="3">
        <v>44852.0</v>
      </c>
      <c r="D328" s="3">
        <v>45870.0</v>
      </c>
      <c r="E328" s="2" t="s">
        <v>19</v>
      </c>
      <c r="F328" s="2" t="s">
        <v>20</v>
      </c>
      <c r="G328" s="2" t="s">
        <v>21</v>
      </c>
      <c r="H328" s="2" t="s">
        <v>22</v>
      </c>
      <c r="I328" s="2" t="s">
        <v>23</v>
      </c>
      <c r="J328" s="2"/>
    </row>
    <row r="329" ht="14.25" customHeight="1">
      <c r="A329" s="2" t="s">
        <v>1040</v>
      </c>
      <c r="B329" s="2" t="s">
        <v>1041</v>
      </c>
      <c r="C329" s="3">
        <v>45055.0</v>
      </c>
      <c r="D329" s="3">
        <v>45909.0</v>
      </c>
      <c r="E329" s="2" t="s">
        <v>26</v>
      </c>
      <c r="F329" s="2" t="s">
        <v>50</v>
      </c>
      <c r="G329" s="2" t="s">
        <v>28</v>
      </c>
      <c r="H329" s="2" t="s">
        <v>129</v>
      </c>
      <c r="I329" s="2" t="s">
        <v>64</v>
      </c>
      <c r="J329" s="2"/>
    </row>
    <row r="330" ht="14.25" customHeight="1">
      <c r="A330" s="2" t="s">
        <v>1042</v>
      </c>
      <c r="B330" s="2" t="s">
        <v>1043</v>
      </c>
      <c r="C330" s="3">
        <v>44652.0</v>
      </c>
      <c r="D330" s="3">
        <v>45870.0</v>
      </c>
      <c r="E330" s="2" t="s">
        <v>111</v>
      </c>
      <c r="F330" s="2" t="s">
        <v>363</v>
      </c>
      <c r="G330" s="2" t="s">
        <v>1044</v>
      </c>
      <c r="H330" s="2" t="s">
        <v>75</v>
      </c>
      <c r="I330" s="2" t="s">
        <v>111</v>
      </c>
      <c r="J330" s="2"/>
    </row>
    <row r="331" ht="14.25" customHeight="1">
      <c r="A331" s="2" t="s">
        <v>1045</v>
      </c>
      <c r="B331" s="2" t="s">
        <v>1046</v>
      </c>
      <c r="C331" s="3">
        <v>45510.0</v>
      </c>
      <c r="D331" s="3">
        <v>45870.0</v>
      </c>
      <c r="E331" s="2" t="s">
        <v>19</v>
      </c>
      <c r="F331" s="2" t="s">
        <v>20</v>
      </c>
      <c r="G331" s="2" t="s">
        <v>89</v>
      </c>
      <c r="H331" s="2" t="s">
        <v>144</v>
      </c>
      <c r="I331" s="2" t="s">
        <v>222</v>
      </c>
      <c r="J331" s="2"/>
    </row>
    <row r="332" ht="14.25" customHeight="1">
      <c r="A332" s="2" t="s">
        <v>1047</v>
      </c>
      <c r="B332" s="2" t="s">
        <v>1048</v>
      </c>
      <c r="C332" s="3">
        <v>45867.0</v>
      </c>
      <c r="D332" s="3">
        <v>45909.0</v>
      </c>
      <c r="E332" s="2" t="s">
        <v>44</v>
      </c>
      <c r="F332" s="2" t="s">
        <v>259</v>
      </c>
      <c r="G332" s="2" t="s">
        <v>1049</v>
      </c>
      <c r="H332" s="2" t="s">
        <v>395</v>
      </c>
      <c r="I332" s="2" t="s">
        <v>1050</v>
      </c>
      <c r="J332" s="2"/>
    </row>
    <row r="333" ht="14.25" customHeight="1">
      <c r="A333" s="2" t="s">
        <v>1051</v>
      </c>
      <c r="B333" s="2" t="s">
        <v>1052</v>
      </c>
      <c r="C333" s="3">
        <v>44200.0</v>
      </c>
      <c r="D333" s="3">
        <v>45870.0</v>
      </c>
      <c r="E333" s="2" t="s">
        <v>26</v>
      </c>
      <c r="F333" s="2" t="s">
        <v>147</v>
      </c>
      <c r="G333" s="2" t="s">
        <v>303</v>
      </c>
      <c r="H333" s="2" t="s">
        <v>304</v>
      </c>
      <c r="I333" s="2" t="s">
        <v>307</v>
      </c>
      <c r="J333" s="2"/>
    </row>
    <row r="334" ht="14.25" customHeight="1">
      <c r="A334" s="2" t="s">
        <v>1053</v>
      </c>
      <c r="B334" s="2" t="s">
        <v>1054</v>
      </c>
      <c r="C334" s="3">
        <v>45279.0</v>
      </c>
      <c r="D334" s="3">
        <v>45885.0</v>
      </c>
      <c r="E334" s="2" t="s">
        <v>33</v>
      </c>
      <c r="F334" s="2" t="s">
        <v>39</v>
      </c>
      <c r="G334" s="2" t="s">
        <v>727</v>
      </c>
      <c r="H334" s="2" t="s">
        <v>41</v>
      </c>
      <c r="I334" s="2"/>
      <c r="J334" s="2"/>
    </row>
    <row r="335" ht="14.25" customHeight="1">
      <c r="A335" s="2" t="s">
        <v>1055</v>
      </c>
      <c r="B335" s="2" t="s">
        <v>1056</v>
      </c>
      <c r="C335" s="3">
        <v>45077.0</v>
      </c>
      <c r="D335" s="3">
        <v>45866.0</v>
      </c>
      <c r="E335" s="2" t="s">
        <v>33</v>
      </c>
      <c r="F335" s="2" t="s">
        <v>503</v>
      </c>
      <c r="G335" s="2" t="s">
        <v>1057</v>
      </c>
      <c r="H335" s="2" t="s">
        <v>1058</v>
      </c>
      <c r="I335" s="2"/>
      <c r="J335" s="2"/>
    </row>
    <row r="336" ht="14.25" customHeight="1">
      <c r="A336" s="2" t="s">
        <v>1059</v>
      </c>
      <c r="B336" s="2" t="s">
        <v>1060</v>
      </c>
      <c r="C336" s="3">
        <v>43711.0</v>
      </c>
      <c r="D336" s="3">
        <v>45870.0</v>
      </c>
      <c r="E336" s="2" t="s">
        <v>26</v>
      </c>
      <c r="F336" s="2" t="s">
        <v>461</v>
      </c>
      <c r="G336" s="2" t="s">
        <v>28</v>
      </c>
      <c r="H336" s="2" t="s">
        <v>410</v>
      </c>
      <c r="I336" s="2" t="s">
        <v>609</v>
      </c>
      <c r="J336" s="2"/>
    </row>
    <row r="337" ht="14.25" customHeight="1">
      <c r="A337" s="2" t="s">
        <v>1061</v>
      </c>
      <c r="B337" s="2" t="s">
        <v>1062</v>
      </c>
      <c r="C337" s="3">
        <v>45189.0</v>
      </c>
      <c r="D337" s="3">
        <v>45888.0</v>
      </c>
      <c r="E337" s="2" t="s">
        <v>12</v>
      </c>
      <c r="F337" s="2" t="s">
        <v>13</v>
      </c>
      <c r="G337" s="2" t="s">
        <v>409</v>
      </c>
      <c r="H337" s="2" t="s">
        <v>15</v>
      </c>
      <c r="I337" s="2" t="s">
        <v>565</v>
      </c>
      <c r="J337" s="2"/>
    </row>
    <row r="338" ht="14.25" customHeight="1">
      <c r="A338" s="2" t="s">
        <v>1063</v>
      </c>
      <c r="B338" s="2" t="s">
        <v>1064</v>
      </c>
      <c r="C338" s="3">
        <v>45335.0</v>
      </c>
      <c r="D338" s="3">
        <v>45870.0</v>
      </c>
      <c r="E338" s="2" t="s">
        <v>19</v>
      </c>
      <c r="F338" s="2" t="s">
        <v>248</v>
      </c>
      <c r="G338" s="2" t="s">
        <v>1065</v>
      </c>
      <c r="H338" s="2" t="s">
        <v>746</v>
      </c>
      <c r="I338" s="2"/>
      <c r="J338" s="2"/>
    </row>
    <row r="339" ht="14.25" customHeight="1">
      <c r="A339" s="2" t="s">
        <v>1066</v>
      </c>
      <c r="B339" s="2" t="s">
        <v>1067</v>
      </c>
      <c r="C339" s="3">
        <v>45019.0</v>
      </c>
      <c r="D339" s="3">
        <v>45811.0</v>
      </c>
      <c r="E339" s="2" t="s">
        <v>19</v>
      </c>
      <c r="F339" s="2" t="s">
        <v>20</v>
      </c>
      <c r="G339" s="2" t="s">
        <v>367</v>
      </c>
      <c r="H339" s="2" t="s">
        <v>170</v>
      </c>
      <c r="I339" s="2" t="s">
        <v>90</v>
      </c>
      <c r="J339" s="2"/>
    </row>
    <row r="340" ht="14.25" customHeight="1">
      <c r="A340" s="2" t="s">
        <v>1068</v>
      </c>
      <c r="B340" s="2" t="s">
        <v>1069</v>
      </c>
      <c r="C340" s="3">
        <v>45790.0</v>
      </c>
      <c r="D340" s="3">
        <v>45870.0</v>
      </c>
      <c r="E340" s="2" t="s">
        <v>26</v>
      </c>
      <c r="F340" s="2" t="s">
        <v>598</v>
      </c>
      <c r="G340" s="2" t="s">
        <v>1070</v>
      </c>
      <c r="H340" s="2" t="s">
        <v>550</v>
      </c>
      <c r="I340" s="2"/>
      <c r="J340" s="2"/>
    </row>
    <row r="341" ht="14.25" customHeight="1">
      <c r="A341" s="2" t="s">
        <v>1071</v>
      </c>
      <c r="B341" s="2" t="s">
        <v>1072</v>
      </c>
      <c r="C341" s="3">
        <v>45853.0</v>
      </c>
      <c r="D341" s="3">
        <v>45909.0</v>
      </c>
      <c r="E341" s="2" t="s">
        <v>26</v>
      </c>
      <c r="F341" s="2" t="s">
        <v>50</v>
      </c>
      <c r="G341" s="2" t="s">
        <v>372</v>
      </c>
      <c r="H341" s="2" t="s">
        <v>129</v>
      </c>
      <c r="I341" s="2" t="s">
        <v>231</v>
      </c>
      <c r="J341" s="2"/>
    </row>
    <row r="342" ht="14.25" customHeight="1">
      <c r="A342" s="2" t="s">
        <v>1073</v>
      </c>
      <c r="B342" s="2" t="s">
        <v>1074</v>
      </c>
      <c r="C342" s="3">
        <v>44971.0</v>
      </c>
      <c r="D342" s="3">
        <v>45885.0</v>
      </c>
      <c r="E342" s="2" t="s">
        <v>33</v>
      </c>
      <c r="F342" s="2" t="s">
        <v>39</v>
      </c>
      <c r="G342" s="2" t="s">
        <v>299</v>
      </c>
      <c r="H342" s="2" t="s">
        <v>41</v>
      </c>
      <c r="I342" s="2"/>
      <c r="J342" s="2"/>
    </row>
    <row r="343" ht="14.25" customHeight="1">
      <c r="A343" s="2" t="s">
        <v>1075</v>
      </c>
      <c r="B343" s="2" t="s">
        <v>1076</v>
      </c>
      <c r="C343" s="3">
        <v>44663.0</v>
      </c>
      <c r="D343" s="3">
        <v>45870.0</v>
      </c>
      <c r="E343" s="2" t="s">
        <v>12</v>
      </c>
      <c r="F343" s="2" t="s">
        <v>487</v>
      </c>
      <c r="G343" s="2" t="s">
        <v>1077</v>
      </c>
      <c r="H343" s="2" t="s">
        <v>1078</v>
      </c>
      <c r="I343" s="2" t="s">
        <v>930</v>
      </c>
      <c r="J343" s="2"/>
    </row>
    <row r="344" ht="14.25" customHeight="1">
      <c r="A344" s="2" t="s">
        <v>1079</v>
      </c>
      <c r="B344" s="2" t="s">
        <v>1080</v>
      </c>
      <c r="C344" s="3">
        <v>45370.0</v>
      </c>
      <c r="D344" s="3">
        <v>45901.0</v>
      </c>
      <c r="E344" s="2" t="s">
        <v>19</v>
      </c>
      <c r="F344" s="2" t="s">
        <v>176</v>
      </c>
      <c r="G344" s="2" t="s">
        <v>326</v>
      </c>
      <c r="H344" s="2" t="s">
        <v>327</v>
      </c>
      <c r="I344" s="2" t="s">
        <v>381</v>
      </c>
      <c r="J344" s="2"/>
    </row>
    <row r="345" ht="14.25" customHeight="1">
      <c r="A345" s="2" t="s">
        <v>1081</v>
      </c>
      <c r="B345" s="2" t="s">
        <v>1082</v>
      </c>
      <c r="C345" s="3">
        <v>44652.0</v>
      </c>
      <c r="D345" s="3">
        <v>45870.0</v>
      </c>
      <c r="E345" s="2" t="s">
        <v>26</v>
      </c>
      <c r="F345" s="2" t="s">
        <v>50</v>
      </c>
      <c r="G345" s="2" t="s">
        <v>51</v>
      </c>
      <c r="H345" s="2" t="s">
        <v>568</v>
      </c>
      <c r="I345" s="2" t="s">
        <v>569</v>
      </c>
      <c r="J345" s="2"/>
    </row>
    <row r="346" ht="14.25" customHeight="1">
      <c r="A346" s="2" t="s">
        <v>1083</v>
      </c>
      <c r="B346" s="2" t="s">
        <v>1084</v>
      </c>
      <c r="C346" s="3">
        <v>45895.0</v>
      </c>
      <c r="D346" s="3">
        <v>45895.0</v>
      </c>
      <c r="E346" s="2" t="s">
        <v>33</v>
      </c>
      <c r="F346" s="2" t="s">
        <v>34</v>
      </c>
      <c r="G346" s="2" t="s">
        <v>544</v>
      </c>
      <c r="H346" s="2" t="s">
        <v>545</v>
      </c>
      <c r="I346" s="2"/>
      <c r="J346" s="2"/>
    </row>
    <row r="347" ht="14.25" customHeight="1">
      <c r="A347" s="2" t="s">
        <v>1085</v>
      </c>
      <c r="B347" s="2" t="s">
        <v>1086</v>
      </c>
      <c r="C347" s="3">
        <v>44957.0</v>
      </c>
      <c r="D347" s="3">
        <v>45870.0</v>
      </c>
      <c r="E347" s="2" t="s">
        <v>26</v>
      </c>
      <c r="F347" s="2" t="s">
        <v>27</v>
      </c>
      <c r="G347" s="2" t="s">
        <v>62</v>
      </c>
      <c r="H347" s="2" t="s">
        <v>387</v>
      </c>
      <c r="I347" s="2" t="s">
        <v>30</v>
      </c>
      <c r="J347" s="2"/>
    </row>
    <row r="348" ht="14.25" customHeight="1">
      <c r="A348" s="2" t="s">
        <v>1087</v>
      </c>
      <c r="B348" s="2" t="s">
        <v>1088</v>
      </c>
      <c r="C348" s="3">
        <v>44383.0</v>
      </c>
      <c r="D348" s="3">
        <v>45917.0</v>
      </c>
      <c r="E348" s="2" t="s">
        <v>33</v>
      </c>
      <c r="F348" s="2" t="s">
        <v>34</v>
      </c>
      <c r="G348" s="2" t="s">
        <v>1089</v>
      </c>
      <c r="H348" s="2" t="s">
        <v>188</v>
      </c>
      <c r="I348" s="2"/>
      <c r="J348" s="2"/>
    </row>
    <row r="349" ht="14.25" customHeight="1">
      <c r="A349" s="2" t="s">
        <v>1090</v>
      </c>
      <c r="B349" s="2" t="s">
        <v>1091</v>
      </c>
      <c r="C349" s="3">
        <v>45090.0</v>
      </c>
      <c r="D349" s="3">
        <v>45870.0</v>
      </c>
      <c r="E349" s="2" t="s">
        <v>111</v>
      </c>
      <c r="F349" s="2" t="s">
        <v>112</v>
      </c>
      <c r="G349" s="2" t="s">
        <v>1092</v>
      </c>
      <c r="H349" s="2" t="s">
        <v>119</v>
      </c>
      <c r="I349" s="2" t="s">
        <v>161</v>
      </c>
      <c r="J349" s="2"/>
    </row>
    <row r="350" ht="14.25" customHeight="1">
      <c r="A350" s="2" t="s">
        <v>1093</v>
      </c>
      <c r="B350" s="2" t="s">
        <v>1094</v>
      </c>
      <c r="C350" s="3">
        <v>44971.0</v>
      </c>
      <c r="D350" s="3">
        <v>45870.0</v>
      </c>
      <c r="E350" s="2" t="s">
        <v>111</v>
      </c>
      <c r="F350" s="2" t="s">
        <v>112</v>
      </c>
      <c r="G350" s="2" t="s">
        <v>1095</v>
      </c>
      <c r="H350" s="2" t="s">
        <v>137</v>
      </c>
      <c r="I350" s="2" t="s">
        <v>161</v>
      </c>
      <c r="J350" s="2"/>
    </row>
    <row r="351" ht="14.25" customHeight="1">
      <c r="A351" s="2" t="s">
        <v>1096</v>
      </c>
      <c r="B351" s="2" t="s">
        <v>1097</v>
      </c>
      <c r="C351" s="3">
        <v>45503.0</v>
      </c>
      <c r="D351" s="3">
        <v>45870.0</v>
      </c>
      <c r="E351" s="2" t="s">
        <v>19</v>
      </c>
      <c r="F351" s="2" t="s">
        <v>248</v>
      </c>
      <c r="G351" s="2" t="s">
        <v>1098</v>
      </c>
      <c r="H351" s="2" t="s">
        <v>746</v>
      </c>
      <c r="I351" s="2"/>
      <c r="J351" s="2"/>
    </row>
    <row r="352" ht="14.25" customHeight="1">
      <c r="A352" s="2" t="s">
        <v>1099</v>
      </c>
      <c r="B352" s="2" t="s">
        <v>1100</v>
      </c>
      <c r="C352" s="3">
        <v>44642.0</v>
      </c>
      <c r="D352" s="3">
        <v>45870.0</v>
      </c>
      <c r="E352" s="2" t="s">
        <v>26</v>
      </c>
      <c r="F352" s="2" t="s">
        <v>27</v>
      </c>
      <c r="G352" s="2" t="s">
        <v>303</v>
      </c>
      <c r="H352" s="2" t="s">
        <v>455</v>
      </c>
      <c r="I352" s="2" t="s">
        <v>388</v>
      </c>
      <c r="J352" s="2"/>
    </row>
    <row r="353" ht="14.25" customHeight="1">
      <c r="A353" s="2" t="s">
        <v>1101</v>
      </c>
      <c r="B353" s="2" t="s">
        <v>1102</v>
      </c>
      <c r="C353" s="3">
        <v>44699.0</v>
      </c>
      <c r="D353" s="3">
        <v>45902.0</v>
      </c>
      <c r="E353" s="2" t="s">
        <v>26</v>
      </c>
      <c r="F353" s="2" t="s">
        <v>1103</v>
      </c>
      <c r="G353" s="2" t="s">
        <v>28</v>
      </c>
      <c r="H353" s="2" t="s">
        <v>52</v>
      </c>
      <c r="I353" s="2" t="s">
        <v>225</v>
      </c>
      <c r="J353" s="2"/>
    </row>
    <row r="354" ht="14.25" customHeight="1">
      <c r="A354" s="2" t="s">
        <v>1104</v>
      </c>
      <c r="B354" s="2" t="s">
        <v>1105</v>
      </c>
      <c r="C354" s="3">
        <v>45909.0</v>
      </c>
      <c r="D354" s="3">
        <v>45909.0</v>
      </c>
      <c r="E354" s="2" t="s">
        <v>26</v>
      </c>
      <c r="F354" s="2" t="s">
        <v>50</v>
      </c>
      <c r="G354" s="2" t="s">
        <v>1106</v>
      </c>
      <c r="H354" s="2" t="s">
        <v>333</v>
      </c>
      <c r="I354" s="2" t="s">
        <v>242</v>
      </c>
      <c r="J354" s="2"/>
    </row>
    <row r="355" ht="14.25" customHeight="1">
      <c r="A355" s="2" t="s">
        <v>1107</v>
      </c>
      <c r="B355" s="2" t="s">
        <v>1108</v>
      </c>
      <c r="C355" s="3">
        <v>45888.0</v>
      </c>
      <c r="D355" s="3">
        <v>45888.0</v>
      </c>
      <c r="E355" s="2" t="s">
        <v>33</v>
      </c>
      <c r="F355" s="2" t="s">
        <v>503</v>
      </c>
      <c r="G355" s="2" t="s">
        <v>1109</v>
      </c>
      <c r="H355" s="2" t="s">
        <v>554</v>
      </c>
      <c r="I355" s="2"/>
      <c r="J355" s="2"/>
    </row>
    <row r="356" ht="14.25" customHeight="1">
      <c r="A356" s="2" t="s">
        <v>1110</v>
      </c>
      <c r="B356" s="2" t="s">
        <v>1111</v>
      </c>
      <c r="C356" s="3">
        <v>45300.0</v>
      </c>
      <c r="D356" s="3">
        <v>45870.0</v>
      </c>
      <c r="E356" s="2" t="s">
        <v>26</v>
      </c>
      <c r="F356" s="2" t="s">
        <v>461</v>
      </c>
      <c r="G356" s="2" t="s">
        <v>372</v>
      </c>
      <c r="H356" s="2" t="s">
        <v>410</v>
      </c>
      <c r="I356" s="2" t="s">
        <v>609</v>
      </c>
      <c r="J356" s="2"/>
    </row>
    <row r="357" ht="14.25" customHeight="1">
      <c r="A357" s="2" t="s">
        <v>1112</v>
      </c>
      <c r="B357" s="2" t="s">
        <v>1113</v>
      </c>
      <c r="C357" s="3">
        <v>45175.0</v>
      </c>
      <c r="D357" s="3">
        <v>45870.0</v>
      </c>
      <c r="E357" s="2" t="s">
        <v>26</v>
      </c>
      <c r="F357" s="2" t="s">
        <v>598</v>
      </c>
      <c r="G357" s="2" t="s">
        <v>1114</v>
      </c>
      <c r="H357" s="2" t="s">
        <v>550</v>
      </c>
      <c r="I357" s="2" t="s">
        <v>643</v>
      </c>
      <c r="J357" s="2"/>
    </row>
    <row r="358" ht="14.25" customHeight="1">
      <c r="A358" s="2" t="s">
        <v>1115</v>
      </c>
      <c r="B358" s="2" t="s">
        <v>1116</v>
      </c>
      <c r="C358" s="3">
        <v>45846.0</v>
      </c>
      <c r="D358" s="3">
        <v>45870.0</v>
      </c>
      <c r="E358" s="2" t="s">
        <v>26</v>
      </c>
      <c r="F358" s="2" t="s">
        <v>27</v>
      </c>
      <c r="G358" s="2" t="s">
        <v>51</v>
      </c>
      <c r="H358" s="2" t="s">
        <v>758</v>
      </c>
      <c r="I358" s="2" t="s">
        <v>231</v>
      </c>
      <c r="J358" s="2"/>
    </row>
    <row r="359" ht="14.25" customHeight="1">
      <c r="A359" s="2" t="s">
        <v>1117</v>
      </c>
      <c r="B359" s="2" t="s">
        <v>1118</v>
      </c>
      <c r="C359" s="3">
        <v>45426.0</v>
      </c>
      <c r="D359" s="3">
        <v>45870.0</v>
      </c>
      <c r="E359" s="2" t="s">
        <v>44</v>
      </c>
      <c r="F359" s="2" t="s">
        <v>45</v>
      </c>
      <c r="G359" s="2" t="s">
        <v>1119</v>
      </c>
      <c r="H359" s="2" t="s">
        <v>47</v>
      </c>
      <c r="I359" s="2"/>
      <c r="J359" s="2"/>
    </row>
    <row r="360" ht="14.25" customHeight="1">
      <c r="A360" s="2" t="s">
        <v>1120</v>
      </c>
      <c r="B360" s="2" t="s">
        <v>1121</v>
      </c>
      <c r="C360" s="3">
        <v>45846.0</v>
      </c>
      <c r="D360" s="3">
        <v>45870.0</v>
      </c>
      <c r="E360" s="2" t="s">
        <v>26</v>
      </c>
      <c r="F360" s="2" t="s">
        <v>27</v>
      </c>
      <c r="G360" s="2" t="s">
        <v>51</v>
      </c>
      <c r="H360" s="2" t="s">
        <v>758</v>
      </c>
      <c r="I360" s="2"/>
      <c r="J360" s="2"/>
    </row>
    <row r="361" ht="14.25" customHeight="1">
      <c r="A361" s="2" t="s">
        <v>1122</v>
      </c>
      <c r="B361" s="2" t="s">
        <v>1123</v>
      </c>
      <c r="C361" s="3">
        <v>45118.0</v>
      </c>
      <c r="D361" s="3">
        <v>45870.0</v>
      </c>
      <c r="E361" s="2" t="s">
        <v>26</v>
      </c>
      <c r="F361" s="2" t="s">
        <v>147</v>
      </c>
      <c r="G361" s="2" t="s">
        <v>128</v>
      </c>
      <c r="H361" s="2" t="s">
        <v>562</v>
      </c>
      <c r="I361" s="2" t="s">
        <v>104</v>
      </c>
      <c r="J361" s="2"/>
    </row>
    <row r="362" ht="14.25" customHeight="1">
      <c r="A362" s="2" t="s">
        <v>1124</v>
      </c>
      <c r="B362" s="2" t="s">
        <v>1125</v>
      </c>
      <c r="C362" s="3">
        <v>45846.0</v>
      </c>
      <c r="D362" s="3">
        <v>45870.0</v>
      </c>
      <c r="E362" s="2" t="s">
        <v>12</v>
      </c>
      <c r="F362" s="2" t="s">
        <v>73</v>
      </c>
      <c r="G362" s="2" t="s">
        <v>1126</v>
      </c>
      <c r="H362" s="2" t="s">
        <v>75</v>
      </c>
      <c r="I362" s="2"/>
      <c r="J362" s="2"/>
    </row>
    <row r="363" ht="14.25" customHeight="1">
      <c r="A363" s="2" t="s">
        <v>1127</v>
      </c>
      <c r="B363" s="2" t="s">
        <v>1128</v>
      </c>
      <c r="C363" s="3">
        <v>45881.0</v>
      </c>
      <c r="D363" s="3">
        <v>45881.0</v>
      </c>
      <c r="E363" s="2" t="s">
        <v>26</v>
      </c>
      <c r="F363" s="2" t="s">
        <v>61</v>
      </c>
      <c r="G363" s="2" t="s">
        <v>28</v>
      </c>
      <c r="H363" s="2" t="s">
        <v>288</v>
      </c>
      <c r="I363" s="2"/>
      <c r="J363" s="2"/>
    </row>
    <row r="364" ht="14.25" customHeight="1">
      <c r="A364" s="2" t="s">
        <v>1129</v>
      </c>
      <c r="B364" s="2" t="s">
        <v>1130</v>
      </c>
      <c r="C364" s="3">
        <v>45279.0</v>
      </c>
      <c r="D364" s="3">
        <v>45870.0</v>
      </c>
      <c r="E364" s="2" t="s">
        <v>19</v>
      </c>
      <c r="F364" s="2" t="s">
        <v>181</v>
      </c>
      <c r="G364" s="2" t="s">
        <v>182</v>
      </c>
      <c r="H364" s="2" t="s">
        <v>360</v>
      </c>
      <c r="I364" s="2" t="s">
        <v>184</v>
      </c>
      <c r="J364" s="2"/>
    </row>
    <row r="365" ht="14.25" customHeight="1">
      <c r="A365" s="2" t="s">
        <v>1131</v>
      </c>
      <c r="B365" s="2" t="s">
        <v>1132</v>
      </c>
      <c r="C365" s="3">
        <v>45790.0</v>
      </c>
      <c r="D365" s="3">
        <v>45870.0</v>
      </c>
      <c r="E365" s="2" t="s">
        <v>12</v>
      </c>
      <c r="F365" s="2" t="s">
        <v>254</v>
      </c>
      <c r="G365" s="2" t="s">
        <v>394</v>
      </c>
      <c r="H365" s="2" t="s">
        <v>256</v>
      </c>
      <c r="I365" s="2" t="s">
        <v>242</v>
      </c>
      <c r="J365" s="2"/>
    </row>
    <row r="366" ht="14.25" customHeight="1">
      <c r="A366" s="2" t="s">
        <v>1133</v>
      </c>
      <c r="B366" s="2" t="s">
        <v>1134</v>
      </c>
      <c r="C366" s="3">
        <v>45412.0</v>
      </c>
      <c r="D366" s="3">
        <v>45870.0</v>
      </c>
      <c r="E366" s="2" t="s">
        <v>19</v>
      </c>
      <c r="F366" s="2" t="s">
        <v>176</v>
      </c>
      <c r="G366" s="2" t="s">
        <v>559</v>
      </c>
      <c r="H366" s="2" t="s">
        <v>664</v>
      </c>
      <c r="I366" s="2" t="s">
        <v>328</v>
      </c>
      <c r="J366" s="2"/>
    </row>
    <row r="367" ht="14.25" customHeight="1">
      <c r="A367" s="2" t="s">
        <v>1135</v>
      </c>
      <c r="B367" s="2" t="s">
        <v>1136</v>
      </c>
      <c r="C367" s="3">
        <v>45384.0</v>
      </c>
      <c r="D367" s="3">
        <v>45870.0</v>
      </c>
      <c r="E367" s="2" t="s">
        <v>19</v>
      </c>
      <c r="F367" s="2" t="s">
        <v>176</v>
      </c>
      <c r="G367" s="2" t="s">
        <v>1137</v>
      </c>
      <c r="H367" s="2" t="s">
        <v>637</v>
      </c>
      <c r="I367" s="2"/>
      <c r="J367" s="2"/>
    </row>
    <row r="368" ht="14.25" customHeight="1">
      <c r="A368" s="2" t="s">
        <v>1138</v>
      </c>
      <c r="B368" s="2" t="s">
        <v>1139</v>
      </c>
      <c r="C368" s="3">
        <v>45720.0</v>
      </c>
      <c r="D368" s="3">
        <v>45870.0</v>
      </c>
      <c r="E368" s="2" t="s">
        <v>26</v>
      </c>
      <c r="F368" s="2" t="s">
        <v>427</v>
      </c>
      <c r="G368" s="2" t="s">
        <v>428</v>
      </c>
      <c r="H368" s="2" t="s">
        <v>429</v>
      </c>
      <c r="I368" s="2" t="s">
        <v>595</v>
      </c>
      <c r="J368" s="2"/>
    </row>
    <row r="369" ht="14.25" customHeight="1">
      <c r="A369" s="2" t="s">
        <v>1140</v>
      </c>
      <c r="B369" s="2" t="s">
        <v>1141</v>
      </c>
      <c r="C369" s="3">
        <v>44720.0</v>
      </c>
      <c r="D369" s="3">
        <v>45916.0</v>
      </c>
      <c r="E369" s="2" t="s">
        <v>26</v>
      </c>
      <c r="F369" s="2" t="s">
        <v>50</v>
      </c>
      <c r="G369" s="2" t="s">
        <v>51</v>
      </c>
      <c r="H369" s="2" t="s">
        <v>667</v>
      </c>
      <c r="I369" s="2" t="s">
        <v>53</v>
      </c>
      <c r="J369" s="2"/>
    </row>
    <row r="370" ht="14.25" customHeight="1">
      <c r="A370" s="2" t="s">
        <v>1142</v>
      </c>
      <c r="B370" s="2" t="s">
        <v>1143</v>
      </c>
      <c r="C370" s="3">
        <v>45237.0</v>
      </c>
      <c r="D370" s="3">
        <v>45901.0</v>
      </c>
      <c r="E370" s="2" t="s">
        <v>19</v>
      </c>
      <c r="F370" s="2" t="s">
        <v>181</v>
      </c>
      <c r="G370" s="2" t="s">
        <v>182</v>
      </c>
      <c r="H370" s="2" t="s">
        <v>183</v>
      </c>
      <c r="I370" s="2" t="s">
        <v>231</v>
      </c>
      <c r="J370" s="2"/>
    </row>
    <row r="371" ht="14.25" customHeight="1">
      <c r="A371" s="2" t="s">
        <v>1144</v>
      </c>
      <c r="B371" s="2" t="s">
        <v>1145</v>
      </c>
      <c r="C371" s="3">
        <v>43032.0</v>
      </c>
      <c r="D371" s="3">
        <v>45870.0</v>
      </c>
      <c r="E371" s="2" t="s">
        <v>26</v>
      </c>
      <c r="F371" s="2" t="s">
        <v>427</v>
      </c>
      <c r="G371" s="2" t="s">
        <v>1146</v>
      </c>
      <c r="H371" s="2" t="s">
        <v>429</v>
      </c>
      <c r="I371" s="2" t="s">
        <v>595</v>
      </c>
      <c r="J371" s="2"/>
    </row>
    <row r="372" ht="14.25" customHeight="1">
      <c r="A372" s="2" t="s">
        <v>1147</v>
      </c>
      <c r="B372" s="2" t="s">
        <v>1148</v>
      </c>
      <c r="C372" s="3">
        <v>45201.0</v>
      </c>
      <c r="D372" s="3">
        <v>45870.0</v>
      </c>
      <c r="E372" s="2" t="s">
        <v>44</v>
      </c>
      <c r="F372" s="2" t="s">
        <v>393</v>
      </c>
      <c r="G372" s="2" t="s">
        <v>1149</v>
      </c>
      <c r="H372" s="2" t="s">
        <v>75</v>
      </c>
      <c r="I372" s="2"/>
      <c r="J372" s="2"/>
    </row>
    <row r="373" ht="14.25" customHeight="1">
      <c r="A373" s="2" t="s">
        <v>1150</v>
      </c>
      <c r="B373" s="2" t="s">
        <v>1151</v>
      </c>
      <c r="C373" s="3">
        <v>45139.0</v>
      </c>
      <c r="D373" s="3">
        <v>45916.0</v>
      </c>
      <c r="E373" s="2" t="s">
        <v>26</v>
      </c>
      <c r="F373" s="2" t="s">
        <v>50</v>
      </c>
      <c r="G373" s="2" t="s">
        <v>372</v>
      </c>
      <c r="H373" s="2" t="s">
        <v>667</v>
      </c>
      <c r="I373" s="2" t="s">
        <v>53</v>
      </c>
      <c r="J373" s="2"/>
    </row>
    <row r="374" ht="14.25" customHeight="1">
      <c r="A374" s="2" t="s">
        <v>1152</v>
      </c>
      <c r="B374" s="2" t="s">
        <v>1153</v>
      </c>
      <c r="C374" s="3">
        <v>42927.0</v>
      </c>
      <c r="D374" s="3">
        <v>45870.0</v>
      </c>
      <c r="E374" s="2" t="s">
        <v>26</v>
      </c>
      <c r="F374" s="2" t="s">
        <v>61</v>
      </c>
      <c r="G374" s="2" t="s">
        <v>372</v>
      </c>
      <c r="H374" s="2" t="s">
        <v>288</v>
      </c>
      <c r="I374" s="2" t="s">
        <v>64</v>
      </c>
      <c r="J374" s="2"/>
    </row>
    <row r="375" ht="14.25" customHeight="1">
      <c r="A375" s="2" t="s">
        <v>1154</v>
      </c>
      <c r="B375" s="2" t="s">
        <v>1155</v>
      </c>
      <c r="C375" s="3">
        <v>44389.0</v>
      </c>
      <c r="D375" s="3">
        <v>45870.0</v>
      </c>
      <c r="E375" s="2" t="s">
        <v>44</v>
      </c>
      <c r="F375" s="2" t="s">
        <v>45</v>
      </c>
      <c r="G375" s="2" t="s">
        <v>46</v>
      </c>
      <c r="H375" s="2" t="s">
        <v>47</v>
      </c>
      <c r="I375" s="2"/>
      <c r="J375" s="2"/>
    </row>
    <row r="376" ht="14.25" customHeight="1">
      <c r="A376" s="2" t="s">
        <v>1156</v>
      </c>
      <c r="B376" s="2" t="s">
        <v>1157</v>
      </c>
      <c r="C376" s="3">
        <v>44467.0</v>
      </c>
      <c r="D376" s="3">
        <v>45627.0</v>
      </c>
      <c r="E376" s="2" t="s">
        <v>33</v>
      </c>
      <c r="F376" s="2" t="s">
        <v>34</v>
      </c>
      <c r="G376" s="2" t="s">
        <v>938</v>
      </c>
      <c r="H376" s="2" t="s">
        <v>94</v>
      </c>
      <c r="I376" s="2"/>
      <c r="J376" s="2"/>
    </row>
    <row r="377" ht="14.25" customHeight="1">
      <c r="A377" s="2" t="s">
        <v>1158</v>
      </c>
      <c r="B377" s="2" t="s">
        <v>1159</v>
      </c>
      <c r="C377" s="3">
        <v>45104.0</v>
      </c>
      <c r="D377" s="3">
        <v>45870.0</v>
      </c>
      <c r="E377" s="2" t="s">
        <v>26</v>
      </c>
      <c r="F377" s="2" t="s">
        <v>61</v>
      </c>
      <c r="G377" s="2" t="s">
        <v>62</v>
      </c>
      <c r="H377" s="2" t="s">
        <v>63</v>
      </c>
      <c r="I377" s="2" t="s">
        <v>710</v>
      </c>
      <c r="J377" s="2"/>
    </row>
    <row r="378" ht="14.25" customHeight="1">
      <c r="A378" s="2" t="s">
        <v>1160</v>
      </c>
      <c r="B378" s="2" t="s">
        <v>1161</v>
      </c>
      <c r="C378" s="3">
        <v>44426.0</v>
      </c>
      <c r="D378" s="3">
        <v>45778.0</v>
      </c>
      <c r="E378" s="2" t="s">
        <v>19</v>
      </c>
      <c r="F378" s="2" t="s">
        <v>612</v>
      </c>
      <c r="G378" s="2" t="s">
        <v>198</v>
      </c>
      <c r="H378" s="2" t="s">
        <v>613</v>
      </c>
      <c r="I378" s="2" t="s">
        <v>70</v>
      </c>
      <c r="J378" s="2"/>
    </row>
    <row r="379" ht="14.25" customHeight="1">
      <c r="A379" s="2" t="s">
        <v>1162</v>
      </c>
      <c r="B379" s="2" t="s">
        <v>1163</v>
      </c>
      <c r="C379" s="3">
        <v>43997.0</v>
      </c>
      <c r="D379" s="3">
        <v>45870.0</v>
      </c>
      <c r="E379" s="2" t="s">
        <v>44</v>
      </c>
      <c r="F379" s="2" t="s">
        <v>45</v>
      </c>
      <c r="G379" s="2" t="s">
        <v>1164</v>
      </c>
      <c r="H379" s="2" t="s">
        <v>47</v>
      </c>
      <c r="I379" s="2" t="s">
        <v>1165</v>
      </c>
      <c r="J379" s="2"/>
    </row>
    <row r="380" ht="14.25" customHeight="1">
      <c r="A380" s="2" t="s">
        <v>1166</v>
      </c>
      <c r="B380" s="2" t="s">
        <v>1167</v>
      </c>
      <c r="C380" s="3">
        <v>44474.0</v>
      </c>
      <c r="D380" s="3">
        <v>45870.0</v>
      </c>
      <c r="E380" s="2" t="s">
        <v>19</v>
      </c>
      <c r="F380" s="2" t="s">
        <v>181</v>
      </c>
      <c r="G380" s="2" t="s">
        <v>182</v>
      </c>
      <c r="H380" s="2" t="s">
        <v>360</v>
      </c>
      <c r="I380" s="2" t="s">
        <v>111</v>
      </c>
      <c r="J380" s="2"/>
    </row>
    <row r="381" ht="14.25" customHeight="1">
      <c r="A381" s="2" t="s">
        <v>1168</v>
      </c>
      <c r="B381" s="2" t="s">
        <v>1169</v>
      </c>
      <c r="C381" s="3">
        <v>44356.0</v>
      </c>
      <c r="D381" s="3">
        <v>45870.0</v>
      </c>
      <c r="E381" s="2" t="s">
        <v>26</v>
      </c>
      <c r="F381" s="2" t="s">
        <v>27</v>
      </c>
      <c r="G381" s="2" t="s">
        <v>51</v>
      </c>
      <c r="H381" s="2" t="s">
        <v>455</v>
      </c>
      <c r="I381" s="2" t="s">
        <v>411</v>
      </c>
      <c r="J381" s="2"/>
    </row>
    <row r="382" ht="14.25" customHeight="1">
      <c r="A382" s="2" t="s">
        <v>1170</v>
      </c>
      <c r="B382" s="2" t="s">
        <v>1171</v>
      </c>
      <c r="C382" s="3">
        <v>44495.0</v>
      </c>
      <c r="D382" s="3">
        <v>45689.0</v>
      </c>
      <c r="E382" s="2" t="s">
        <v>19</v>
      </c>
      <c r="F382" s="2" t="s">
        <v>612</v>
      </c>
      <c r="G382" s="2" t="s">
        <v>198</v>
      </c>
      <c r="H382" s="2" t="s">
        <v>613</v>
      </c>
      <c r="I382" s="2" t="s">
        <v>70</v>
      </c>
      <c r="J382" s="2"/>
    </row>
    <row r="383" ht="14.25" customHeight="1">
      <c r="A383" s="2" t="s">
        <v>1172</v>
      </c>
      <c r="B383" s="2" t="s">
        <v>1173</v>
      </c>
      <c r="C383" s="3">
        <v>45222.0</v>
      </c>
      <c r="D383" s="3">
        <v>45870.0</v>
      </c>
      <c r="E383" s="2" t="s">
        <v>19</v>
      </c>
      <c r="F383" s="2" t="s">
        <v>78</v>
      </c>
      <c r="G383" s="2" t="s">
        <v>514</v>
      </c>
      <c r="H383" s="2" t="s">
        <v>80</v>
      </c>
      <c r="I383" s="2" t="s">
        <v>81</v>
      </c>
      <c r="J383" s="2"/>
    </row>
    <row r="384" ht="14.25" customHeight="1">
      <c r="A384" s="2" t="s">
        <v>1174</v>
      </c>
      <c r="B384" s="2" t="s">
        <v>1175</v>
      </c>
      <c r="C384" s="3">
        <v>44909.0</v>
      </c>
      <c r="D384" s="3">
        <v>45701.0</v>
      </c>
      <c r="E384" s="2" t="s">
        <v>33</v>
      </c>
      <c r="F384" s="2" t="s">
        <v>315</v>
      </c>
      <c r="G384" s="2" t="s">
        <v>1176</v>
      </c>
      <c r="H384" s="2" t="s">
        <v>188</v>
      </c>
      <c r="I384" s="2"/>
      <c r="J384" s="2"/>
    </row>
    <row r="385" ht="14.25" customHeight="1">
      <c r="A385" s="2" t="s">
        <v>1177</v>
      </c>
      <c r="B385" s="2" t="s">
        <v>1178</v>
      </c>
      <c r="C385" s="3">
        <v>44979.0</v>
      </c>
      <c r="D385" s="3">
        <v>45870.0</v>
      </c>
      <c r="E385" s="2" t="s">
        <v>111</v>
      </c>
      <c r="F385" s="2" t="s">
        <v>112</v>
      </c>
      <c r="G385" s="2" t="s">
        <v>1179</v>
      </c>
      <c r="H385" s="2" t="s">
        <v>771</v>
      </c>
      <c r="I385" s="2" t="s">
        <v>161</v>
      </c>
      <c r="J385" s="2"/>
    </row>
    <row r="386" ht="14.25" customHeight="1">
      <c r="A386" s="2" t="s">
        <v>1180</v>
      </c>
      <c r="B386" s="2" t="s">
        <v>1181</v>
      </c>
      <c r="C386" s="3">
        <v>44615.0</v>
      </c>
      <c r="D386" s="3">
        <v>45870.0</v>
      </c>
      <c r="E386" s="2" t="s">
        <v>26</v>
      </c>
      <c r="F386" s="2" t="s">
        <v>147</v>
      </c>
      <c r="G386" s="2" t="s">
        <v>51</v>
      </c>
      <c r="H386" s="2" t="s">
        <v>304</v>
      </c>
      <c r="I386" s="2" t="s">
        <v>307</v>
      </c>
      <c r="J386" s="2"/>
    </row>
    <row r="387" ht="14.25" customHeight="1">
      <c r="A387" s="2" t="s">
        <v>1182</v>
      </c>
      <c r="B387" s="2" t="s">
        <v>1183</v>
      </c>
      <c r="C387" s="3">
        <v>44628.0</v>
      </c>
      <c r="D387" s="3">
        <v>45870.0</v>
      </c>
      <c r="E387" s="2" t="s">
        <v>19</v>
      </c>
      <c r="F387" s="2" t="s">
        <v>181</v>
      </c>
      <c r="G387" s="2" t="s">
        <v>182</v>
      </c>
      <c r="H387" s="2" t="s">
        <v>360</v>
      </c>
      <c r="I387" s="2" t="s">
        <v>111</v>
      </c>
      <c r="J387" s="2"/>
    </row>
    <row r="388" ht="14.25" customHeight="1">
      <c r="A388" s="2" t="s">
        <v>1184</v>
      </c>
      <c r="B388" s="2" t="s">
        <v>1185</v>
      </c>
      <c r="C388" s="3">
        <v>45566.0</v>
      </c>
      <c r="D388" s="3">
        <v>45870.0</v>
      </c>
      <c r="E388" s="2" t="s">
        <v>19</v>
      </c>
      <c r="F388" s="2" t="s">
        <v>248</v>
      </c>
      <c r="G388" s="2" t="s">
        <v>1186</v>
      </c>
      <c r="H388" s="2" t="s">
        <v>1187</v>
      </c>
      <c r="I388" s="2"/>
      <c r="J388" s="2"/>
    </row>
    <row r="389" ht="14.25" customHeight="1">
      <c r="A389" s="2" t="s">
        <v>1188</v>
      </c>
      <c r="B389" s="2" t="s">
        <v>1189</v>
      </c>
      <c r="C389" s="3">
        <v>44593.0</v>
      </c>
      <c r="D389" s="3">
        <v>45870.0</v>
      </c>
      <c r="E389" s="2" t="s">
        <v>111</v>
      </c>
      <c r="F389" s="2" t="s">
        <v>112</v>
      </c>
      <c r="G389" s="2" t="s">
        <v>1190</v>
      </c>
      <c r="H389" s="2" t="s">
        <v>448</v>
      </c>
      <c r="I389" s="2" t="s">
        <v>161</v>
      </c>
      <c r="J389" s="2"/>
    </row>
    <row r="390" ht="14.25" customHeight="1">
      <c r="A390" s="2" t="s">
        <v>1191</v>
      </c>
      <c r="B390" s="2" t="s">
        <v>1192</v>
      </c>
      <c r="C390" s="3">
        <v>44565.0</v>
      </c>
      <c r="D390" s="3">
        <v>45870.0</v>
      </c>
      <c r="E390" s="2" t="s">
        <v>44</v>
      </c>
      <c r="F390" s="2" t="s">
        <v>259</v>
      </c>
      <c r="G390" s="2" t="s">
        <v>1193</v>
      </c>
      <c r="H390" s="2" t="s">
        <v>261</v>
      </c>
      <c r="I390" s="2"/>
      <c r="J390" s="2"/>
    </row>
    <row r="391" ht="14.25" customHeight="1">
      <c r="A391" s="2" t="s">
        <v>1194</v>
      </c>
      <c r="B391" s="2" t="s">
        <v>1195</v>
      </c>
      <c r="C391" s="3">
        <v>45909.0</v>
      </c>
      <c r="D391" s="3">
        <v>45909.0</v>
      </c>
      <c r="E391" s="2" t="s">
        <v>26</v>
      </c>
      <c r="F391" s="2" t="s">
        <v>50</v>
      </c>
      <c r="G391" s="2" t="s">
        <v>62</v>
      </c>
      <c r="H391" s="2" t="s">
        <v>568</v>
      </c>
      <c r="I391" s="2"/>
      <c r="J391" s="2"/>
    </row>
    <row r="392" ht="14.25" customHeight="1">
      <c r="A392" s="2" t="s">
        <v>1196</v>
      </c>
      <c r="B392" s="2" t="s">
        <v>1197</v>
      </c>
      <c r="C392" s="3">
        <v>45867.0</v>
      </c>
      <c r="D392" s="3">
        <v>45870.0</v>
      </c>
      <c r="E392" s="2" t="s">
        <v>26</v>
      </c>
      <c r="F392" s="2" t="s">
        <v>598</v>
      </c>
      <c r="G392" s="2" t="s">
        <v>1198</v>
      </c>
      <c r="H392" s="2" t="s">
        <v>550</v>
      </c>
      <c r="I392" s="2" t="s">
        <v>643</v>
      </c>
      <c r="J392" s="2"/>
    </row>
    <row r="393" ht="14.25" customHeight="1">
      <c r="A393" s="2" t="s">
        <v>1199</v>
      </c>
      <c r="B393" s="2" t="s">
        <v>1200</v>
      </c>
      <c r="C393" s="3">
        <v>44649.0</v>
      </c>
      <c r="D393" s="3">
        <v>45870.0</v>
      </c>
      <c r="E393" s="2" t="s">
        <v>12</v>
      </c>
      <c r="F393" s="2" t="s">
        <v>487</v>
      </c>
      <c r="G393" s="2" t="s">
        <v>1201</v>
      </c>
      <c r="H393" s="2" t="s">
        <v>1078</v>
      </c>
      <c r="I393" s="2" t="s">
        <v>930</v>
      </c>
      <c r="J393" s="2"/>
    </row>
    <row r="394" ht="14.25" customHeight="1">
      <c r="A394" s="2" t="s">
        <v>1202</v>
      </c>
      <c r="B394" s="2" t="s">
        <v>1203</v>
      </c>
      <c r="C394" s="3">
        <v>44852.0</v>
      </c>
      <c r="D394" s="3">
        <v>45870.0</v>
      </c>
      <c r="E394" s="2" t="s">
        <v>19</v>
      </c>
      <c r="F394" s="2" t="s">
        <v>176</v>
      </c>
      <c r="G394" s="2" t="s">
        <v>326</v>
      </c>
      <c r="H394" s="2" t="s">
        <v>664</v>
      </c>
      <c r="I394" s="2" t="s">
        <v>328</v>
      </c>
      <c r="J394" s="2"/>
    </row>
    <row r="395" ht="14.25" customHeight="1">
      <c r="A395" s="2" t="s">
        <v>1204</v>
      </c>
      <c r="B395" s="2" t="s">
        <v>1205</v>
      </c>
      <c r="C395" s="3">
        <v>44930.0</v>
      </c>
      <c r="D395" s="3">
        <v>45870.0</v>
      </c>
      <c r="E395" s="2" t="s">
        <v>44</v>
      </c>
      <c r="F395" s="2" t="s">
        <v>259</v>
      </c>
      <c r="G395" s="2" t="s">
        <v>1206</v>
      </c>
      <c r="H395" s="2" t="s">
        <v>399</v>
      </c>
      <c r="I395" s="2"/>
      <c r="J395" s="2"/>
    </row>
    <row r="396" ht="14.25" customHeight="1">
      <c r="A396" s="2" t="s">
        <v>1207</v>
      </c>
      <c r="B396" s="2" t="s">
        <v>1208</v>
      </c>
      <c r="C396" s="3">
        <v>45223.0</v>
      </c>
      <c r="D396" s="3">
        <v>45870.0</v>
      </c>
      <c r="E396" s="2" t="s">
        <v>12</v>
      </c>
      <c r="F396" s="2" t="s">
        <v>487</v>
      </c>
      <c r="G396" s="2" t="s">
        <v>1209</v>
      </c>
      <c r="H396" s="2" t="s">
        <v>399</v>
      </c>
      <c r="I396" s="2"/>
      <c r="J396" s="2"/>
    </row>
    <row r="397" ht="14.25" customHeight="1">
      <c r="A397" s="2" t="s">
        <v>1210</v>
      </c>
      <c r="B397" s="2" t="s">
        <v>1211</v>
      </c>
      <c r="C397" s="3">
        <v>45559.0</v>
      </c>
      <c r="D397" s="3">
        <v>45870.0</v>
      </c>
      <c r="E397" s="2" t="s">
        <v>12</v>
      </c>
      <c r="F397" s="2" t="s">
        <v>487</v>
      </c>
      <c r="G397" s="2" t="s">
        <v>1212</v>
      </c>
      <c r="H397" s="2" t="s">
        <v>1078</v>
      </c>
      <c r="I397" s="2" t="s">
        <v>930</v>
      </c>
      <c r="J397" s="2"/>
    </row>
    <row r="398" ht="14.25" customHeight="1">
      <c r="A398" s="2" t="s">
        <v>1213</v>
      </c>
      <c r="B398" s="2" t="s">
        <v>1214</v>
      </c>
      <c r="C398" s="3">
        <v>44704.0</v>
      </c>
      <c r="D398" s="3">
        <v>45870.0</v>
      </c>
      <c r="E398" s="2" t="s">
        <v>26</v>
      </c>
      <c r="F398" s="2" t="s">
        <v>147</v>
      </c>
      <c r="G398" s="2" t="s">
        <v>533</v>
      </c>
      <c r="H398" s="2" t="s">
        <v>133</v>
      </c>
      <c r="I398" s="2"/>
      <c r="J398" s="2"/>
    </row>
    <row r="399" ht="14.25" customHeight="1">
      <c r="A399" s="2" t="s">
        <v>1215</v>
      </c>
      <c r="B399" s="2" t="s">
        <v>1216</v>
      </c>
      <c r="C399" s="3">
        <v>44490.0</v>
      </c>
      <c r="D399" s="3">
        <v>44866.0</v>
      </c>
      <c r="E399" s="2" t="s">
        <v>33</v>
      </c>
      <c r="F399" s="2" t="s">
        <v>236</v>
      </c>
      <c r="G399" s="2" t="s">
        <v>1217</v>
      </c>
      <c r="H399" s="2" t="s">
        <v>1218</v>
      </c>
      <c r="I399" s="2" t="s">
        <v>1165</v>
      </c>
      <c r="J399" s="2"/>
    </row>
    <row r="400" ht="14.25" customHeight="1">
      <c r="A400" s="2" t="s">
        <v>1219</v>
      </c>
      <c r="B400" s="2" t="s">
        <v>1220</v>
      </c>
      <c r="C400" s="3">
        <v>45468.0</v>
      </c>
      <c r="D400" s="3">
        <v>45875.0</v>
      </c>
      <c r="E400" s="2" t="s">
        <v>19</v>
      </c>
      <c r="F400" s="2" t="s">
        <v>248</v>
      </c>
      <c r="G400" s="2" t="s">
        <v>1221</v>
      </c>
      <c r="H400" s="2" t="s">
        <v>250</v>
      </c>
      <c r="I400" s="2" t="s">
        <v>251</v>
      </c>
      <c r="J400" s="2"/>
    </row>
    <row r="401" ht="14.25" customHeight="1">
      <c r="A401" s="2" t="s">
        <v>1222</v>
      </c>
      <c r="B401" s="2" t="s">
        <v>1223</v>
      </c>
      <c r="C401" s="3">
        <v>44944.0</v>
      </c>
      <c r="D401" s="3">
        <v>45444.0</v>
      </c>
      <c r="E401" s="2" t="s">
        <v>19</v>
      </c>
      <c r="F401" s="2" t="s">
        <v>433</v>
      </c>
      <c r="G401" s="2" t="s">
        <v>434</v>
      </c>
      <c r="H401" s="2" t="s">
        <v>435</v>
      </c>
      <c r="I401" s="2" t="s">
        <v>436</v>
      </c>
      <c r="J401" s="2"/>
    </row>
    <row r="402" ht="14.25" customHeight="1">
      <c r="A402" s="2" t="s">
        <v>1224</v>
      </c>
      <c r="B402" s="2" t="s">
        <v>1225</v>
      </c>
      <c r="C402" s="3">
        <v>43497.0</v>
      </c>
      <c r="D402" s="3">
        <v>45870.0</v>
      </c>
      <c r="E402" s="2" t="s">
        <v>26</v>
      </c>
      <c r="F402" s="2" t="s">
        <v>27</v>
      </c>
      <c r="G402" s="2" t="s">
        <v>28</v>
      </c>
      <c r="H402" s="2" t="s">
        <v>207</v>
      </c>
      <c r="I402" s="2" t="s">
        <v>208</v>
      </c>
      <c r="J402" s="2"/>
    </row>
    <row r="403" ht="14.25" customHeight="1">
      <c r="A403" s="2" t="s">
        <v>1226</v>
      </c>
      <c r="B403" s="2" t="s">
        <v>1227</v>
      </c>
      <c r="C403" s="3">
        <v>45468.0</v>
      </c>
      <c r="D403" s="3">
        <v>45870.0</v>
      </c>
      <c r="E403" s="2" t="s">
        <v>19</v>
      </c>
      <c r="F403" s="2" t="s">
        <v>84</v>
      </c>
      <c r="G403" s="2" t="s">
        <v>1228</v>
      </c>
      <c r="H403" s="2" t="s">
        <v>1011</v>
      </c>
      <c r="I403" s="2" t="s">
        <v>348</v>
      </c>
      <c r="J403" s="2"/>
    </row>
    <row r="404" ht="14.25" customHeight="1">
      <c r="A404" s="2" t="s">
        <v>1229</v>
      </c>
      <c r="B404" s="2" t="s">
        <v>1230</v>
      </c>
      <c r="C404" s="3">
        <v>45510.0</v>
      </c>
      <c r="D404" s="3">
        <v>45510.0</v>
      </c>
      <c r="E404" s="2" t="s">
        <v>19</v>
      </c>
      <c r="F404" s="2" t="s">
        <v>704</v>
      </c>
      <c r="G404" s="2" t="s">
        <v>320</v>
      </c>
      <c r="H404" s="2" t="s">
        <v>69</v>
      </c>
      <c r="I404" s="2" t="s">
        <v>222</v>
      </c>
      <c r="J404" s="2"/>
    </row>
    <row r="405" ht="14.25" customHeight="1">
      <c r="A405" s="2" t="s">
        <v>1231</v>
      </c>
      <c r="B405" s="2" t="s">
        <v>1232</v>
      </c>
      <c r="C405" s="3">
        <v>44908.0</v>
      </c>
      <c r="D405" s="3">
        <v>44949.0</v>
      </c>
      <c r="E405" s="2" t="s">
        <v>33</v>
      </c>
      <c r="F405" s="2" t="s">
        <v>968</v>
      </c>
      <c r="G405" s="2" t="s">
        <v>1233</v>
      </c>
      <c r="H405" s="2" t="s">
        <v>238</v>
      </c>
      <c r="I405" s="2" t="s">
        <v>520</v>
      </c>
      <c r="J405" s="2"/>
    </row>
    <row r="406" ht="14.25" customHeight="1">
      <c r="A406" s="2" t="s">
        <v>1234</v>
      </c>
      <c r="B406" s="2" t="s">
        <v>1235</v>
      </c>
      <c r="C406" s="3">
        <v>45447.0</v>
      </c>
      <c r="D406" s="3">
        <v>45797.0</v>
      </c>
      <c r="E406" s="2" t="s">
        <v>19</v>
      </c>
      <c r="F406" s="2" t="s">
        <v>219</v>
      </c>
      <c r="G406" s="2" t="s">
        <v>1236</v>
      </c>
      <c r="H406" s="2" t="s">
        <v>380</v>
      </c>
      <c r="I406" s="2" t="s">
        <v>222</v>
      </c>
      <c r="J406" s="2"/>
    </row>
    <row r="407" ht="14.25" customHeight="1">
      <c r="A407" s="2" t="s">
        <v>1237</v>
      </c>
      <c r="B407" s="2" t="s">
        <v>1238</v>
      </c>
      <c r="C407" s="3">
        <v>44531.0</v>
      </c>
      <c r="D407" s="3">
        <v>45870.0</v>
      </c>
      <c r="E407" s="2" t="s">
        <v>19</v>
      </c>
      <c r="F407" s="2" t="s">
        <v>56</v>
      </c>
      <c r="G407" s="2" t="s">
        <v>1239</v>
      </c>
      <c r="H407" s="2" t="s">
        <v>178</v>
      </c>
      <c r="I407" s="2"/>
      <c r="J407" s="2"/>
    </row>
    <row r="408" ht="14.25" customHeight="1">
      <c r="A408" s="2" t="s">
        <v>1240</v>
      </c>
      <c r="B408" s="2" t="s">
        <v>1241</v>
      </c>
      <c r="C408" s="3">
        <v>42275.0</v>
      </c>
      <c r="D408" s="3">
        <v>45870.0</v>
      </c>
      <c r="E408" s="2" t="s">
        <v>26</v>
      </c>
      <c r="F408" s="2" t="s">
        <v>61</v>
      </c>
      <c r="G408" s="2" t="s">
        <v>303</v>
      </c>
      <c r="H408" s="2" t="s">
        <v>384</v>
      </c>
      <c r="I408" s="2" t="s">
        <v>100</v>
      </c>
      <c r="J408" s="2"/>
    </row>
    <row r="409" ht="14.25" customHeight="1">
      <c r="A409" s="2" t="s">
        <v>1242</v>
      </c>
      <c r="B409" s="2" t="s">
        <v>1243</v>
      </c>
      <c r="C409" s="3">
        <v>44901.0</v>
      </c>
      <c r="D409" s="3">
        <v>45839.0</v>
      </c>
      <c r="E409" s="2" t="s">
        <v>33</v>
      </c>
      <c r="F409" s="2" t="s">
        <v>34</v>
      </c>
      <c r="G409" s="2" t="s">
        <v>1244</v>
      </c>
      <c r="H409" s="2" t="s">
        <v>545</v>
      </c>
      <c r="I409" s="2"/>
      <c r="J409" s="2"/>
    </row>
    <row r="410" ht="14.25" customHeight="1">
      <c r="A410" s="2" t="s">
        <v>1245</v>
      </c>
      <c r="B410" s="2" t="s">
        <v>1246</v>
      </c>
      <c r="C410" s="3">
        <v>44846.0</v>
      </c>
      <c r="D410" s="3">
        <v>45870.0</v>
      </c>
      <c r="E410" s="2" t="s">
        <v>44</v>
      </c>
      <c r="F410" s="2" t="s">
        <v>472</v>
      </c>
      <c r="G410" s="2" t="s">
        <v>1247</v>
      </c>
      <c r="H410" s="2" t="s">
        <v>474</v>
      </c>
      <c r="I410" s="2"/>
      <c r="J410" s="2"/>
    </row>
    <row r="411" ht="14.25" customHeight="1">
      <c r="A411" s="2" t="s">
        <v>1248</v>
      </c>
      <c r="B411" s="2" t="s">
        <v>1249</v>
      </c>
      <c r="C411" s="3">
        <v>45202.0</v>
      </c>
      <c r="D411" s="3">
        <v>45870.0</v>
      </c>
      <c r="E411" s="2" t="s">
        <v>26</v>
      </c>
      <c r="F411" s="2" t="s">
        <v>1103</v>
      </c>
      <c r="G411" s="2" t="s">
        <v>372</v>
      </c>
      <c r="H411" s="2" t="s">
        <v>99</v>
      </c>
      <c r="I411" s="2" t="s">
        <v>225</v>
      </c>
      <c r="J411" s="2"/>
    </row>
    <row r="412" ht="14.25" customHeight="1">
      <c r="A412" s="2" t="s">
        <v>1250</v>
      </c>
      <c r="B412" s="2" t="s">
        <v>1251</v>
      </c>
      <c r="C412" s="3">
        <v>45280.0</v>
      </c>
      <c r="D412" s="3">
        <v>45870.0</v>
      </c>
      <c r="E412" s="2" t="s">
        <v>44</v>
      </c>
      <c r="F412" s="2" t="s">
        <v>259</v>
      </c>
      <c r="G412" s="2" t="s">
        <v>1193</v>
      </c>
      <c r="H412" s="2" t="s">
        <v>755</v>
      </c>
      <c r="I412" s="2"/>
      <c r="J412" s="2"/>
    </row>
    <row r="413" ht="14.25" customHeight="1">
      <c r="A413" s="2" t="s">
        <v>1252</v>
      </c>
      <c r="B413" s="2" t="s">
        <v>1253</v>
      </c>
      <c r="C413" s="3">
        <v>44628.0</v>
      </c>
      <c r="D413" s="3">
        <v>45870.0</v>
      </c>
      <c r="E413" s="2" t="s">
        <v>26</v>
      </c>
      <c r="F413" s="2" t="s">
        <v>147</v>
      </c>
      <c r="G413" s="2" t="s">
        <v>28</v>
      </c>
      <c r="H413" s="2" t="s">
        <v>304</v>
      </c>
      <c r="I413" s="2" t="s">
        <v>307</v>
      </c>
      <c r="J413" s="2"/>
    </row>
    <row r="414" ht="14.25" customHeight="1">
      <c r="A414" s="2" t="s">
        <v>1254</v>
      </c>
      <c r="B414" s="2" t="s">
        <v>1255</v>
      </c>
      <c r="C414" s="3">
        <v>44663.0</v>
      </c>
      <c r="D414" s="3">
        <v>44949.0</v>
      </c>
      <c r="E414" s="2" t="s">
        <v>33</v>
      </c>
      <c r="F414" s="2" t="s">
        <v>968</v>
      </c>
      <c r="G414" s="2" t="s">
        <v>1233</v>
      </c>
      <c r="H414" s="2" t="s">
        <v>238</v>
      </c>
      <c r="I414" s="2" t="s">
        <v>520</v>
      </c>
      <c r="J414" s="2"/>
    </row>
    <row r="415" ht="14.25" customHeight="1">
      <c r="A415" s="2" t="s">
        <v>1256</v>
      </c>
      <c r="B415" s="2" t="s">
        <v>1257</v>
      </c>
      <c r="C415" s="3">
        <v>45132.0</v>
      </c>
      <c r="D415" s="3">
        <v>45444.0</v>
      </c>
      <c r="E415" s="2" t="s">
        <v>19</v>
      </c>
      <c r="F415" s="2" t="s">
        <v>67</v>
      </c>
      <c r="G415" s="2" t="s">
        <v>198</v>
      </c>
      <c r="H415" s="2" t="s">
        <v>69</v>
      </c>
      <c r="I415" s="2" t="s">
        <v>70</v>
      </c>
      <c r="J415" s="2"/>
    </row>
    <row r="416" ht="14.25" customHeight="1">
      <c r="A416" s="2" t="s">
        <v>1258</v>
      </c>
      <c r="B416" s="2" t="s">
        <v>1259</v>
      </c>
      <c r="C416" s="3">
        <v>45846.0</v>
      </c>
      <c r="D416" s="3">
        <v>45870.0</v>
      </c>
      <c r="E416" s="2" t="s">
        <v>44</v>
      </c>
      <c r="F416" s="2" t="s">
        <v>164</v>
      </c>
      <c r="G416" s="2" t="s">
        <v>1260</v>
      </c>
      <c r="H416" s="2" t="s">
        <v>582</v>
      </c>
      <c r="I416" s="2"/>
      <c r="J416" s="2"/>
    </row>
    <row r="417" ht="14.25" customHeight="1">
      <c r="A417" s="2" t="s">
        <v>1261</v>
      </c>
      <c r="B417" s="2" t="s">
        <v>1262</v>
      </c>
      <c r="C417" s="3">
        <v>44704.0</v>
      </c>
      <c r="D417" s="3">
        <v>45870.0</v>
      </c>
      <c r="E417" s="2" t="s">
        <v>26</v>
      </c>
      <c r="F417" s="2" t="s">
        <v>27</v>
      </c>
      <c r="G417" s="2" t="s">
        <v>51</v>
      </c>
      <c r="H417" s="2" t="s">
        <v>29</v>
      </c>
      <c r="I417" s="2" t="s">
        <v>414</v>
      </c>
      <c r="J417" s="2"/>
    </row>
    <row r="418" ht="14.25" customHeight="1">
      <c r="A418" s="2" t="s">
        <v>1263</v>
      </c>
      <c r="B418" s="2" t="s">
        <v>1264</v>
      </c>
      <c r="C418" s="3">
        <v>44656.0</v>
      </c>
      <c r="D418" s="3">
        <v>45916.0</v>
      </c>
      <c r="E418" s="2" t="s">
        <v>26</v>
      </c>
      <c r="F418" s="2" t="s">
        <v>50</v>
      </c>
      <c r="G418" s="2" t="s">
        <v>28</v>
      </c>
      <c r="H418" s="2" t="s">
        <v>667</v>
      </c>
      <c r="I418" s="2" t="s">
        <v>53</v>
      </c>
      <c r="J418" s="2"/>
    </row>
    <row r="419" ht="14.25" customHeight="1">
      <c r="A419" s="2" t="s">
        <v>1265</v>
      </c>
      <c r="B419" s="2" t="s">
        <v>1266</v>
      </c>
      <c r="C419" s="3">
        <v>45049.0</v>
      </c>
      <c r="D419" s="3">
        <v>45870.0</v>
      </c>
      <c r="E419" s="2" t="s">
        <v>111</v>
      </c>
      <c r="F419" s="2" t="s">
        <v>363</v>
      </c>
      <c r="G419" s="2" t="s">
        <v>1267</v>
      </c>
      <c r="H419" s="2" t="s">
        <v>1002</v>
      </c>
      <c r="I419" s="2" t="s">
        <v>161</v>
      </c>
      <c r="J419" s="2"/>
    </row>
    <row r="420" ht="14.25" customHeight="1">
      <c r="A420" s="2" t="s">
        <v>1268</v>
      </c>
      <c r="B420" s="2" t="s">
        <v>1269</v>
      </c>
      <c r="C420" s="3">
        <v>44677.0</v>
      </c>
      <c r="D420" s="3">
        <v>45870.0</v>
      </c>
      <c r="E420" s="2" t="s">
        <v>26</v>
      </c>
      <c r="F420" s="2" t="s">
        <v>61</v>
      </c>
      <c r="G420" s="2" t="s">
        <v>372</v>
      </c>
      <c r="H420" s="2" t="s">
        <v>282</v>
      </c>
      <c r="I420" s="2" t="s">
        <v>283</v>
      </c>
      <c r="J420" s="2"/>
    </row>
    <row r="421" ht="14.25" customHeight="1">
      <c r="A421" s="2" t="s">
        <v>1270</v>
      </c>
      <c r="B421" s="2" t="s">
        <v>1271</v>
      </c>
      <c r="C421" s="3">
        <v>44782.0</v>
      </c>
      <c r="D421" s="3">
        <v>45870.0</v>
      </c>
      <c r="E421" s="2" t="s">
        <v>12</v>
      </c>
      <c r="F421" s="2" t="s">
        <v>201</v>
      </c>
      <c r="G421" s="2" t="s">
        <v>1272</v>
      </c>
      <c r="H421" s="2" t="s">
        <v>203</v>
      </c>
      <c r="I421" s="2" t="s">
        <v>628</v>
      </c>
      <c r="J421" s="2"/>
    </row>
    <row r="422" ht="14.25" customHeight="1">
      <c r="A422" s="2" t="s">
        <v>1273</v>
      </c>
      <c r="B422" s="2" t="s">
        <v>1274</v>
      </c>
      <c r="C422" s="3">
        <v>45363.0</v>
      </c>
      <c r="D422" s="3">
        <v>45870.0</v>
      </c>
      <c r="E422" s="2" t="s">
        <v>19</v>
      </c>
      <c r="F422" s="2" t="s">
        <v>176</v>
      </c>
      <c r="G422" s="2" t="s">
        <v>326</v>
      </c>
      <c r="H422" s="2" t="s">
        <v>664</v>
      </c>
      <c r="I422" s="2" t="s">
        <v>381</v>
      </c>
      <c r="J422" s="2"/>
    </row>
    <row r="423" ht="14.25" customHeight="1">
      <c r="A423" s="2" t="s">
        <v>1275</v>
      </c>
      <c r="B423" s="2" t="s">
        <v>1276</v>
      </c>
      <c r="C423" s="3">
        <v>45308.0</v>
      </c>
      <c r="D423" s="3">
        <v>45870.0</v>
      </c>
      <c r="E423" s="2" t="s">
        <v>26</v>
      </c>
      <c r="F423" s="2" t="s">
        <v>61</v>
      </c>
      <c r="G423" s="2" t="s">
        <v>28</v>
      </c>
      <c r="H423" s="2" t="s">
        <v>282</v>
      </c>
      <c r="I423" s="2" t="s">
        <v>283</v>
      </c>
      <c r="J423" s="2"/>
    </row>
    <row r="424" ht="14.25" customHeight="1">
      <c r="A424" s="2" t="s">
        <v>1277</v>
      </c>
      <c r="B424" s="2" t="s">
        <v>1278</v>
      </c>
      <c r="C424" s="3">
        <v>44846.0</v>
      </c>
      <c r="D424" s="3">
        <v>45870.0</v>
      </c>
      <c r="E424" s="2" t="s">
        <v>19</v>
      </c>
      <c r="F424" s="2" t="s">
        <v>181</v>
      </c>
      <c r="G424" s="2" t="s">
        <v>182</v>
      </c>
      <c r="H424" s="2" t="s">
        <v>360</v>
      </c>
      <c r="I424" s="2" t="s">
        <v>111</v>
      </c>
      <c r="J424" s="2"/>
    </row>
    <row r="425" ht="14.25" customHeight="1">
      <c r="A425" s="2" t="s">
        <v>1279</v>
      </c>
      <c r="B425" s="2" t="s">
        <v>1280</v>
      </c>
      <c r="C425" s="3">
        <v>45559.0</v>
      </c>
      <c r="D425" s="3">
        <v>45870.0</v>
      </c>
      <c r="E425" s="2" t="s">
        <v>19</v>
      </c>
      <c r="F425" s="2" t="s">
        <v>181</v>
      </c>
      <c r="G425" s="2" t="s">
        <v>182</v>
      </c>
      <c r="H425" s="2" t="s">
        <v>183</v>
      </c>
      <c r="I425" s="2"/>
      <c r="J425" s="2"/>
    </row>
    <row r="426" ht="14.25" customHeight="1">
      <c r="A426" s="2" t="s">
        <v>1281</v>
      </c>
      <c r="B426" s="2" t="s">
        <v>1282</v>
      </c>
      <c r="C426" s="3">
        <v>45384.0</v>
      </c>
      <c r="D426" s="3">
        <v>45384.0</v>
      </c>
      <c r="E426" s="2" t="s">
        <v>33</v>
      </c>
      <c r="F426" s="2" t="s">
        <v>211</v>
      </c>
      <c r="G426" s="2" t="s">
        <v>1283</v>
      </c>
      <c r="H426" s="2" t="s">
        <v>1284</v>
      </c>
      <c r="I426" s="2"/>
      <c r="J426" s="2"/>
    </row>
    <row r="427" ht="14.25" customHeight="1">
      <c r="A427" s="2" t="s">
        <v>1285</v>
      </c>
      <c r="B427" s="2" t="s">
        <v>1286</v>
      </c>
      <c r="C427" s="3">
        <v>45496.0</v>
      </c>
      <c r="D427" s="3">
        <v>45870.0</v>
      </c>
      <c r="E427" s="2" t="s">
        <v>19</v>
      </c>
      <c r="F427" s="2" t="s">
        <v>248</v>
      </c>
      <c r="G427" s="2" t="s">
        <v>1287</v>
      </c>
      <c r="H427" s="2" t="s">
        <v>746</v>
      </c>
      <c r="I427" s="2" t="s">
        <v>988</v>
      </c>
      <c r="J427" s="2"/>
    </row>
    <row r="428" ht="14.25" customHeight="1">
      <c r="A428" s="2" t="s">
        <v>1288</v>
      </c>
      <c r="B428" s="2" t="s">
        <v>1289</v>
      </c>
      <c r="C428" s="3">
        <v>45006.0</v>
      </c>
      <c r="D428" s="3">
        <v>45916.0</v>
      </c>
      <c r="E428" s="2" t="s">
        <v>26</v>
      </c>
      <c r="F428" s="2" t="s">
        <v>50</v>
      </c>
      <c r="G428" s="2" t="s">
        <v>372</v>
      </c>
      <c r="H428" s="2" t="s">
        <v>667</v>
      </c>
      <c r="I428" s="2" t="s">
        <v>53</v>
      </c>
      <c r="J428" s="2"/>
    </row>
    <row r="429" ht="14.25" customHeight="1">
      <c r="A429" s="2" t="s">
        <v>1290</v>
      </c>
      <c r="B429" s="2" t="s">
        <v>1291</v>
      </c>
      <c r="C429" s="3">
        <v>45209.0</v>
      </c>
      <c r="D429" s="3">
        <v>45870.0</v>
      </c>
      <c r="E429" s="2" t="s">
        <v>44</v>
      </c>
      <c r="F429" s="2" t="s">
        <v>123</v>
      </c>
      <c r="G429" s="2" t="s">
        <v>1292</v>
      </c>
      <c r="H429" s="2" t="s">
        <v>125</v>
      </c>
      <c r="I429" s="2"/>
      <c r="J429" s="2"/>
    </row>
    <row r="430" ht="14.25" customHeight="1">
      <c r="A430" s="2" t="s">
        <v>1293</v>
      </c>
      <c r="B430" s="2" t="s">
        <v>1294</v>
      </c>
      <c r="C430" s="3">
        <v>45496.0</v>
      </c>
      <c r="D430" s="3">
        <v>45870.0</v>
      </c>
      <c r="E430" s="2" t="s">
        <v>19</v>
      </c>
      <c r="F430" s="2" t="s">
        <v>84</v>
      </c>
      <c r="G430" s="2" t="s">
        <v>1295</v>
      </c>
      <c r="H430" s="2" t="s">
        <v>86</v>
      </c>
      <c r="I430" s="2" t="s">
        <v>348</v>
      </c>
      <c r="J430" s="2"/>
    </row>
    <row r="431" ht="14.25" customHeight="1">
      <c r="A431" s="2" t="s">
        <v>1296</v>
      </c>
      <c r="B431" s="2" t="s">
        <v>1297</v>
      </c>
      <c r="C431" s="3">
        <v>45216.0</v>
      </c>
      <c r="D431" s="3">
        <v>45870.0</v>
      </c>
      <c r="E431" s="2" t="s">
        <v>19</v>
      </c>
      <c r="F431" s="2" t="s">
        <v>176</v>
      </c>
      <c r="G431" s="2" t="s">
        <v>57</v>
      </c>
      <c r="H431" s="2" t="s">
        <v>664</v>
      </c>
      <c r="I431" s="2" t="s">
        <v>436</v>
      </c>
      <c r="J431" s="2"/>
    </row>
    <row r="432" ht="14.25" customHeight="1">
      <c r="A432" s="2" t="s">
        <v>1298</v>
      </c>
      <c r="B432" s="2" t="s">
        <v>1299</v>
      </c>
      <c r="C432" s="3">
        <v>44866.0</v>
      </c>
      <c r="D432" s="3">
        <v>45870.0</v>
      </c>
      <c r="E432" s="2" t="s">
        <v>26</v>
      </c>
      <c r="F432" s="2" t="s">
        <v>147</v>
      </c>
      <c r="G432" s="2" t="s">
        <v>28</v>
      </c>
      <c r="H432" s="2" t="s">
        <v>562</v>
      </c>
      <c r="I432" s="2" t="s">
        <v>104</v>
      </c>
      <c r="J432" s="2"/>
    </row>
    <row r="433" ht="14.25" customHeight="1">
      <c r="A433" s="2" t="s">
        <v>1300</v>
      </c>
      <c r="B433" s="2" t="s">
        <v>1301</v>
      </c>
      <c r="C433" s="3">
        <v>44502.0</v>
      </c>
      <c r="D433" s="3">
        <v>45870.0</v>
      </c>
      <c r="E433" s="2" t="s">
        <v>26</v>
      </c>
      <c r="F433" s="2" t="s">
        <v>27</v>
      </c>
      <c r="G433" s="2" t="s">
        <v>28</v>
      </c>
      <c r="H433" s="2" t="s">
        <v>336</v>
      </c>
      <c r="I433" s="2" t="s">
        <v>108</v>
      </c>
      <c r="J433" s="2"/>
    </row>
    <row r="434" ht="14.25" customHeight="1">
      <c r="A434" s="2" t="s">
        <v>1302</v>
      </c>
      <c r="B434" s="2" t="s">
        <v>1303</v>
      </c>
      <c r="C434" s="3">
        <v>45615.0</v>
      </c>
      <c r="D434" s="3">
        <v>45839.0</v>
      </c>
      <c r="E434" s="2" t="s">
        <v>33</v>
      </c>
      <c r="F434" s="2" t="s">
        <v>34</v>
      </c>
      <c r="G434" s="2" t="s">
        <v>1304</v>
      </c>
      <c r="H434" s="2" t="s">
        <v>545</v>
      </c>
      <c r="I434" s="2"/>
      <c r="J434" s="2"/>
    </row>
    <row r="435" ht="14.25" customHeight="1">
      <c r="A435" s="2" t="s">
        <v>1305</v>
      </c>
      <c r="B435" s="2" t="s">
        <v>1306</v>
      </c>
      <c r="C435" s="3">
        <v>45671.0</v>
      </c>
      <c r="D435" s="3">
        <v>45870.0</v>
      </c>
      <c r="E435" s="2" t="s">
        <v>19</v>
      </c>
      <c r="F435" s="2" t="s">
        <v>181</v>
      </c>
      <c r="G435" s="2" t="s">
        <v>182</v>
      </c>
      <c r="H435" s="2" t="s">
        <v>183</v>
      </c>
      <c r="I435" s="2"/>
      <c r="J435" s="2"/>
    </row>
    <row r="436" ht="14.25" customHeight="1">
      <c r="A436" s="2" t="s">
        <v>1307</v>
      </c>
      <c r="B436" s="2" t="s">
        <v>1308</v>
      </c>
      <c r="C436" s="3">
        <v>45139.0</v>
      </c>
      <c r="D436" s="3">
        <v>45870.0</v>
      </c>
      <c r="E436" s="2" t="s">
        <v>26</v>
      </c>
      <c r="F436" s="2" t="s">
        <v>61</v>
      </c>
      <c r="G436" s="2" t="s">
        <v>28</v>
      </c>
      <c r="H436" s="2" t="s">
        <v>107</v>
      </c>
      <c r="I436" s="2" t="s">
        <v>108</v>
      </c>
      <c r="J436" s="2"/>
    </row>
    <row r="437" ht="14.25" customHeight="1">
      <c r="A437" s="2" t="s">
        <v>1309</v>
      </c>
      <c r="B437" s="2" t="s">
        <v>1310</v>
      </c>
      <c r="C437" s="3">
        <v>45098.0</v>
      </c>
      <c r="D437" s="3">
        <v>45901.0</v>
      </c>
      <c r="E437" s="2" t="s">
        <v>19</v>
      </c>
      <c r="F437" s="2" t="s">
        <v>56</v>
      </c>
      <c r="G437" s="2" t="s">
        <v>559</v>
      </c>
      <c r="H437" s="2" t="s">
        <v>538</v>
      </c>
      <c r="I437" s="2" t="s">
        <v>436</v>
      </c>
      <c r="J437" s="2"/>
    </row>
    <row r="438" ht="14.25" customHeight="1">
      <c r="A438" s="2" t="s">
        <v>1311</v>
      </c>
      <c r="B438" s="2" t="s">
        <v>1312</v>
      </c>
      <c r="C438" s="3">
        <v>45028.0</v>
      </c>
      <c r="D438" s="3">
        <v>45870.0</v>
      </c>
      <c r="E438" s="2" t="s">
        <v>111</v>
      </c>
      <c r="F438" s="2" t="s">
        <v>112</v>
      </c>
      <c r="G438" s="2" t="s">
        <v>1190</v>
      </c>
      <c r="H438" s="2" t="s">
        <v>448</v>
      </c>
      <c r="I438" s="2" t="s">
        <v>161</v>
      </c>
      <c r="J438" s="2"/>
    </row>
    <row r="439" ht="14.25" customHeight="1">
      <c r="A439" s="2" t="s">
        <v>1313</v>
      </c>
      <c r="B439" s="2" t="s">
        <v>1314</v>
      </c>
      <c r="C439" s="3">
        <v>44811.0</v>
      </c>
      <c r="D439" s="3">
        <v>45870.0</v>
      </c>
      <c r="E439" s="2" t="s">
        <v>19</v>
      </c>
      <c r="F439" s="2" t="s">
        <v>78</v>
      </c>
      <c r="G439" s="2" t="s">
        <v>1315</v>
      </c>
      <c r="H439" s="2" t="s">
        <v>265</v>
      </c>
      <c r="I439" s="2"/>
      <c r="J439" s="2"/>
    </row>
    <row r="440" ht="14.25" customHeight="1">
      <c r="A440" s="2" t="s">
        <v>1316</v>
      </c>
      <c r="B440" s="2" t="s">
        <v>1317</v>
      </c>
      <c r="C440" s="3">
        <v>44873.0</v>
      </c>
      <c r="D440" s="3">
        <v>45416.0</v>
      </c>
      <c r="E440" s="2" t="s">
        <v>33</v>
      </c>
      <c r="F440" s="2" t="s">
        <v>968</v>
      </c>
      <c r="G440" s="2" t="s">
        <v>1318</v>
      </c>
      <c r="H440" s="2" t="s">
        <v>192</v>
      </c>
      <c r="I440" s="2" t="s">
        <v>520</v>
      </c>
      <c r="J440" s="2"/>
    </row>
    <row r="441" ht="14.25" customHeight="1">
      <c r="A441" s="2" t="s">
        <v>1319</v>
      </c>
      <c r="B441" s="2" t="s">
        <v>1320</v>
      </c>
      <c r="C441" s="3">
        <v>45769.0</v>
      </c>
      <c r="D441" s="3">
        <v>45870.0</v>
      </c>
      <c r="E441" s="2" t="s">
        <v>19</v>
      </c>
      <c r="F441" s="2" t="s">
        <v>248</v>
      </c>
      <c r="G441" s="2" t="s">
        <v>719</v>
      </c>
      <c r="H441" s="2" t="s">
        <v>720</v>
      </c>
      <c r="I441" s="2"/>
      <c r="J441" s="2"/>
    </row>
    <row r="442" ht="14.25" customHeight="1">
      <c r="A442" s="2" t="s">
        <v>1321</v>
      </c>
      <c r="B442" s="2" t="s">
        <v>1322</v>
      </c>
      <c r="C442" s="3">
        <v>44384.0</v>
      </c>
      <c r="D442" s="3">
        <v>45870.0</v>
      </c>
      <c r="E442" s="2" t="s">
        <v>44</v>
      </c>
      <c r="F442" s="2" t="s">
        <v>259</v>
      </c>
      <c r="G442" s="2" t="s">
        <v>1323</v>
      </c>
      <c r="H442" s="2" t="s">
        <v>1324</v>
      </c>
      <c r="I442" s="2"/>
      <c r="J442" s="2"/>
    </row>
    <row r="443" ht="14.25" customHeight="1">
      <c r="A443" s="2" t="s">
        <v>1325</v>
      </c>
      <c r="B443" s="2" t="s">
        <v>1326</v>
      </c>
      <c r="C443" s="3">
        <v>45419.0</v>
      </c>
      <c r="D443" s="3">
        <v>45870.0</v>
      </c>
      <c r="E443" s="2" t="s">
        <v>19</v>
      </c>
      <c r="F443" s="2" t="s">
        <v>56</v>
      </c>
      <c r="G443" s="2" t="s">
        <v>559</v>
      </c>
      <c r="H443" s="2" t="s">
        <v>538</v>
      </c>
      <c r="I443" s="2"/>
      <c r="J443" s="2"/>
    </row>
    <row r="444" ht="14.25" customHeight="1">
      <c r="A444" s="2" t="s">
        <v>1327</v>
      </c>
      <c r="B444" s="2" t="s">
        <v>1328</v>
      </c>
      <c r="C444" s="3">
        <v>45496.0</v>
      </c>
      <c r="D444" s="3">
        <v>45870.0</v>
      </c>
      <c r="E444" s="2" t="s">
        <v>26</v>
      </c>
      <c r="F444" s="2" t="s">
        <v>61</v>
      </c>
      <c r="G444" s="2" t="s">
        <v>28</v>
      </c>
      <c r="H444" s="2" t="s">
        <v>282</v>
      </c>
      <c r="I444" s="2" t="s">
        <v>283</v>
      </c>
      <c r="J444" s="2"/>
    </row>
    <row r="445" ht="14.25" customHeight="1">
      <c r="A445" s="2" t="s">
        <v>1329</v>
      </c>
      <c r="B445" s="2" t="s">
        <v>1330</v>
      </c>
      <c r="C445" s="3">
        <v>45405.0</v>
      </c>
      <c r="D445" s="3">
        <v>45917.0</v>
      </c>
      <c r="E445" s="2" t="s">
        <v>33</v>
      </c>
      <c r="F445" s="2" t="s">
        <v>34</v>
      </c>
      <c r="G445" s="2" t="s">
        <v>1331</v>
      </c>
      <c r="H445" s="2" t="s">
        <v>94</v>
      </c>
      <c r="I445" s="2"/>
      <c r="J445" s="2"/>
    </row>
    <row r="446" ht="14.25" customHeight="1">
      <c r="A446" s="2" t="s">
        <v>1332</v>
      </c>
      <c r="B446" s="2" t="s">
        <v>1333</v>
      </c>
      <c r="C446" s="3">
        <v>44705.0</v>
      </c>
      <c r="D446" s="3">
        <v>45870.0</v>
      </c>
      <c r="E446" s="2" t="s">
        <v>44</v>
      </c>
      <c r="F446" s="2" t="s">
        <v>45</v>
      </c>
      <c r="G446" s="2" t="s">
        <v>1334</v>
      </c>
      <c r="H446" s="2" t="s">
        <v>1335</v>
      </c>
      <c r="I446" s="2"/>
      <c r="J446" s="2"/>
    </row>
    <row r="447" ht="14.25" customHeight="1">
      <c r="A447" s="2" t="s">
        <v>1336</v>
      </c>
      <c r="B447" s="2" t="s">
        <v>1337</v>
      </c>
      <c r="C447" s="3">
        <v>45394.0</v>
      </c>
      <c r="D447" s="3">
        <v>45917.0</v>
      </c>
      <c r="E447" s="2" t="s">
        <v>33</v>
      </c>
      <c r="F447" s="2" t="s">
        <v>34</v>
      </c>
      <c r="G447" s="2" t="s">
        <v>1338</v>
      </c>
      <c r="H447" s="2" t="s">
        <v>188</v>
      </c>
      <c r="I447" s="2"/>
      <c r="J447" s="2"/>
    </row>
    <row r="448" ht="14.25" customHeight="1">
      <c r="A448" s="2" t="s">
        <v>1339</v>
      </c>
      <c r="B448" s="2" t="s">
        <v>1340</v>
      </c>
      <c r="C448" s="3">
        <v>44690.0</v>
      </c>
      <c r="D448" s="3">
        <v>45870.0</v>
      </c>
      <c r="E448" s="2" t="s">
        <v>26</v>
      </c>
      <c r="F448" s="2" t="s">
        <v>61</v>
      </c>
      <c r="G448" s="2" t="s">
        <v>1106</v>
      </c>
      <c r="H448" s="2" t="s">
        <v>107</v>
      </c>
      <c r="I448" s="2" t="s">
        <v>108</v>
      </c>
      <c r="J448" s="2"/>
    </row>
    <row r="449" ht="14.25" customHeight="1">
      <c r="A449" s="2" t="s">
        <v>1341</v>
      </c>
      <c r="B449" s="2" t="s">
        <v>1342</v>
      </c>
      <c r="C449" s="3">
        <v>45805.0</v>
      </c>
      <c r="D449" s="3">
        <v>45917.0</v>
      </c>
      <c r="E449" s="2" t="s">
        <v>33</v>
      </c>
      <c r="F449" s="2" t="s">
        <v>34</v>
      </c>
      <c r="G449" s="2" t="s">
        <v>792</v>
      </c>
      <c r="H449" s="2" t="s">
        <v>94</v>
      </c>
      <c r="I449" s="2"/>
      <c r="J449" s="2"/>
    </row>
    <row r="450" ht="14.25" customHeight="1">
      <c r="A450" s="2" t="s">
        <v>1343</v>
      </c>
      <c r="B450" s="2" t="s">
        <v>1344</v>
      </c>
      <c r="C450" s="3">
        <v>42821.0</v>
      </c>
      <c r="D450" s="3">
        <v>45870.0</v>
      </c>
      <c r="E450" s="2" t="s">
        <v>26</v>
      </c>
      <c r="F450" s="2" t="s">
        <v>61</v>
      </c>
      <c r="G450" s="2" t="s">
        <v>51</v>
      </c>
      <c r="H450" s="2" t="s">
        <v>288</v>
      </c>
      <c r="I450" s="2" t="s">
        <v>64</v>
      </c>
      <c r="J450" s="2"/>
    </row>
    <row r="451" ht="14.25" customHeight="1">
      <c r="A451" s="2" t="s">
        <v>1345</v>
      </c>
      <c r="B451" s="2" t="s">
        <v>1346</v>
      </c>
      <c r="C451" s="3">
        <v>45721.0</v>
      </c>
      <c r="D451" s="3">
        <v>45870.0</v>
      </c>
      <c r="E451" s="2" t="s">
        <v>26</v>
      </c>
      <c r="F451" s="2" t="s">
        <v>27</v>
      </c>
      <c r="G451" s="2" t="s">
        <v>1347</v>
      </c>
      <c r="H451" s="2" t="s">
        <v>133</v>
      </c>
      <c r="I451" s="2"/>
      <c r="J451" s="2"/>
    </row>
    <row r="452" ht="14.25" customHeight="1">
      <c r="A452" s="2" t="s">
        <v>1348</v>
      </c>
      <c r="B452" s="2" t="s">
        <v>1349</v>
      </c>
      <c r="C452" s="3">
        <v>45328.0</v>
      </c>
      <c r="D452" s="3">
        <v>45870.0</v>
      </c>
      <c r="E452" s="2" t="s">
        <v>26</v>
      </c>
      <c r="F452" s="2" t="s">
        <v>61</v>
      </c>
      <c r="G452" s="2" t="s">
        <v>372</v>
      </c>
      <c r="H452" s="2" t="s">
        <v>458</v>
      </c>
      <c r="I452" s="2" t="s">
        <v>283</v>
      </c>
      <c r="J452" s="2"/>
    </row>
    <row r="453" ht="14.25" customHeight="1">
      <c r="A453" s="2" t="s">
        <v>1350</v>
      </c>
      <c r="B453" s="2" t="s">
        <v>1351</v>
      </c>
      <c r="C453" s="3">
        <v>44748.0</v>
      </c>
      <c r="D453" s="3">
        <v>45909.0</v>
      </c>
      <c r="E453" s="2" t="s">
        <v>26</v>
      </c>
      <c r="F453" s="2" t="s">
        <v>50</v>
      </c>
      <c r="G453" s="2" t="s">
        <v>28</v>
      </c>
      <c r="H453" s="2" t="s">
        <v>129</v>
      </c>
      <c r="I453" s="2" t="s">
        <v>242</v>
      </c>
      <c r="J453" s="2"/>
    </row>
    <row r="454" ht="14.25" customHeight="1">
      <c r="A454" s="2" t="s">
        <v>1352</v>
      </c>
      <c r="B454" s="2" t="s">
        <v>1353</v>
      </c>
      <c r="C454" s="3">
        <v>45216.0</v>
      </c>
      <c r="D454" s="3">
        <v>45870.0</v>
      </c>
      <c r="E454" s="2" t="s">
        <v>26</v>
      </c>
      <c r="F454" s="2" t="s">
        <v>598</v>
      </c>
      <c r="G454" s="2" t="s">
        <v>1354</v>
      </c>
      <c r="H454" s="2" t="s">
        <v>550</v>
      </c>
      <c r="I454" s="2" t="s">
        <v>1355</v>
      </c>
      <c r="J454" s="2"/>
    </row>
    <row r="455" ht="14.25" customHeight="1">
      <c r="A455" s="2" t="s">
        <v>1356</v>
      </c>
      <c r="B455" s="2" t="s">
        <v>1357</v>
      </c>
      <c r="C455" s="3">
        <v>44719.0</v>
      </c>
      <c r="D455" s="3">
        <v>45888.0</v>
      </c>
      <c r="E455" s="2" t="s">
        <v>12</v>
      </c>
      <c r="F455" s="2" t="s">
        <v>13</v>
      </c>
      <c r="G455" s="2" t="s">
        <v>255</v>
      </c>
      <c r="H455" s="2" t="s">
        <v>15</v>
      </c>
      <c r="I455" s="2" t="s">
        <v>104</v>
      </c>
      <c r="J455" s="2"/>
    </row>
    <row r="456" ht="14.25" customHeight="1">
      <c r="A456" s="2" t="s">
        <v>1358</v>
      </c>
      <c r="B456" s="2" t="s">
        <v>1359</v>
      </c>
      <c r="C456" s="3">
        <v>45447.0</v>
      </c>
      <c r="D456" s="3">
        <v>45689.0</v>
      </c>
      <c r="E456" s="2" t="s">
        <v>19</v>
      </c>
      <c r="F456" s="2" t="s">
        <v>433</v>
      </c>
      <c r="G456" s="2" t="s">
        <v>777</v>
      </c>
      <c r="H456" s="2" t="s">
        <v>435</v>
      </c>
      <c r="I456" s="2" t="s">
        <v>436</v>
      </c>
      <c r="J456" s="2"/>
    </row>
    <row r="457" ht="14.25" customHeight="1">
      <c r="A457" s="2" t="s">
        <v>1360</v>
      </c>
      <c r="B457" s="2" t="s">
        <v>1361</v>
      </c>
      <c r="C457" s="3">
        <v>45363.0</v>
      </c>
      <c r="D457" s="3">
        <v>45870.0</v>
      </c>
      <c r="E457" s="2" t="s">
        <v>26</v>
      </c>
      <c r="F457" s="2" t="s">
        <v>61</v>
      </c>
      <c r="G457" s="2" t="s">
        <v>62</v>
      </c>
      <c r="H457" s="2" t="s">
        <v>63</v>
      </c>
      <c r="I457" s="2" t="s">
        <v>1362</v>
      </c>
      <c r="J457" s="2"/>
    </row>
    <row r="458" ht="14.25" customHeight="1">
      <c r="A458" s="2" t="s">
        <v>1363</v>
      </c>
      <c r="B458" s="2" t="s">
        <v>1364</v>
      </c>
      <c r="C458" s="3">
        <v>45419.0</v>
      </c>
      <c r="D458" s="3">
        <v>45870.0</v>
      </c>
      <c r="E458" s="2" t="s">
        <v>19</v>
      </c>
      <c r="F458" s="2" t="s">
        <v>274</v>
      </c>
      <c r="G458" s="2" t="s">
        <v>1365</v>
      </c>
      <c r="H458" s="2" t="s">
        <v>380</v>
      </c>
      <c r="I458" s="2" t="s">
        <v>942</v>
      </c>
      <c r="J458" s="2"/>
    </row>
    <row r="459" ht="14.25" customHeight="1">
      <c r="A459" s="2" t="s">
        <v>1366</v>
      </c>
      <c r="B459" s="2" t="s">
        <v>1367</v>
      </c>
      <c r="C459" s="3">
        <v>42221.0</v>
      </c>
      <c r="D459" s="3">
        <v>45870.0</v>
      </c>
      <c r="E459" s="2" t="s">
        <v>26</v>
      </c>
      <c r="F459" s="2" t="s">
        <v>61</v>
      </c>
      <c r="G459" s="2" t="s">
        <v>303</v>
      </c>
      <c r="H459" s="2" t="s">
        <v>107</v>
      </c>
      <c r="I459" s="2" t="s">
        <v>108</v>
      </c>
      <c r="J459" s="2"/>
    </row>
    <row r="460" ht="14.25" customHeight="1">
      <c r="A460" s="2" t="s">
        <v>1368</v>
      </c>
      <c r="B460" s="2" t="s">
        <v>1369</v>
      </c>
      <c r="C460" s="3">
        <v>44670.0</v>
      </c>
      <c r="D460" s="3">
        <v>45870.0</v>
      </c>
      <c r="E460" s="2" t="s">
        <v>26</v>
      </c>
      <c r="F460" s="2" t="s">
        <v>61</v>
      </c>
      <c r="G460" s="2" t="s">
        <v>28</v>
      </c>
      <c r="H460" s="2" t="s">
        <v>384</v>
      </c>
      <c r="I460" s="2" t="s">
        <v>100</v>
      </c>
      <c r="J460" s="2"/>
    </row>
    <row r="461" ht="14.25" customHeight="1">
      <c r="A461" s="2" t="s">
        <v>1370</v>
      </c>
      <c r="B461" s="2" t="s">
        <v>1371</v>
      </c>
      <c r="C461" s="3">
        <v>45175.0</v>
      </c>
      <c r="D461" s="3">
        <v>45870.0</v>
      </c>
      <c r="E461" s="2" t="s">
        <v>12</v>
      </c>
      <c r="F461" s="2" t="s">
        <v>465</v>
      </c>
      <c r="G461" s="2" t="s">
        <v>255</v>
      </c>
      <c r="H461" s="2" t="s">
        <v>63</v>
      </c>
      <c r="I461" s="2" t="s">
        <v>100</v>
      </c>
      <c r="J461" s="2"/>
    </row>
    <row r="462" ht="14.25" customHeight="1">
      <c r="A462" s="2" t="s">
        <v>1372</v>
      </c>
      <c r="B462" s="2" t="s">
        <v>1373</v>
      </c>
      <c r="C462" s="3">
        <v>45077.0</v>
      </c>
      <c r="D462" s="3">
        <v>45843.0</v>
      </c>
      <c r="E462" s="2" t="s">
        <v>19</v>
      </c>
      <c r="F462" s="2" t="s">
        <v>433</v>
      </c>
      <c r="G462" s="2" t="s">
        <v>434</v>
      </c>
      <c r="H462" s="2" t="s">
        <v>435</v>
      </c>
      <c r="I462" s="2" t="s">
        <v>436</v>
      </c>
      <c r="J462" s="2"/>
    </row>
    <row r="463" ht="14.25" customHeight="1">
      <c r="A463" s="2" t="s">
        <v>1374</v>
      </c>
      <c r="B463" s="2" t="s">
        <v>1375</v>
      </c>
      <c r="C463" s="3">
        <v>44775.0</v>
      </c>
      <c r="D463" s="3">
        <v>45870.0</v>
      </c>
      <c r="E463" s="2" t="s">
        <v>111</v>
      </c>
      <c r="F463" s="2" t="s">
        <v>112</v>
      </c>
      <c r="G463" s="2" t="s">
        <v>685</v>
      </c>
      <c r="H463" s="2" t="s">
        <v>686</v>
      </c>
      <c r="I463" s="2" t="s">
        <v>111</v>
      </c>
      <c r="J463" s="2"/>
    </row>
    <row r="464" ht="14.25" customHeight="1">
      <c r="A464" s="2" t="s">
        <v>1376</v>
      </c>
      <c r="B464" s="2" t="s">
        <v>1377</v>
      </c>
      <c r="C464" s="3">
        <v>45300.0</v>
      </c>
      <c r="D464" s="3">
        <v>45300.0</v>
      </c>
      <c r="E464" s="2" t="s">
        <v>33</v>
      </c>
      <c r="F464" s="2" t="s">
        <v>503</v>
      </c>
      <c r="G464" s="2" t="s">
        <v>1378</v>
      </c>
      <c r="H464" s="2" t="s">
        <v>875</v>
      </c>
      <c r="I464" s="2"/>
      <c r="J464" s="2"/>
    </row>
    <row r="465" ht="14.25" customHeight="1">
      <c r="A465" s="2" t="s">
        <v>1379</v>
      </c>
      <c r="B465" s="2" t="s">
        <v>1380</v>
      </c>
      <c r="C465" s="3">
        <v>45853.0</v>
      </c>
      <c r="D465" s="3">
        <v>45870.0</v>
      </c>
      <c r="E465" s="2" t="s">
        <v>26</v>
      </c>
      <c r="F465" s="2" t="s">
        <v>598</v>
      </c>
      <c r="G465" s="2" t="s">
        <v>1381</v>
      </c>
      <c r="H465" s="2" t="s">
        <v>550</v>
      </c>
      <c r="I465" s="2" t="s">
        <v>643</v>
      </c>
      <c r="J465" s="2"/>
    </row>
    <row r="466" ht="14.25" customHeight="1">
      <c r="A466" s="2" t="s">
        <v>1382</v>
      </c>
      <c r="B466" s="2" t="s">
        <v>1383</v>
      </c>
      <c r="C466" s="3">
        <v>45755.0</v>
      </c>
      <c r="D466" s="3">
        <v>45870.0</v>
      </c>
      <c r="E466" s="2" t="s">
        <v>19</v>
      </c>
      <c r="F466" s="2" t="s">
        <v>176</v>
      </c>
      <c r="G466" s="2" t="s">
        <v>559</v>
      </c>
      <c r="H466" s="2" t="s">
        <v>327</v>
      </c>
      <c r="I466" s="2"/>
      <c r="J466" s="2"/>
    </row>
    <row r="467" ht="14.25" customHeight="1">
      <c r="A467" s="2" t="s">
        <v>1384</v>
      </c>
      <c r="B467" s="2" t="s">
        <v>1385</v>
      </c>
      <c r="C467" s="3">
        <v>44284.0</v>
      </c>
      <c r="D467" s="3">
        <v>45778.0</v>
      </c>
      <c r="E467" s="2" t="s">
        <v>33</v>
      </c>
      <c r="F467" s="2" t="s">
        <v>503</v>
      </c>
      <c r="G467" s="2" t="s">
        <v>1386</v>
      </c>
      <c r="H467" s="2" t="s">
        <v>505</v>
      </c>
      <c r="I467" s="2"/>
      <c r="J467" s="2"/>
    </row>
    <row r="468" ht="14.25" customHeight="1">
      <c r="A468" s="2" t="s">
        <v>1387</v>
      </c>
      <c r="B468" s="2" t="s">
        <v>1388</v>
      </c>
      <c r="C468" s="3">
        <v>45874.0</v>
      </c>
      <c r="D468" s="3">
        <v>45874.0</v>
      </c>
      <c r="E468" s="2" t="s">
        <v>44</v>
      </c>
      <c r="F468" s="2" t="s">
        <v>123</v>
      </c>
      <c r="G468" s="2" t="s">
        <v>1389</v>
      </c>
      <c r="H468" s="2" t="s">
        <v>125</v>
      </c>
      <c r="I468" s="2"/>
      <c r="J468" s="2"/>
    </row>
    <row r="469" ht="14.25" customHeight="1">
      <c r="A469" s="2" t="s">
        <v>1390</v>
      </c>
      <c r="B469" s="2" t="s">
        <v>1391</v>
      </c>
      <c r="C469" s="3">
        <v>45237.0</v>
      </c>
      <c r="D469" s="3">
        <v>45888.0</v>
      </c>
      <c r="E469" s="2" t="s">
        <v>12</v>
      </c>
      <c r="F469" s="2" t="s">
        <v>13</v>
      </c>
      <c r="G469" s="2" t="s">
        <v>255</v>
      </c>
      <c r="H469" s="2" t="s">
        <v>15</v>
      </c>
      <c r="I469" s="2" t="s">
        <v>307</v>
      </c>
      <c r="J469" s="2"/>
    </row>
    <row r="470" ht="14.25" customHeight="1">
      <c r="A470" s="2" t="s">
        <v>1392</v>
      </c>
      <c r="B470" s="2" t="s">
        <v>1393</v>
      </c>
      <c r="C470" s="3">
        <v>45790.0</v>
      </c>
      <c r="D470" s="3">
        <v>45870.0</v>
      </c>
      <c r="E470" s="2" t="s">
        <v>26</v>
      </c>
      <c r="F470" s="2" t="s">
        <v>598</v>
      </c>
      <c r="G470" s="2" t="s">
        <v>599</v>
      </c>
      <c r="H470" s="2" t="s">
        <v>550</v>
      </c>
      <c r="I470" s="2" t="s">
        <v>600</v>
      </c>
      <c r="J470" s="2"/>
    </row>
    <row r="471" ht="14.25" customHeight="1">
      <c r="A471" s="2" t="s">
        <v>1394</v>
      </c>
      <c r="B471" s="2" t="s">
        <v>1395</v>
      </c>
      <c r="C471" s="3">
        <v>44930.0</v>
      </c>
      <c r="D471" s="3">
        <v>45870.0</v>
      </c>
      <c r="E471" s="2" t="s">
        <v>111</v>
      </c>
      <c r="F471" s="2" t="s">
        <v>112</v>
      </c>
      <c r="G471" s="2" t="s">
        <v>351</v>
      </c>
      <c r="H471" s="2" t="s">
        <v>352</v>
      </c>
      <c r="I471" s="2" t="s">
        <v>161</v>
      </c>
      <c r="J471" s="2"/>
    </row>
    <row r="472" ht="14.25" customHeight="1">
      <c r="A472" s="2" t="s">
        <v>1396</v>
      </c>
      <c r="B472" s="2" t="s">
        <v>1397</v>
      </c>
      <c r="C472" s="3">
        <v>45783.0</v>
      </c>
      <c r="D472" s="3">
        <v>45870.0</v>
      </c>
      <c r="E472" s="2" t="s">
        <v>26</v>
      </c>
      <c r="F472" s="2" t="s">
        <v>598</v>
      </c>
      <c r="G472" s="2" t="s">
        <v>674</v>
      </c>
      <c r="H472" s="2" t="s">
        <v>550</v>
      </c>
      <c r="I472" s="2"/>
      <c r="J472" s="2"/>
    </row>
    <row r="473" ht="14.25" customHeight="1">
      <c r="A473" s="2" t="s">
        <v>1398</v>
      </c>
      <c r="B473" s="2" t="s">
        <v>1399</v>
      </c>
      <c r="C473" s="3">
        <v>44460.0</v>
      </c>
      <c r="D473" s="3">
        <v>45870.0</v>
      </c>
      <c r="E473" s="2" t="s">
        <v>26</v>
      </c>
      <c r="F473" s="2" t="s">
        <v>427</v>
      </c>
      <c r="G473" s="2" t="s">
        <v>428</v>
      </c>
      <c r="H473" s="2" t="s">
        <v>429</v>
      </c>
      <c r="I473" s="2" t="s">
        <v>595</v>
      </c>
      <c r="J473" s="2"/>
    </row>
    <row r="474" ht="14.25" customHeight="1">
      <c r="A474" s="2" t="s">
        <v>1400</v>
      </c>
      <c r="B474" s="2" t="s">
        <v>1401</v>
      </c>
      <c r="C474" s="3">
        <v>43132.0</v>
      </c>
      <c r="D474" s="3">
        <v>45870.0</v>
      </c>
      <c r="E474" s="2" t="s">
        <v>26</v>
      </c>
      <c r="F474" s="2" t="s">
        <v>61</v>
      </c>
      <c r="G474" s="2" t="s">
        <v>303</v>
      </c>
      <c r="H474" s="2" t="s">
        <v>458</v>
      </c>
      <c r="I474" s="2" t="s">
        <v>108</v>
      </c>
      <c r="J474" s="2"/>
    </row>
    <row r="475" ht="14.25" customHeight="1">
      <c r="A475" s="2" t="s">
        <v>1402</v>
      </c>
      <c r="B475" s="2" t="s">
        <v>1403</v>
      </c>
      <c r="C475" s="3">
        <v>45601.0</v>
      </c>
      <c r="D475" s="3">
        <v>45870.0</v>
      </c>
      <c r="E475" s="2" t="s">
        <v>19</v>
      </c>
      <c r="F475" s="2" t="s">
        <v>248</v>
      </c>
      <c r="G475" s="2" t="s">
        <v>851</v>
      </c>
      <c r="H475" s="2" t="s">
        <v>746</v>
      </c>
      <c r="I475" s="2" t="s">
        <v>1165</v>
      </c>
      <c r="J475" s="2"/>
    </row>
    <row r="476" ht="14.25" customHeight="1">
      <c r="A476" s="2" t="s">
        <v>1404</v>
      </c>
      <c r="B476" s="2" t="s">
        <v>1405</v>
      </c>
      <c r="C476" s="3">
        <v>45853.0</v>
      </c>
      <c r="D476" s="3">
        <v>45870.0</v>
      </c>
      <c r="E476" s="2" t="s">
        <v>26</v>
      </c>
      <c r="F476" s="2" t="s">
        <v>61</v>
      </c>
      <c r="G476" s="2" t="s">
        <v>128</v>
      </c>
      <c r="H476" s="2" t="s">
        <v>107</v>
      </c>
      <c r="I476" s="2"/>
      <c r="J476" s="2"/>
    </row>
    <row r="477" ht="14.25" customHeight="1">
      <c r="A477" s="2" t="s">
        <v>1406</v>
      </c>
      <c r="B477" s="2" t="s">
        <v>1407</v>
      </c>
      <c r="C477" s="3">
        <v>45734.0</v>
      </c>
      <c r="D477" s="3">
        <v>45880.0</v>
      </c>
      <c r="E477" s="2" t="s">
        <v>19</v>
      </c>
      <c r="F477" s="2" t="s">
        <v>248</v>
      </c>
      <c r="G477" s="2" t="s">
        <v>1408</v>
      </c>
      <c r="H477" s="2" t="s">
        <v>250</v>
      </c>
      <c r="I477" s="2"/>
      <c r="J477" s="2"/>
    </row>
    <row r="478" ht="14.25" customHeight="1">
      <c r="A478" s="2" t="s">
        <v>1409</v>
      </c>
      <c r="B478" s="2" t="s">
        <v>1410</v>
      </c>
      <c r="C478" s="3">
        <v>44979.0</v>
      </c>
      <c r="D478" s="3">
        <v>45870.0</v>
      </c>
      <c r="E478" s="2" t="s">
        <v>111</v>
      </c>
      <c r="F478" s="2" t="s">
        <v>112</v>
      </c>
      <c r="G478" s="2" t="s">
        <v>245</v>
      </c>
      <c r="H478" s="2" t="s">
        <v>119</v>
      </c>
      <c r="I478" s="2" t="s">
        <v>120</v>
      </c>
      <c r="J478" s="2"/>
    </row>
    <row r="479" ht="14.25" customHeight="1">
      <c r="A479" s="2" t="s">
        <v>1411</v>
      </c>
      <c r="B479" s="2" t="s">
        <v>1412</v>
      </c>
      <c r="C479" s="3">
        <v>45629.0</v>
      </c>
      <c r="D479" s="3">
        <v>45843.0</v>
      </c>
      <c r="E479" s="2" t="s">
        <v>19</v>
      </c>
      <c r="F479" s="2" t="s">
        <v>612</v>
      </c>
      <c r="G479" s="2" t="s">
        <v>198</v>
      </c>
      <c r="H479" s="2" t="s">
        <v>613</v>
      </c>
      <c r="I479" s="2" t="s">
        <v>70</v>
      </c>
      <c r="J479" s="2"/>
    </row>
    <row r="480" ht="14.25" customHeight="1">
      <c r="A480" s="2" t="s">
        <v>1413</v>
      </c>
      <c r="B480" s="2" t="s">
        <v>1414</v>
      </c>
      <c r="C480" s="3">
        <v>45818.0</v>
      </c>
      <c r="D480" s="3">
        <v>45909.0</v>
      </c>
      <c r="E480" s="2" t="s">
        <v>26</v>
      </c>
      <c r="F480" s="2" t="s">
        <v>50</v>
      </c>
      <c r="G480" s="2" t="s">
        <v>128</v>
      </c>
      <c r="H480" s="2" t="s">
        <v>129</v>
      </c>
      <c r="I480" s="2"/>
      <c r="J480" s="2"/>
    </row>
    <row r="481" ht="14.25" customHeight="1">
      <c r="A481" s="2" t="s">
        <v>1415</v>
      </c>
      <c r="B481" s="2" t="s">
        <v>1416</v>
      </c>
      <c r="C481" s="3">
        <v>45062.0</v>
      </c>
      <c r="D481" s="3">
        <v>45870.0</v>
      </c>
      <c r="E481" s="2" t="s">
        <v>12</v>
      </c>
      <c r="F481" s="2" t="s">
        <v>201</v>
      </c>
      <c r="G481" s="2" t="s">
        <v>299</v>
      </c>
      <c r="H481" s="2" t="s">
        <v>203</v>
      </c>
      <c r="I481" s="2" t="s">
        <v>628</v>
      </c>
      <c r="J481" s="2"/>
    </row>
    <row r="482" ht="14.25" customHeight="1">
      <c r="A482" s="2" t="s">
        <v>1417</v>
      </c>
      <c r="B482" s="2" t="s">
        <v>1418</v>
      </c>
      <c r="C482" s="3">
        <v>44551.0</v>
      </c>
      <c r="D482" s="3">
        <v>45881.0</v>
      </c>
      <c r="E482" s="2" t="s">
        <v>19</v>
      </c>
      <c r="F482" s="2" t="s">
        <v>78</v>
      </c>
      <c r="G482" s="2" t="s">
        <v>803</v>
      </c>
      <c r="H482" s="2" t="s">
        <v>80</v>
      </c>
      <c r="I482" s="2" t="s">
        <v>81</v>
      </c>
      <c r="J482" s="2"/>
    </row>
    <row r="483" ht="14.25" customHeight="1">
      <c r="A483" s="2" t="s">
        <v>1419</v>
      </c>
      <c r="B483" s="2" t="s">
        <v>1420</v>
      </c>
      <c r="C483" s="3">
        <v>45028.0</v>
      </c>
      <c r="D483" s="3">
        <v>45870.0</v>
      </c>
      <c r="E483" s="2" t="s">
        <v>26</v>
      </c>
      <c r="F483" s="2" t="s">
        <v>147</v>
      </c>
      <c r="G483" s="2" t="s">
        <v>28</v>
      </c>
      <c r="H483" s="2" t="s">
        <v>304</v>
      </c>
      <c r="I483" s="2" t="s">
        <v>16</v>
      </c>
      <c r="J483" s="2"/>
    </row>
    <row r="484" ht="14.25" customHeight="1">
      <c r="A484" s="2" t="s">
        <v>1421</v>
      </c>
      <c r="B484" s="2" t="s">
        <v>1422</v>
      </c>
      <c r="C484" s="3">
        <v>45419.0</v>
      </c>
      <c r="D484" s="3">
        <v>45870.0</v>
      </c>
      <c r="E484" s="2" t="s">
        <v>19</v>
      </c>
      <c r="F484" s="2" t="s">
        <v>181</v>
      </c>
      <c r="G484" s="2" t="s">
        <v>182</v>
      </c>
      <c r="H484" s="2" t="s">
        <v>360</v>
      </c>
      <c r="I484" s="2" t="s">
        <v>23</v>
      </c>
      <c r="J484" s="2"/>
    </row>
    <row r="485" ht="14.25" customHeight="1">
      <c r="A485" s="2" t="s">
        <v>1423</v>
      </c>
      <c r="B485" s="2" t="s">
        <v>1424</v>
      </c>
      <c r="C485" s="3">
        <v>45839.0</v>
      </c>
      <c r="D485" s="3">
        <v>45870.0</v>
      </c>
      <c r="E485" s="2" t="s">
        <v>26</v>
      </c>
      <c r="F485" s="2" t="s">
        <v>598</v>
      </c>
      <c r="G485" s="2" t="s">
        <v>599</v>
      </c>
      <c r="H485" s="2" t="s">
        <v>550</v>
      </c>
      <c r="I485" s="2" t="s">
        <v>600</v>
      </c>
      <c r="J485" s="2"/>
    </row>
    <row r="486" ht="14.25" customHeight="1">
      <c r="A486" s="2" t="s">
        <v>1425</v>
      </c>
      <c r="B486" s="2" t="s">
        <v>1426</v>
      </c>
      <c r="C486" s="3">
        <v>44979.0</v>
      </c>
      <c r="D486" s="3">
        <v>45870.0</v>
      </c>
      <c r="E486" s="2" t="s">
        <v>12</v>
      </c>
      <c r="F486" s="2" t="s">
        <v>254</v>
      </c>
      <c r="G486" s="2" t="s">
        <v>255</v>
      </c>
      <c r="H486" s="2" t="s">
        <v>256</v>
      </c>
      <c r="I486" s="2" t="s">
        <v>490</v>
      </c>
      <c r="J486" s="2"/>
    </row>
    <row r="487" ht="14.25" customHeight="1">
      <c r="A487" s="2" t="s">
        <v>1427</v>
      </c>
      <c r="B487" s="2" t="s">
        <v>1428</v>
      </c>
      <c r="C487" s="3">
        <v>44663.0</v>
      </c>
      <c r="D487" s="3">
        <v>45888.0</v>
      </c>
      <c r="E487" s="2" t="s">
        <v>12</v>
      </c>
      <c r="F487" s="2" t="s">
        <v>13</v>
      </c>
      <c r="G487" s="2" t="s">
        <v>1429</v>
      </c>
      <c r="H487" s="2" t="s">
        <v>550</v>
      </c>
      <c r="I487" s="2"/>
      <c r="J487" s="2"/>
    </row>
    <row r="488" ht="14.25" customHeight="1">
      <c r="A488" s="2" t="s">
        <v>1430</v>
      </c>
      <c r="B488" s="2" t="s">
        <v>1431</v>
      </c>
      <c r="C488" s="3">
        <v>45280.0</v>
      </c>
      <c r="D488" s="3">
        <v>45870.0</v>
      </c>
      <c r="E488" s="2" t="s">
        <v>26</v>
      </c>
      <c r="F488" s="2" t="s">
        <v>27</v>
      </c>
      <c r="G488" s="2" t="s">
        <v>511</v>
      </c>
      <c r="H488" s="2" t="s">
        <v>387</v>
      </c>
      <c r="I488" s="2" t="s">
        <v>337</v>
      </c>
      <c r="J488" s="2"/>
    </row>
    <row r="489" ht="14.25" customHeight="1">
      <c r="A489" s="2" t="s">
        <v>1432</v>
      </c>
      <c r="B489" s="2" t="s">
        <v>1433</v>
      </c>
      <c r="C489" s="3">
        <v>44796.0</v>
      </c>
      <c r="D489" s="3">
        <v>45797.0</v>
      </c>
      <c r="E489" s="2" t="s">
        <v>19</v>
      </c>
      <c r="F489" s="2" t="s">
        <v>67</v>
      </c>
      <c r="G489" s="2" t="s">
        <v>1434</v>
      </c>
      <c r="H489" s="2" t="s">
        <v>380</v>
      </c>
      <c r="I489" s="2" t="s">
        <v>1435</v>
      </c>
      <c r="J489" s="2"/>
    </row>
    <row r="490" ht="14.25" customHeight="1">
      <c r="A490" s="2" t="s">
        <v>1436</v>
      </c>
      <c r="B490" s="2" t="s">
        <v>1437</v>
      </c>
      <c r="C490" s="3">
        <v>44572.0</v>
      </c>
      <c r="D490" s="3">
        <v>45444.0</v>
      </c>
      <c r="E490" s="2" t="s">
        <v>19</v>
      </c>
      <c r="F490" s="2" t="s">
        <v>78</v>
      </c>
      <c r="G490" s="2" t="s">
        <v>291</v>
      </c>
      <c r="H490" s="2" t="s">
        <v>265</v>
      </c>
      <c r="I490" s="2" t="s">
        <v>81</v>
      </c>
      <c r="J490" s="2"/>
    </row>
    <row r="491" ht="14.25" customHeight="1">
      <c r="A491" s="2" t="s">
        <v>1438</v>
      </c>
      <c r="B491" s="2" t="s">
        <v>1439</v>
      </c>
      <c r="C491" s="3">
        <v>45433.0</v>
      </c>
      <c r="D491" s="3">
        <v>45870.0</v>
      </c>
      <c r="E491" s="2" t="s">
        <v>44</v>
      </c>
      <c r="F491" s="2" t="s">
        <v>123</v>
      </c>
      <c r="G491" s="2" t="s">
        <v>151</v>
      </c>
      <c r="H491" s="2" t="s">
        <v>125</v>
      </c>
      <c r="I491" s="2" t="s">
        <v>1440</v>
      </c>
      <c r="J491" s="2"/>
    </row>
    <row r="492" ht="14.25" customHeight="1">
      <c r="A492" s="2" t="s">
        <v>1441</v>
      </c>
      <c r="B492" s="2" t="s">
        <v>1442</v>
      </c>
      <c r="C492" s="3">
        <v>45454.0</v>
      </c>
      <c r="D492" s="3">
        <v>45875.0</v>
      </c>
      <c r="E492" s="2" t="s">
        <v>19</v>
      </c>
      <c r="F492" s="2" t="s">
        <v>248</v>
      </c>
      <c r="G492" s="2" t="s">
        <v>1443</v>
      </c>
      <c r="H492" s="2" t="s">
        <v>250</v>
      </c>
      <c r="I492" s="2" t="s">
        <v>988</v>
      </c>
      <c r="J492" s="2"/>
    </row>
    <row r="493" ht="14.25" customHeight="1">
      <c r="A493" s="2" t="s">
        <v>1444</v>
      </c>
      <c r="B493" s="2" t="s">
        <v>1445</v>
      </c>
      <c r="C493" s="3">
        <v>44649.0</v>
      </c>
      <c r="D493" s="3">
        <v>45870.0</v>
      </c>
      <c r="E493" s="2" t="s">
        <v>26</v>
      </c>
      <c r="F493" s="2" t="s">
        <v>147</v>
      </c>
      <c r="G493" s="2" t="s">
        <v>28</v>
      </c>
      <c r="H493" s="2" t="s">
        <v>562</v>
      </c>
      <c r="I493" s="2" t="s">
        <v>104</v>
      </c>
      <c r="J493" s="2"/>
    </row>
    <row r="494" ht="14.25" customHeight="1">
      <c r="A494" s="2" t="s">
        <v>1446</v>
      </c>
      <c r="B494" s="2" t="s">
        <v>1447</v>
      </c>
      <c r="C494" s="3">
        <v>45118.0</v>
      </c>
      <c r="D494" s="3">
        <v>45870.0</v>
      </c>
      <c r="E494" s="2" t="s">
        <v>44</v>
      </c>
      <c r="F494" s="2" t="s">
        <v>164</v>
      </c>
      <c r="G494" s="2" t="s">
        <v>1448</v>
      </c>
      <c r="H494" s="2" t="s">
        <v>582</v>
      </c>
      <c r="I494" s="2"/>
      <c r="J494" s="2"/>
    </row>
    <row r="495" ht="14.25" customHeight="1">
      <c r="A495" s="2" t="s">
        <v>1449</v>
      </c>
      <c r="B495" s="2" t="s">
        <v>1450</v>
      </c>
      <c r="C495" s="3">
        <v>44852.0</v>
      </c>
      <c r="D495" s="3">
        <v>45870.0</v>
      </c>
      <c r="E495" s="2" t="s">
        <v>19</v>
      </c>
      <c r="F495" s="2" t="s">
        <v>176</v>
      </c>
      <c r="G495" s="2" t="s">
        <v>326</v>
      </c>
      <c r="H495" s="2" t="s">
        <v>327</v>
      </c>
      <c r="I495" s="2" t="s">
        <v>328</v>
      </c>
      <c r="J495" s="2"/>
    </row>
    <row r="496" ht="14.25" customHeight="1">
      <c r="A496" s="2" t="s">
        <v>1451</v>
      </c>
      <c r="B496" s="2" t="s">
        <v>1452</v>
      </c>
      <c r="C496" s="3">
        <v>45601.0</v>
      </c>
      <c r="D496" s="3">
        <v>45870.0</v>
      </c>
      <c r="E496" s="2" t="s">
        <v>19</v>
      </c>
      <c r="F496" s="2" t="s">
        <v>248</v>
      </c>
      <c r="G496" s="2" t="s">
        <v>1453</v>
      </c>
      <c r="H496" s="2" t="s">
        <v>882</v>
      </c>
      <c r="I496" s="2" t="s">
        <v>251</v>
      </c>
      <c r="J496" s="2"/>
    </row>
    <row r="497" ht="14.25" customHeight="1">
      <c r="A497" s="2" t="s">
        <v>1454</v>
      </c>
      <c r="B497" s="2" t="s">
        <v>1455</v>
      </c>
      <c r="C497" s="3">
        <v>44817.0</v>
      </c>
      <c r="D497" s="3">
        <v>45870.0</v>
      </c>
      <c r="E497" s="2" t="s">
        <v>26</v>
      </c>
      <c r="F497" s="2" t="s">
        <v>61</v>
      </c>
      <c r="G497" s="2" t="s">
        <v>372</v>
      </c>
      <c r="H497" s="2" t="s">
        <v>288</v>
      </c>
      <c r="I497" s="2" t="s">
        <v>64</v>
      </c>
      <c r="J497" s="2"/>
    </row>
    <row r="498" ht="14.25" customHeight="1">
      <c r="A498" s="2" t="s">
        <v>1456</v>
      </c>
      <c r="B498" s="2" t="s">
        <v>1457</v>
      </c>
      <c r="C498" s="3">
        <v>45426.0</v>
      </c>
      <c r="D498" s="3">
        <v>45870.0</v>
      </c>
      <c r="E498" s="2" t="s">
        <v>19</v>
      </c>
      <c r="F498" s="2" t="s">
        <v>176</v>
      </c>
      <c r="G498" s="2" t="s">
        <v>559</v>
      </c>
      <c r="H498" s="2" t="s">
        <v>664</v>
      </c>
      <c r="I498" s="2" t="s">
        <v>328</v>
      </c>
      <c r="J498" s="2"/>
    </row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25" footer="0.0" header="0.0" left="0.2" right="0.2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21.38"/>
    <col customWidth="1" min="4" max="4" width="34.63"/>
    <col customWidth="1" min="6" max="6" width="13.5"/>
    <col customWidth="1" hidden="1" min="7" max="7" width="26.13"/>
  </cols>
  <sheetData>
    <row r="1">
      <c r="A1" s="4" t="s">
        <v>1</v>
      </c>
      <c r="B1" s="5" t="s">
        <v>1458</v>
      </c>
      <c r="C1" s="6" t="s">
        <v>1459</v>
      </c>
      <c r="D1" s="6" t="s">
        <v>1460</v>
      </c>
      <c r="E1" s="6" t="s">
        <v>1461</v>
      </c>
      <c r="F1" s="7" t="s">
        <v>1462</v>
      </c>
      <c r="G1" s="8" t="s">
        <v>1463</v>
      </c>
    </row>
    <row r="2">
      <c r="A2" s="9" t="s">
        <v>1464</v>
      </c>
      <c r="B2" s="10" t="s">
        <v>1465</v>
      </c>
      <c r="C2" s="11"/>
      <c r="D2" s="11"/>
      <c r="E2" s="11"/>
      <c r="F2" s="12" t="s">
        <v>1466</v>
      </c>
      <c r="G2" s="13" t="str">
        <f>VLOOKUP(A2,'Active Employees'!$B$2:$B$498,1,false)</f>
        <v>#N/A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5" t="s">
        <v>1467</v>
      </c>
      <c r="B3" s="16" t="s">
        <v>1468</v>
      </c>
      <c r="C3" s="11"/>
      <c r="D3" s="11"/>
      <c r="E3" s="11"/>
      <c r="F3" s="12" t="s">
        <v>1466</v>
      </c>
      <c r="G3" s="13" t="str">
        <f>VLOOKUP(A3,'Active Employees'!$B$2:$B$498,1,false)</f>
        <v>#N/A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7" t="s">
        <v>724</v>
      </c>
      <c r="B4" s="18" t="s">
        <v>1468</v>
      </c>
      <c r="C4" s="19"/>
      <c r="D4" s="19"/>
      <c r="E4" s="19"/>
      <c r="F4" s="20" t="s">
        <v>1469</v>
      </c>
      <c r="G4" s="21" t="str">
        <f>VLOOKUP(A4,'Active Employees'!$B$2:$B$498,1,false)</f>
        <v>alex.hokanson@docker.com</v>
      </c>
    </row>
    <row r="5">
      <c r="A5" s="17" t="s">
        <v>905</v>
      </c>
      <c r="B5" s="18" t="s">
        <v>1470</v>
      </c>
      <c r="C5" s="19"/>
      <c r="D5" s="19"/>
      <c r="E5" s="19"/>
      <c r="F5" s="20" t="s">
        <v>1469</v>
      </c>
      <c r="G5" s="21" t="str">
        <f>VLOOKUP(A5,'Active Employees'!$B$2:$B$498,1,false)</f>
        <v>silvin.lubecki@docker.com</v>
      </c>
    </row>
    <row r="6">
      <c r="A6" s="17" t="s">
        <v>206</v>
      </c>
      <c r="B6" s="18" t="s">
        <v>1468</v>
      </c>
      <c r="C6" s="19"/>
      <c r="D6" s="19"/>
      <c r="E6" s="19"/>
      <c r="F6" s="20" t="s">
        <v>1469</v>
      </c>
      <c r="G6" s="21" t="str">
        <f>VLOOKUP(A6,'Active Employees'!$B$2:$B$498,1,false)</f>
        <v>romain.belorgey@docker.com</v>
      </c>
    </row>
    <row r="7">
      <c r="A7" s="17" t="s">
        <v>267</v>
      </c>
      <c r="B7" s="18" t="s">
        <v>1471</v>
      </c>
      <c r="C7" s="19"/>
      <c r="D7" s="19"/>
      <c r="E7" s="19"/>
      <c r="F7" s="20" t="s">
        <v>1469</v>
      </c>
      <c r="G7" s="21" t="str">
        <f>VLOOKUP(A7,'Active Employees'!$B$2:$B$498,1,false)</f>
        <v>james.braden@docker.com</v>
      </c>
    </row>
    <row r="8">
      <c r="A8" s="17" t="s">
        <v>139</v>
      </c>
      <c r="B8" s="18" t="s">
        <v>1470</v>
      </c>
      <c r="C8" s="19"/>
      <c r="D8" s="19"/>
      <c r="E8" s="19"/>
      <c r="F8" s="20" t="s">
        <v>1469</v>
      </c>
      <c r="G8" s="21" t="str">
        <f>VLOOKUP(A8,'Active Employees'!$B$2:$B$498,1,false)</f>
        <v>ozair.asim@docker.com</v>
      </c>
    </row>
    <row r="9">
      <c r="A9" s="17" t="s">
        <v>332</v>
      </c>
      <c r="B9" s="18" t="s">
        <v>1471</v>
      </c>
      <c r="C9" s="19"/>
      <c r="D9" s="19"/>
      <c r="E9" s="19"/>
      <c r="F9" s="20" t="s">
        <v>1469</v>
      </c>
      <c r="G9" s="21" t="str">
        <f>VLOOKUP(A9,'Active Employees'!$B$2:$B$498,1,false)</f>
        <v>jeff.carter@docker.com</v>
      </c>
    </row>
    <row r="10">
      <c r="A10" s="17" t="s">
        <v>712</v>
      </c>
      <c r="B10" s="18" t="s">
        <v>1468</v>
      </c>
      <c r="C10" s="19"/>
      <c r="D10" s="19"/>
      <c r="E10" s="19"/>
      <c r="F10" s="20" t="s">
        <v>1469</v>
      </c>
      <c r="G10" s="21" t="str">
        <f>VLOOKUP(A10,'Active Employees'!$B$2:$B$498,1,false)</f>
        <v>stephanie.hertrich@docker.com</v>
      </c>
    </row>
    <row r="11">
      <c r="A11" s="17" t="s">
        <v>444</v>
      </c>
      <c r="B11" s="18" t="s">
        <v>1470</v>
      </c>
      <c r="C11" s="19"/>
      <c r="D11" s="19"/>
      <c r="E11" s="19"/>
      <c r="F11" s="20" t="s">
        <v>1469</v>
      </c>
      <c r="G11" s="21" t="str">
        <f>VLOOKUP(A11,'Active Employees'!$B$2:$B$498,1,false)</f>
        <v>vincent.damery@docker.com</v>
      </c>
    </row>
    <row r="12">
      <c r="A12" s="17" t="s">
        <v>484</v>
      </c>
      <c r="B12" s="18" t="s">
        <v>1470</v>
      </c>
      <c r="C12" s="19"/>
      <c r="D12" s="19"/>
      <c r="E12" s="19"/>
      <c r="F12" s="20" t="s">
        <v>1469</v>
      </c>
      <c r="G12" s="21" t="str">
        <f>VLOOKUP(A12,'Active Employees'!$B$2:$B$498,1,false)</f>
        <v>gabriele.dibernardo@docker.com</v>
      </c>
    </row>
    <row r="13">
      <c r="A13" s="17" t="s">
        <v>650</v>
      </c>
      <c r="B13" s="18" t="s">
        <v>1470</v>
      </c>
      <c r="C13" s="19"/>
      <c r="D13" s="19"/>
      <c r="E13" s="19"/>
      <c r="F13" s="20" t="s">
        <v>1469</v>
      </c>
      <c r="G13" s="21" t="str">
        <f>VLOOKUP(A13,'Active Employees'!$B$2:$B$498,1,false)</f>
        <v>shelton.graves@docker.com</v>
      </c>
    </row>
    <row r="14">
      <c r="A14" s="17" t="s">
        <v>1145</v>
      </c>
      <c r="B14" s="18" t="s">
        <v>1472</v>
      </c>
      <c r="C14" s="19"/>
      <c r="D14" s="19"/>
      <c r="E14" s="19"/>
      <c r="F14" s="20" t="s">
        <v>1469</v>
      </c>
      <c r="G14" s="21" t="str">
        <f>VLOOKUP(A14,'Active Employees'!$B$2:$B$498,1,false)</f>
        <v>amn.rahman@docker.com</v>
      </c>
    </row>
    <row r="15">
      <c r="A15" s="17" t="s">
        <v>421</v>
      </c>
      <c r="B15" s="18" t="s">
        <v>1470</v>
      </c>
      <c r="C15" s="19"/>
      <c r="D15" s="19"/>
      <c r="E15" s="19"/>
      <c r="F15" s="20" t="s">
        <v>1469</v>
      </c>
      <c r="G15" s="21" t="str">
        <f>VLOOKUP(A15,'Active Employees'!$B$2:$B$498,1,false)</f>
        <v>christopher.crone@docker.com</v>
      </c>
    </row>
    <row r="16">
      <c r="A16" s="17" t="s">
        <v>495</v>
      </c>
      <c r="B16" s="18" t="s">
        <v>1468</v>
      </c>
      <c r="C16" s="19"/>
      <c r="D16" s="19"/>
      <c r="E16" s="19"/>
      <c r="F16" s="20" t="s">
        <v>1469</v>
      </c>
      <c r="G16" s="21" t="str">
        <f>VLOOKUP(A16,'Active Employees'!$B$2:$B$498,1,false)</f>
        <v>jonathan.dieu@docker.com</v>
      </c>
    </row>
    <row r="17">
      <c r="A17" s="19" t="s">
        <v>390</v>
      </c>
      <c r="B17" s="22" t="s">
        <v>1470</v>
      </c>
      <c r="C17" s="19"/>
      <c r="D17" s="19"/>
      <c r="E17" s="19"/>
      <c r="F17" s="20" t="s">
        <v>1469</v>
      </c>
      <c r="G17" s="21" t="str">
        <f>VLOOKUP(A17,'Active Employees'!$B$2:$B$498,1,false)</f>
        <v>maxime.clement@docker.com</v>
      </c>
    </row>
    <row r="18">
      <c r="A18" s="23" t="s">
        <v>820</v>
      </c>
      <c r="B18" s="24" t="s">
        <v>1473</v>
      </c>
      <c r="C18" s="19"/>
      <c r="D18" s="19"/>
      <c r="E18" s="19"/>
      <c r="F18" s="20" t="s">
        <v>1469</v>
      </c>
      <c r="G18" s="21" t="str">
        <f>VLOOKUP(A18,'Active Employees'!$B$2:$B$498,1,false)</f>
        <v>chris.kenna@docker.com</v>
      </c>
    </row>
    <row r="19">
      <c r="A19" s="23" t="s">
        <v>524</v>
      </c>
      <c r="B19" s="24" t="s">
        <v>1465</v>
      </c>
      <c r="C19" s="19"/>
      <c r="D19" s="19"/>
      <c r="E19" s="19"/>
      <c r="F19" s="20" t="s">
        <v>1469</v>
      </c>
      <c r="G19" s="21" t="str">
        <f>VLOOKUP(A19,'Active Employees'!$B$2:$B$498,1,false)</f>
        <v>jeremy.dull@docker.com</v>
      </c>
    </row>
    <row r="20">
      <c r="A20" s="23" t="s">
        <v>38</v>
      </c>
      <c r="B20" s="24" t="s">
        <v>1465</v>
      </c>
      <c r="C20" s="19"/>
      <c r="D20" s="19"/>
      <c r="E20" s="19"/>
      <c r="F20" s="20" t="s">
        <v>1469</v>
      </c>
      <c r="G20" s="21" t="str">
        <f>VLOOKUP(A20,'Active Employees'!$B$2:$B$498,1,false)</f>
        <v>pooja.agrawal@docker.com</v>
      </c>
    </row>
    <row r="21">
      <c r="A21" s="23" t="s">
        <v>1380</v>
      </c>
      <c r="B21" s="24" t="s">
        <v>1470</v>
      </c>
      <c r="C21" s="19"/>
      <c r="D21" s="19"/>
      <c r="E21" s="19"/>
      <c r="F21" s="20" t="s">
        <v>1469</v>
      </c>
      <c r="G21" s="21" t="str">
        <f>VLOOKUP(A21,'Active Employees'!$B$2:$B$498,1,false)</f>
        <v>kyle.trantham@docker.com</v>
      </c>
    </row>
    <row r="22">
      <c r="A22" s="9" t="s">
        <v>1474</v>
      </c>
      <c r="B22" s="10" t="s">
        <v>1468</v>
      </c>
      <c r="C22" s="11"/>
      <c r="D22" s="11"/>
      <c r="E22" s="11"/>
      <c r="F22" s="25"/>
      <c r="G22" s="13" t="str">
        <f>VLOOKUP(A22,'Active Employees'!$B$2:$B$498,1,false)</f>
        <v>#N/A</v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31.25"/>
    <col customWidth="1" min="7" max="7" width="34.13"/>
    <col customWidth="1" hidden="1" min="9" max="9" width="30.0"/>
    <col customWidth="1" min="10" max="10" width="13.38"/>
  </cols>
  <sheetData>
    <row r="1">
      <c r="A1" s="26" t="s">
        <v>1475</v>
      </c>
      <c r="B1" s="26" t="s">
        <v>1476</v>
      </c>
      <c r="C1" s="26" t="s">
        <v>1477</v>
      </c>
      <c r="D1" s="26" t="s">
        <v>1478</v>
      </c>
      <c r="E1" s="26" t="s">
        <v>1479</v>
      </c>
      <c r="F1" s="27" t="s">
        <v>1459</v>
      </c>
      <c r="G1" s="28" t="s">
        <v>1460</v>
      </c>
      <c r="H1" s="28" t="s">
        <v>1461</v>
      </c>
      <c r="I1" s="29" t="s">
        <v>1463</v>
      </c>
      <c r="J1" s="29" t="s">
        <v>1462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</row>
    <row r="2">
      <c r="A2" s="31" t="s">
        <v>1480</v>
      </c>
      <c r="B2" s="31"/>
      <c r="C2" s="31" t="b">
        <v>0</v>
      </c>
      <c r="D2" s="31" t="s">
        <v>1481</v>
      </c>
      <c r="E2" s="31" t="s">
        <v>1482</v>
      </c>
      <c r="F2" s="31"/>
      <c r="G2" s="31"/>
      <c r="H2" s="31"/>
      <c r="I2" s="32" t="s">
        <v>1483</v>
      </c>
      <c r="J2" s="33" t="s">
        <v>1469</v>
      </c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>
      <c r="A3" s="31" t="s">
        <v>1484</v>
      </c>
      <c r="B3" s="31" t="s">
        <v>1485</v>
      </c>
      <c r="C3" s="31" t="b">
        <v>0</v>
      </c>
      <c r="D3" s="31" t="s">
        <v>1481</v>
      </c>
      <c r="E3" s="31" t="s">
        <v>532</v>
      </c>
      <c r="F3" s="31"/>
      <c r="G3" s="31"/>
      <c r="H3" s="31"/>
      <c r="I3" s="31" t="str">
        <f>VLOOKUP(E3,'Active Employees'!$B$2:$B$498,1,false)</f>
        <v>christian.dupuis@docker.com</v>
      </c>
      <c r="J3" s="33" t="s">
        <v>1469</v>
      </c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</row>
    <row r="4">
      <c r="A4" s="31" t="s">
        <v>1486</v>
      </c>
      <c r="B4" s="31" t="s">
        <v>63</v>
      </c>
      <c r="C4" s="31" t="b">
        <v>1</v>
      </c>
      <c r="D4" s="31" t="s">
        <v>1481</v>
      </c>
      <c r="E4" s="31" t="s">
        <v>421</v>
      </c>
      <c r="F4" s="31"/>
      <c r="G4" s="31"/>
      <c r="H4" s="31"/>
      <c r="I4" s="31" t="str">
        <f>VLOOKUP(E4,'Active Employees'!$B$2:$B$498,1,false)</f>
        <v>christopher.crone@docker.com</v>
      </c>
      <c r="J4" s="33" t="s">
        <v>1469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</row>
    <row r="5">
      <c r="A5" s="31" t="s">
        <v>1487</v>
      </c>
      <c r="B5" s="31" t="s">
        <v>1488</v>
      </c>
      <c r="C5" s="31" t="b">
        <v>0</v>
      </c>
      <c r="D5" s="31" t="s">
        <v>1481</v>
      </c>
      <c r="E5" s="31" t="s">
        <v>1232</v>
      </c>
      <c r="F5" s="31"/>
      <c r="G5" s="31"/>
      <c r="H5" s="31"/>
      <c r="I5" s="31" t="str">
        <f>VLOOKUP(E5,'Active Employees'!$B$2:$B$498,1,false)</f>
        <v>daniel.schultz@docker.com</v>
      </c>
      <c r="J5" s="33" t="s">
        <v>1469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</row>
    <row r="6">
      <c r="A6" s="31" t="s">
        <v>1489</v>
      </c>
      <c r="B6" s="31" t="s">
        <v>1490</v>
      </c>
      <c r="C6" s="31" t="b">
        <v>0</v>
      </c>
      <c r="D6" s="31" t="s">
        <v>1481</v>
      </c>
      <c r="E6" s="31" t="s">
        <v>967</v>
      </c>
      <c r="F6" s="31"/>
      <c r="G6" s="31"/>
      <c r="H6" s="31"/>
      <c r="I6" s="31" t="str">
        <f>VLOOKUP(E6,'Active Employees'!$B$2:$B$498,1,false)</f>
        <v>fiona.mcshane@docker.com</v>
      </c>
      <c r="J6" s="33" t="s">
        <v>1469</v>
      </c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</row>
    <row r="7">
      <c r="A7" s="31" t="s">
        <v>1491</v>
      </c>
      <c r="B7" s="31" t="s">
        <v>1492</v>
      </c>
      <c r="C7" s="31" t="b">
        <v>0</v>
      </c>
      <c r="D7" s="31" t="s">
        <v>1481</v>
      </c>
      <c r="E7" s="31" t="s">
        <v>1100</v>
      </c>
      <c r="F7" s="31"/>
      <c r="G7" s="31"/>
      <c r="H7" s="31"/>
      <c r="I7" s="31" t="str">
        <f>VLOOKUP(E7,'Active Employees'!$B$2:$B$498,1,false)</f>
        <v>ivan.pedrazas@docker.com</v>
      </c>
      <c r="J7" s="33" t="s">
        <v>1469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</row>
    <row r="8">
      <c r="A8" s="31" t="s">
        <v>1493</v>
      </c>
      <c r="B8" s="31" t="s">
        <v>1494</v>
      </c>
      <c r="C8" s="31" t="b">
        <v>1</v>
      </c>
      <c r="D8" s="31" t="s">
        <v>1481</v>
      </c>
      <c r="E8" s="31" t="s">
        <v>460</v>
      </c>
      <c r="F8" s="31"/>
      <c r="G8" s="31"/>
      <c r="H8" s="31"/>
      <c r="I8" s="31" t="str">
        <f>VLOOKUP(E8,'Active Employees'!$B$2:$B$498,1,false)</f>
        <v>jeanlaurent@docker.com</v>
      </c>
      <c r="J8" s="33" t="s">
        <v>1469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</row>
    <row r="9">
      <c r="A9" s="31" t="s">
        <v>1495</v>
      </c>
      <c r="B9" s="31" t="s">
        <v>1496</v>
      </c>
      <c r="C9" s="31" t="b">
        <v>0</v>
      </c>
      <c r="D9" s="31" t="s">
        <v>1481</v>
      </c>
      <c r="E9" s="31" t="s">
        <v>1317</v>
      </c>
      <c r="F9" s="31"/>
      <c r="G9" s="31"/>
      <c r="H9" s="31"/>
      <c r="I9" s="31" t="str">
        <f>VLOOKUP(E9,'Active Employees'!$B$2:$B$498,1,false)</f>
        <v>jeffrey.strauss@docker.com</v>
      </c>
      <c r="J9" s="33" t="s">
        <v>1469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</row>
    <row r="10">
      <c r="A10" s="31" t="s">
        <v>1497</v>
      </c>
      <c r="B10" s="31" t="s">
        <v>455</v>
      </c>
      <c r="C10" s="31" t="b">
        <v>0</v>
      </c>
      <c r="D10" s="31" t="s">
        <v>1481</v>
      </c>
      <c r="E10" s="31" t="s">
        <v>652</v>
      </c>
      <c r="F10" s="31"/>
      <c r="G10" s="31"/>
      <c r="H10" s="31"/>
      <c r="I10" s="31" t="str">
        <f>VLOOKUP(E10,'Active Employees'!$B$2:$B$498,1,false)</f>
        <v>mason.graye@docker.com</v>
      </c>
      <c r="J10" s="33" t="s">
        <v>1469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>
      <c r="A11" s="31" t="s">
        <v>1498</v>
      </c>
      <c r="B11" s="31" t="s">
        <v>1499</v>
      </c>
      <c r="C11" s="31" t="b">
        <v>0</v>
      </c>
      <c r="D11" s="31" t="s">
        <v>1481</v>
      </c>
      <c r="E11" s="31" t="s">
        <v>1141</v>
      </c>
      <c r="F11" s="31"/>
      <c r="G11" s="31"/>
      <c r="H11" s="31"/>
      <c r="I11" s="31" t="str">
        <f>VLOOKUP(E11,'Active Employees'!$B$2:$B$498,1,false)</f>
        <v>neil.prosser@docker.com</v>
      </c>
      <c r="J11" s="33" t="s">
        <v>1469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</row>
    <row r="12">
      <c r="A12" s="31" t="s">
        <v>1500</v>
      </c>
      <c r="B12" s="31" t="s">
        <v>550</v>
      </c>
      <c r="C12" s="31" t="b">
        <v>0</v>
      </c>
      <c r="D12" s="31" t="s">
        <v>1481</v>
      </c>
      <c r="E12" s="31" t="s">
        <v>584</v>
      </c>
      <c r="F12" s="31"/>
      <c r="G12" s="31"/>
      <c r="H12" s="31"/>
      <c r="I12" s="31" t="str">
        <f>VLOOKUP(E12,'Active Employees'!$B$2:$B$498,1,false)</f>
        <v>nate.fitch@docker.com</v>
      </c>
      <c r="J12" s="33" t="s">
        <v>1469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</row>
    <row r="13">
      <c r="A13" s="31" t="s">
        <v>1501</v>
      </c>
      <c r="B13" s="31" t="s">
        <v>1502</v>
      </c>
      <c r="C13" s="31" t="b">
        <v>0</v>
      </c>
      <c r="D13" s="31" t="s">
        <v>1481</v>
      </c>
      <c r="E13" s="31" t="s">
        <v>1214</v>
      </c>
      <c r="F13" s="31"/>
      <c r="G13" s="31"/>
      <c r="H13" s="31"/>
      <c r="I13" s="31" t="str">
        <f>VLOOKUP(E13,'Active Employees'!$B$2:$B$498,1,false)</f>
        <v>nick.santos@docker.com</v>
      </c>
      <c r="J13" s="33" t="s">
        <v>1469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</row>
    <row r="14">
      <c r="A14" s="31" t="s">
        <v>1503</v>
      </c>
      <c r="B14" s="31" t="s">
        <v>304</v>
      </c>
      <c r="C14" s="31" t="b">
        <v>0</v>
      </c>
      <c r="D14" s="31" t="s">
        <v>1481</v>
      </c>
      <c r="E14" s="31" t="s">
        <v>146</v>
      </c>
      <c r="F14" s="31"/>
      <c r="G14" s="31"/>
      <c r="H14" s="31"/>
      <c r="I14" s="31" t="str">
        <f>VLOOKUP(E14,'Active Employees'!$B$2:$B$498,1,false)</f>
        <v>shawn.axsom@docker.com</v>
      </c>
      <c r="J14" s="33" t="s">
        <v>1469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</row>
    <row r="15">
      <c r="A15" s="31" t="s">
        <v>1504</v>
      </c>
      <c r="B15" s="31" t="s">
        <v>1505</v>
      </c>
      <c r="C15" s="31" t="b">
        <v>0</v>
      </c>
      <c r="D15" s="31" t="s">
        <v>1481</v>
      </c>
      <c r="E15" s="31" t="s">
        <v>1255</v>
      </c>
      <c r="F15" s="31"/>
      <c r="G15" s="31"/>
      <c r="H15" s="31"/>
      <c r="I15" s="31" t="str">
        <f>VLOOKUP(E15,'Active Employees'!$B$2:$B$498,1,false)</f>
        <v>shawn.shakir@docker.com</v>
      </c>
      <c r="J15" s="33" t="s">
        <v>1469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</row>
    <row r="16">
      <c r="A16" s="31" t="s">
        <v>1506</v>
      </c>
      <c r="B16" s="31" t="s">
        <v>207</v>
      </c>
      <c r="C16" s="31" t="b">
        <v>0</v>
      </c>
      <c r="D16" s="31" t="s">
        <v>1481</v>
      </c>
      <c r="E16" s="31" t="s">
        <v>267</v>
      </c>
      <c r="F16" s="31"/>
      <c r="G16" s="31"/>
      <c r="H16" s="31"/>
      <c r="I16" s="31" t="str">
        <f>VLOOKUP(E16,'Active Employees'!$B$2:$B$498,1,false)</f>
        <v>james.braden@docker.com</v>
      </c>
      <c r="J16" s="33" t="s">
        <v>1469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</row>
    <row r="17">
      <c r="A17" s="31" t="s">
        <v>1507</v>
      </c>
      <c r="B17" s="31" t="s">
        <v>1508</v>
      </c>
      <c r="C17" s="31" t="b">
        <v>0</v>
      </c>
      <c r="D17" s="31" t="s">
        <v>1481</v>
      </c>
      <c r="E17" s="31" t="s">
        <v>386</v>
      </c>
      <c r="F17" s="31"/>
      <c r="G17" s="31"/>
      <c r="H17" s="31"/>
      <c r="I17" s="31" t="str">
        <f>VLOOKUP(E17,'Active Employees'!$B$2:$B$498,1,false)</f>
        <v>jim.clark@docker.com</v>
      </c>
      <c r="J17" s="33" t="s">
        <v>1469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</row>
    <row r="18">
      <c r="A18" s="31" t="s">
        <v>1509</v>
      </c>
      <c r="B18" s="31" t="s">
        <v>1510</v>
      </c>
      <c r="C18" s="31" t="b">
        <v>0</v>
      </c>
      <c r="D18" s="31" t="s">
        <v>1481</v>
      </c>
      <c r="E18" s="31" t="s">
        <v>1052</v>
      </c>
      <c r="F18" s="31"/>
      <c r="G18" s="31"/>
      <c r="H18" s="31"/>
      <c r="I18" s="31" t="str">
        <f>VLOOKUP(E18,'Active Employees'!$B$2:$B$498,1,false)</f>
        <v>josh.newman@docker.com</v>
      </c>
      <c r="J18" s="33" t="s">
        <v>1469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</row>
    <row r="19">
      <c r="A19" s="31" t="s">
        <v>1511</v>
      </c>
      <c r="B19" s="32" t="s">
        <v>1512</v>
      </c>
      <c r="C19" s="31" t="b">
        <v>0</v>
      </c>
      <c r="D19" s="31" t="s">
        <v>1481</v>
      </c>
      <c r="E19" s="31" t="s">
        <v>1353</v>
      </c>
      <c r="F19" s="31"/>
      <c r="G19" s="31"/>
      <c r="H19" s="31"/>
      <c r="I19" s="31" t="str">
        <f>VLOOKUP(E19,'Active Employees'!$B$2:$B$498,1,false)</f>
        <v>temenuzhka.thede@docker.com</v>
      </c>
      <c r="J19" s="33" t="s">
        <v>1469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</row>
    <row r="20">
      <c r="A20" s="31" t="s">
        <v>1513</v>
      </c>
      <c r="B20" s="32" t="s">
        <v>133</v>
      </c>
      <c r="C20" s="31" t="b">
        <v>0</v>
      </c>
      <c r="D20" s="31" t="s">
        <v>1481</v>
      </c>
      <c r="E20" s="31" t="s">
        <v>765</v>
      </c>
      <c r="F20" s="31"/>
      <c r="G20" s="31"/>
      <c r="H20" s="31"/>
      <c r="I20" s="31" t="str">
        <f>VLOOKUP(E20,'Active Employees'!$B$2:$B$498,1,false)</f>
        <v>tushar.jain@docker.com</v>
      </c>
      <c r="J20" s="33" t="s">
        <v>1469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</row>
    <row r="21">
      <c r="A21" s="31" t="s">
        <v>1514</v>
      </c>
      <c r="B21" s="31" t="s">
        <v>1515</v>
      </c>
      <c r="C21" s="31" t="b">
        <v>0</v>
      </c>
      <c r="D21" s="31" t="s">
        <v>1481</v>
      </c>
      <c r="E21" s="31" t="s">
        <v>1397</v>
      </c>
      <c r="F21" s="31"/>
      <c r="G21" s="31"/>
      <c r="H21" s="31"/>
      <c r="I21" s="31" t="str">
        <f>VLOOKUP(E21,'Active Employees'!$B$2:$B$498,1,false)</f>
        <v>alexandre.valliereslagace@docker.com</v>
      </c>
      <c r="J21" s="33" t="s">
        <v>1469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</row>
    <row r="22">
      <c r="I22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2" max="2" width="20.0"/>
    <col hidden="1" min="3" max="3" width="12.63"/>
    <col customWidth="1" min="4" max="4" width="30.5"/>
    <col customWidth="1" min="5" max="5" width="17.88"/>
    <col customWidth="1" min="6" max="6" width="34.13"/>
    <col customWidth="1" min="7" max="7" width="16.25"/>
    <col customWidth="1" min="8" max="8" width="14.63"/>
    <col customWidth="1" min="10" max="10" width="32.88"/>
    <col customWidth="1" hidden="1" min="12" max="12" width="14.75"/>
  </cols>
  <sheetData>
    <row r="1">
      <c r="A1" s="34" t="s">
        <v>1516</v>
      </c>
      <c r="B1" s="34" t="s">
        <v>1517</v>
      </c>
      <c r="C1" s="34" t="s">
        <v>1518</v>
      </c>
      <c r="D1" s="35" t="s">
        <v>1</v>
      </c>
      <c r="E1" s="34" t="s">
        <v>1519</v>
      </c>
      <c r="F1" s="34" t="s">
        <v>1520</v>
      </c>
      <c r="G1" s="34" t="s">
        <v>1521</v>
      </c>
      <c r="H1" s="36" t="s">
        <v>1462</v>
      </c>
      <c r="I1" s="34" t="s">
        <v>1459</v>
      </c>
      <c r="J1" s="34" t="s">
        <v>1460</v>
      </c>
      <c r="K1" s="34" t="s">
        <v>1461</v>
      </c>
      <c r="L1" s="35" t="s">
        <v>1463</v>
      </c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</row>
    <row r="2" hidden="1">
      <c r="A2" s="37" t="s">
        <v>1522</v>
      </c>
      <c r="B2" s="31" t="s">
        <v>1523</v>
      </c>
      <c r="C2" s="31" t="s">
        <v>1524</v>
      </c>
      <c r="D2" s="31" t="s">
        <v>1525</v>
      </c>
      <c r="E2" s="31" t="s">
        <v>1526</v>
      </c>
      <c r="F2" s="31" t="s">
        <v>1527</v>
      </c>
      <c r="G2" s="31" t="s">
        <v>1528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</row>
    <row r="3" hidden="1">
      <c r="A3" s="37" t="s">
        <v>1522</v>
      </c>
      <c r="B3" s="31" t="s">
        <v>1523</v>
      </c>
      <c r="C3" s="31" t="s">
        <v>1524</v>
      </c>
      <c r="D3" s="31" t="s">
        <v>1525</v>
      </c>
      <c r="E3" s="31" t="s">
        <v>1526</v>
      </c>
      <c r="F3" s="31" t="s">
        <v>1529</v>
      </c>
      <c r="G3" s="31" t="s">
        <v>1528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</row>
    <row r="4" hidden="1">
      <c r="A4" s="37" t="s">
        <v>1522</v>
      </c>
      <c r="B4" s="31" t="s">
        <v>1523</v>
      </c>
      <c r="C4" s="31" t="s">
        <v>1524</v>
      </c>
      <c r="D4" s="31" t="s">
        <v>1525</v>
      </c>
      <c r="E4" s="31" t="s">
        <v>1526</v>
      </c>
      <c r="F4" s="31" t="s">
        <v>1530</v>
      </c>
      <c r="G4" s="31" t="s">
        <v>1528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</row>
    <row r="5" hidden="1">
      <c r="A5" s="37" t="s">
        <v>1522</v>
      </c>
      <c r="B5" s="31" t="s">
        <v>1523</v>
      </c>
      <c r="C5" s="31" t="s">
        <v>1524</v>
      </c>
      <c r="D5" s="31" t="s">
        <v>1525</v>
      </c>
      <c r="E5" s="31" t="s">
        <v>1526</v>
      </c>
      <c r="F5" s="31" t="s">
        <v>1531</v>
      </c>
      <c r="G5" s="31" t="s">
        <v>1528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</row>
    <row r="6" hidden="1">
      <c r="A6" s="37" t="s">
        <v>1522</v>
      </c>
      <c r="B6" s="31" t="s">
        <v>1523</v>
      </c>
      <c r="C6" s="31" t="s">
        <v>1524</v>
      </c>
      <c r="D6" s="31" t="s">
        <v>1525</v>
      </c>
      <c r="E6" s="31" t="s">
        <v>1526</v>
      </c>
      <c r="F6" s="31" t="s">
        <v>1532</v>
      </c>
      <c r="G6" s="31" t="s">
        <v>1528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</row>
    <row r="7" hidden="1">
      <c r="A7" s="37" t="s">
        <v>1522</v>
      </c>
      <c r="B7" s="31" t="s">
        <v>1523</v>
      </c>
      <c r="C7" s="31" t="s">
        <v>1524</v>
      </c>
      <c r="D7" s="31" t="s">
        <v>1525</v>
      </c>
      <c r="E7" s="31" t="s">
        <v>1526</v>
      </c>
      <c r="F7" s="31" t="s">
        <v>1533</v>
      </c>
      <c r="G7" s="31" t="s">
        <v>1528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hidden="1">
      <c r="A8" s="37" t="s">
        <v>1522</v>
      </c>
      <c r="B8" s="31" t="s">
        <v>1523</v>
      </c>
      <c r="C8" s="31" t="s">
        <v>1524</v>
      </c>
      <c r="D8" s="31" t="s">
        <v>1525</v>
      </c>
      <c r="E8" s="31" t="s">
        <v>1526</v>
      </c>
      <c r="F8" s="31" t="s">
        <v>1534</v>
      </c>
      <c r="G8" s="31" t="s">
        <v>1528</v>
      </c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hidden="1">
      <c r="A9" s="37" t="s">
        <v>1522</v>
      </c>
      <c r="B9" s="31" t="s">
        <v>1523</v>
      </c>
      <c r="C9" s="31" t="s">
        <v>1524</v>
      </c>
      <c r="D9" s="31" t="s">
        <v>1525</v>
      </c>
      <c r="E9" s="31" t="s">
        <v>1526</v>
      </c>
      <c r="F9" s="31" t="s">
        <v>1535</v>
      </c>
      <c r="G9" s="31" t="s">
        <v>1528</v>
      </c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</row>
    <row r="10" hidden="1">
      <c r="A10" s="37" t="s">
        <v>1522</v>
      </c>
      <c r="B10" s="31" t="s">
        <v>1523</v>
      </c>
      <c r="C10" s="31" t="s">
        <v>1524</v>
      </c>
      <c r="D10" s="31" t="s">
        <v>1525</v>
      </c>
      <c r="E10" s="31" t="s">
        <v>1526</v>
      </c>
      <c r="F10" s="31" t="s">
        <v>1536</v>
      </c>
      <c r="G10" s="31" t="s">
        <v>1528</v>
      </c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hidden="1">
      <c r="A11" s="37" t="s">
        <v>1522</v>
      </c>
      <c r="B11" s="31" t="s">
        <v>1523</v>
      </c>
      <c r="C11" s="31" t="s">
        <v>1524</v>
      </c>
      <c r="D11" s="31" t="s">
        <v>1525</v>
      </c>
      <c r="E11" s="31" t="s">
        <v>1526</v>
      </c>
      <c r="F11" s="31" t="s">
        <v>1537</v>
      </c>
      <c r="G11" s="31" t="s">
        <v>1528</v>
      </c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</row>
    <row r="12" hidden="1">
      <c r="A12" s="37" t="s">
        <v>1522</v>
      </c>
      <c r="B12" s="31" t="s">
        <v>1523</v>
      </c>
      <c r="C12" s="31" t="s">
        <v>1524</v>
      </c>
      <c r="D12" s="31" t="s">
        <v>1525</v>
      </c>
      <c r="E12" s="31" t="s">
        <v>1526</v>
      </c>
      <c r="F12" s="31" t="s">
        <v>1538</v>
      </c>
      <c r="G12" s="31" t="s">
        <v>1528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hidden="1">
      <c r="A13" s="37" t="s">
        <v>1522</v>
      </c>
      <c r="B13" s="31" t="s">
        <v>1523</v>
      </c>
      <c r="C13" s="31" t="s">
        <v>1524</v>
      </c>
      <c r="D13" s="31" t="s">
        <v>1539</v>
      </c>
      <c r="E13" s="31" t="s">
        <v>1540</v>
      </c>
      <c r="F13" s="31" t="s">
        <v>1541</v>
      </c>
      <c r="G13" s="31" t="s">
        <v>1528</v>
      </c>
      <c r="H13" s="32" t="s">
        <v>1483</v>
      </c>
      <c r="I13" s="31"/>
      <c r="J13" s="31"/>
      <c r="K13" s="31"/>
      <c r="L13" s="32" t="str">
        <f>VLOOKUP(D13,'Active Employees'!$B$2:$B$498,1,false)</f>
        <v>#N/A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</row>
    <row r="14" hidden="1">
      <c r="A14" s="37" t="s">
        <v>1522</v>
      </c>
      <c r="B14" s="31" t="s">
        <v>1523</v>
      </c>
      <c r="C14" s="31" t="s">
        <v>1524</v>
      </c>
      <c r="D14" s="31" t="s">
        <v>1525</v>
      </c>
      <c r="E14" s="31" t="s">
        <v>1526</v>
      </c>
      <c r="F14" s="31" t="s">
        <v>1542</v>
      </c>
      <c r="G14" s="31" t="s">
        <v>1528</v>
      </c>
      <c r="H14" s="31"/>
      <c r="I14" s="31"/>
      <c r="J14" s="31"/>
      <c r="K14" s="31"/>
      <c r="L14" s="32" t="str">
        <f>VLOOKUP(D14,'Active Employees'!$B$2:$B$498,1,false)</f>
        <v>#N/A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idden="1">
      <c r="A15" s="37" t="s">
        <v>1522</v>
      </c>
      <c r="B15" s="31" t="s">
        <v>1523</v>
      </c>
      <c r="C15" s="31" t="s">
        <v>1524</v>
      </c>
      <c r="D15" s="31" t="s">
        <v>1525</v>
      </c>
      <c r="E15" s="31" t="s">
        <v>1526</v>
      </c>
      <c r="F15" s="31" t="s">
        <v>1543</v>
      </c>
      <c r="G15" s="31" t="s">
        <v>1528</v>
      </c>
      <c r="H15" s="31"/>
      <c r="I15" s="31"/>
      <c r="J15" s="31"/>
      <c r="K15" s="31"/>
      <c r="L15" s="32" t="str">
        <f>VLOOKUP(D15,'Active Employees'!$B$2:$B$498,1,false)</f>
        <v>#N/A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</row>
    <row r="16" hidden="1">
      <c r="A16" s="37" t="s">
        <v>1522</v>
      </c>
      <c r="B16" s="31" t="s">
        <v>1523</v>
      </c>
      <c r="C16" s="31" t="s">
        <v>1524</v>
      </c>
      <c r="D16" s="31" t="s">
        <v>1525</v>
      </c>
      <c r="E16" s="31" t="s">
        <v>1526</v>
      </c>
      <c r="F16" s="31" t="s">
        <v>1544</v>
      </c>
      <c r="G16" s="31" t="s">
        <v>1528</v>
      </c>
      <c r="H16" s="31"/>
      <c r="I16" s="31"/>
      <c r="J16" s="31"/>
      <c r="K16" s="31"/>
      <c r="L16" s="32" t="str">
        <f>VLOOKUP(D16,'Active Employees'!$B$2:$B$498,1,false)</f>
        <v>#N/A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</row>
    <row r="17" hidden="1">
      <c r="A17" s="37" t="s">
        <v>1522</v>
      </c>
      <c r="B17" s="31" t="s">
        <v>1523</v>
      </c>
      <c r="C17" s="31" t="s">
        <v>1524</v>
      </c>
      <c r="D17" s="31" t="s">
        <v>1525</v>
      </c>
      <c r="E17" s="31" t="s">
        <v>1526</v>
      </c>
      <c r="F17" s="31" t="s">
        <v>1545</v>
      </c>
      <c r="G17" s="31" t="s">
        <v>1528</v>
      </c>
      <c r="H17" s="31"/>
      <c r="I17" s="31"/>
      <c r="J17" s="31"/>
      <c r="K17" s="31"/>
      <c r="L17" s="32" t="str">
        <f>VLOOKUP(D17,'Active Employees'!$B$2:$B$498,1,false)</f>
        <v>#N/A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</row>
    <row r="18" hidden="1">
      <c r="A18" s="37" t="s">
        <v>1522</v>
      </c>
      <c r="B18" s="31" t="s">
        <v>1523</v>
      </c>
      <c r="C18" s="31" t="s">
        <v>1524</v>
      </c>
      <c r="D18" s="31" t="s">
        <v>1525</v>
      </c>
      <c r="E18" s="31" t="s">
        <v>1526</v>
      </c>
      <c r="F18" s="31" t="s">
        <v>1546</v>
      </c>
      <c r="G18" s="31" t="s">
        <v>1528</v>
      </c>
      <c r="H18" s="31"/>
      <c r="I18" s="31"/>
      <c r="J18" s="31"/>
      <c r="K18" s="31"/>
      <c r="L18" s="32" t="str">
        <f>VLOOKUP(D18,'Active Employees'!$B$2:$B$498,1,false)</f>
        <v>#N/A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</row>
    <row r="19" hidden="1">
      <c r="A19" s="37" t="s">
        <v>1522</v>
      </c>
      <c r="B19" s="31" t="s">
        <v>1547</v>
      </c>
      <c r="C19" s="31" t="s">
        <v>1548</v>
      </c>
      <c r="D19" s="31" t="s">
        <v>1539</v>
      </c>
      <c r="E19" s="31" t="s">
        <v>1540</v>
      </c>
      <c r="F19" s="31" t="s">
        <v>1549</v>
      </c>
      <c r="G19" s="31" t="s">
        <v>1528</v>
      </c>
      <c r="H19" s="32" t="s">
        <v>1483</v>
      </c>
      <c r="I19" s="31"/>
      <c r="J19" s="31"/>
      <c r="K19" s="31"/>
      <c r="L19" s="32" t="str">
        <f>VLOOKUP(D19,'Active Employees'!$B$2:$B$498,1,false)</f>
        <v>#N/A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</row>
    <row r="20" hidden="1">
      <c r="A20" s="37" t="s">
        <v>1522</v>
      </c>
      <c r="B20" s="31" t="s">
        <v>1523</v>
      </c>
      <c r="C20" s="31" t="s">
        <v>1524</v>
      </c>
      <c r="D20" s="31" t="s">
        <v>1525</v>
      </c>
      <c r="E20" s="31" t="s">
        <v>1526</v>
      </c>
      <c r="F20" s="31" t="s">
        <v>1550</v>
      </c>
      <c r="G20" s="31" t="s">
        <v>1528</v>
      </c>
      <c r="H20" s="31"/>
      <c r="I20" s="31"/>
      <c r="J20" s="31"/>
      <c r="K20" s="31"/>
      <c r="L20" s="32" t="str">
        <f>VLOOKUP(D20,'Active Employees'!$B$2:$B$498,1,false)</f>
        <v>#N/A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</row>
    <row r="21" hidden="1">
      <c r="A21" s="37" t="s">
        <v>1522</v>
      </c>
      <c r="B21" s="31" t="s">
        <v>1523</v>
      </c>
      <c r="C21" s="31" t="s">
        <v>1524</v>
      </c>
      <c r="D21" s="31" t="s">
        <v>1525</v>
      </c>
      <c r="E21" s="31" t="s">
        <v>1526</v>
      </c>
      <c r="F21" s="31" t="s">
        <v>1551</v>
      </c>
      <c r="G21" s="31" t="s">
        <v>1528</v>
      </c>
      <c r="H21" s="31"/>
      <c r="I21" s="31"/>
      <c r="J21" s="31"/>
      <c r="K21" s="31"/>
      <c r="L21" s="32" t="str">
        <f>VLOOKUP(D21,'Active Employees'!$B$2:$B$498,1,false)</f>
        <v>#N/A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</row>
    <row r="22" hidden="1">
      <c r="A22" s="37" t="s">
        <v>1522</v>
      </c>
      <c r="B22" s="31" t="s">
        <v>1523</v>
      </c>
      <c r="C22" s="31" t="s">
        <v>1524</v>
      </c>
      <c r="D22" s="31" t="s">
        <v>1525</v>
      </c>
      <c r="E22" s="31" t="s">
        <v>1526</v>
      </c>
      <c r="F22" s="31" t="s">
        <v>1552</v>
      </c>
      <c r="G22" s="31" t="s">
        <v>1528</v>
      </c>
      <c r="H22" s="31"/>
      <c r="I22" s="31"/>
      <c r="J22" s="31"/>
      <c r="K22" s="31"/>
      <c r="L22" s="32" t="str">
        <f>VLOOKUP(D22,'Active Employees'!$B$2:$B$498,1,false)</f>
        <v>#N/A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</row>
    <row r="23" hidden="1">
      <c r="A23" s="37" t="s">
        <v>1522</v>
      </c>
      <c r="B23" s="31" t="s">
        <v>1523</v>
      </c>
      <c r="C23" s="31" t="s">
        <v>1524</v>
      </c>
      <c r="D23" s="31" t="s">
        <v>1525</v>
      </c>
      <c r="E23" s="31" t="s">
        <v>1526</v>
      </c>
      <c r="F23" s="31" t="s">
        <v>1553</v>
      </c>
      <c r="G23" s="31" t="s">
        <v>1528</v>
      </c>
      <c r="H23" s="31"/>
      <c r="I23" s="31"/>
      <c r="J23" s="31"/>
      <c r="K23" s="31"/>
      <c r="L23" s="32" t="str">
        <f>VLOOKUP(D23,'Active Employees'!$B$2:$B$498,1,false)</f>
        <v>#N/A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</row>
    <row r="24" hidden="1">
      <c r="A24" s="37" t="s">
        <v>1522</v>
      </c>
      <c r="B24" s="31" t="s">
        <v>1523</v>
      </c>
      <c r="C24" s="31" t="s">
        <v>1524</v>
      </c>
      <c r="D24" s="31" t="s">
        <v>1525</v>
      </c>
      <c r="E24" s="31" t="s">
        <v>1526</v>
      </c>
      <c r="F24" s="31" t="s">
        <v>1554</v>
      </c>
      <c r="G24" s="31" t="s">
        <v>1528</v>
      </c>
      <c r="H24" s="31"/>
      <c r="I24" s="31"/>
      <c r="J24" s="31"/>
      <c r="K24" s="31"/>
      <c r="L24" s="32" t="str">
        <f>VLOOKUP(D24,'Active Employees'!$B$2:$B$498,1,false)</f>
        <v>#N/A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</row>
    <row r="25" hidden="1">
      <c r="A25" s="37" t="s">
        <v>1522</v>
      </c>
      <c r="B25" s="31" t="s">
        <v>1523</v>
      </c>
      <c r="C25" s="31" t="s">
        <v>1524</v>
      </c>
      <c r="D25" s="31" t="s">
        <v>1525</v>
      </c>
      <c r="E25" s="31" t="s">
        <v>1526</v>
      </c>
      <c r="F25" s="31" t="s">
        <v>1555</v>
      </c>
      <c r="G25" s="31" t="s">
        <v>1528</v>
      </c>
      <c r="H25" s="31"/>
      <c r="I25" s="31"/>
      <c r="J25" s="31"/>
      <c r="K25" s="31"/>
      <c r="L25" s="32" t="str">
        <f>VLOOKUP(D25,'Active Employees'!$B$2:$B$498,1,false)</f>
        <v>#N/A</v>
      </c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</row>
    <row r="26" hidden="1">
      <c r="A26" s="37" t="s">
        <v>1522</v>
      </c>
      <c r="B26" s="31" t="s">
        <v>1523</v>
      </c>
      <c r="C26" s="31" t="s">
        <v>1524</v>
      </c>
      <c r="D26" s="31" t="s">
        <v>1525</v>
      </c>
      <c r="E26" s="31" t="s">
        <v>1526</v>
      </c>
      <c r="F26" s="31" t="s">
        <v>1556</v>
      </c>
      <c r="G26" s="31" t="s">
        <v>1528</v>
      </c>
      <c r="H26" s="31"/>
      <c r="I26" s="31"/>
      <c r="J26" s="31"/>
      <c r="K26" s="31"/>
      <c r="L26" s="32" t="str">
        <f>VLOOKUP(D26,'Active Employees'!$B$2:$B$498,1,false)</f>
        <v>#N/A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</row>
    <row r="27" hidden="1">
      <c r="A27" s="37" t="s">
        <v>1522</v>
      </c>
      <c r="B27" s="31" t="s">
        <v>1523</v>
      </c>
      <c r="C27" s="31" t="s">
        <v>1524</v>
      </c>
      <c r="D27" s="31" t="s">
        <v>1525</v>
      </c>
      <c r="E27" s="31" t="s">
        <v>1526</v>
      </c>
      <c r="F27" s="31" t="s">
        <v>1557</v>
      </c>
      <c r="G27" s="31" t="s">
        <v>1528</v>
      </c>
      <c r="H27" s="31"/>
      <c r="I27" s="31"/>
      <c r="J27" s="31"/>
      <c r="K27" s="31"/>
      <c r="L27" s="32" t="str">
        <f>VLOOKUP(D27,'Active Employees'!$B$2:$B$498,1,false)</f>
        <v>#N/A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</row>
    <row r="28" hidden="1">
      <c r="A28" s="37" t="s">
        <v>1522</v>
      </c>
      <c r="B28" s="31" t="s">
        <v>1547</v>
      </c>
      <c r="C28" s="31" t="s">
        <v>1558</v>
      </c>
      <c r="D28" s="31" t="s">
        <v>1539</v>
      </c>
      <c r="E28" s="31" t="s">
        <v>1540</v>
      </c>
      <c r="F28" s="31" t="s">
        <v>1549</v>
      </c>
      <c r="G28" s="31" t="s">
        <v>1528</v>
      </c>
      <c r="H28" s="32" t="s">
        <v>1483</v>
      </c>
      <c r="I28" s="31"/>
      <c r="J28" s="31"/>
      <c r="K28" s="31"/>
      <c r="L28" s="32" t="str">
        <f>VLOOKUP(D28,'Active Employees'!$B$2:$B$498,1,false)</f>
        <v>#N/A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</row>
    <row r="29" hidden="1">
      <c r="A29" s="37" t="s">
        <v>1522</v>
      </c>
      <c r="B29" s="31" t="s">
        <v>1547</v>
      </c>
      <c r="C29" s="31" t="s">
        <v>1559</v>
      </c>
      <c r="D29" s="31" t="s">
        <v>1539</v>
      </c>
      <c r="E29" s="31" t="s">
        <v>1540</v>
      </c>
      <c r="F29" s="31" t="s">
        <v>1549</v>
      </c>
      <c r="G29" s="31" t="s">
        <v>1528</v>
      </c>
      <c r="H29" s="32" t="s">
        <v>1483</v>
      </c>
      <c r="I29" s="31"/>
      <c r="J29" s="31"/>
      <c r="K29" s="31"/>
      <c r="L29" s="32" t="str">
        <f>VLOOKUP(D29,'Active Employees'!$B$2:$B$498,1,false)</f>
        <v>#N/A</v>
      </c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</row>
    <row r="30" hidden="1">
      <c r="A30" s="37" t="s">
        <v>1522</v>
      </c>
      <c r="B30" s="31" t="s">
        <v>1523</v>
      </c>
      <c r="C30" s="31" t="s">
        <v>1524</v>
      </c>
      <c r="D30" s="31" t="s">
        <v>1525</v>
      </c>
      <c r="E30" s="31" t="s">
        <v>1526</v>
      </c>
      <c r="F30" s="31" t="s">
        <v>1560</v>
      </c>
      <c r="G30" s="31" t="s">
        <v>1528</v>
      </c>
      <c r="H30" s="31"/>
      <c r="I30" s="31"/>
      <c r="J30" s="31"/>
      <c r="K30" s="31"/>
      <c r="L30" s="32" t="str">
        <f>VLOOKUP(D30,'Active Employees'!$B$2:$B$498,1,false)</f>
        <v>#N/A</v>
      </c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</row>
    <row r="31" hidden="1">
      <c r="A31" s="37" t="s">
        <v>1522</v>
      </c>
      <c r="B31" s="31" t="s">
        <v>1523</v>
      </c>
      <c r="C31" s="31" t="s">
        <v>1524</v>
      </c>
      <c r="D31" s="31" t="s">
        <v>1525</v>
      </c>
      <c r="E31" s="31" t="s">
        <v>1526</v>
      </c>
      <c r="F31" s="31" t="s">
        <v>1561</v>
      </c>
      <c r="G31" s="31" t="s">
        <v>1528</v>
      </c>
      <c r="H31" s="31"/>
      <c r="I31" s="31"/>
      <c r="J31" s="31"/>
      <c r="K31" s="31"/>
      <c r="L31" s="32" t="str">
        <f>VLOOKUP(D31,'Active Employees'!$B$2:$B$498,1,false)</f>
        <v>#N/A</v>
      </c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</row>
    <row r="32" hidden="1">
      <c r="A32" s="37" t="s">
        <v>1522</v>
      </c>
      <c r="B32" s="31" t="s">
        <v>1523</v>
      </c>
      <c r="C32" s="31" t="s">
        <v>1524</v>
      </c>
      <c r="D32" s="31" t="s">
        <v>1525</v>
      </c>
      <c r="E32" s="31" t="s">
        <v>1526</v>
      </c>
      <c r="F32" s="31" t="s">
        <v>1562</v>
      </c>
      <c r="G32" s="31" t="s">
        <v>1528</v>
      </c>
      <c r="H32" s="31"/>
      <c r="I32" s="31"/>
      <c r="J32" s="31"/>
      <c r="K32" s="31"/>
      <c r="L32" s="32" t="str">
        <f>VLOOKUP(D32,'Active Employees'!$B$2:$B$498,1,false)</f>
        <v>#N/A</v>
      </c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</row>
    <row r="33" hidden="1">
      <c r="A33" s="37" t="s">
        <v>1522</v>
      </c>
      <c r="B33" s="31" t="s">
        <v>1523</v>
      </c>
      <c r="C33" s="31" t="s">
        <v>1524</v>
      </c>
      <c r="D33" s="31" t="s">
        <v>1525</v>
      </c>
      <c r="E33" s="31" t="s">
        <v>1526</v>
      </c>
      <c r="F33" s="31" t="s">
        <v>1563</v>
      </c>
      <c r="G33" s="31" t="s">
        <v>1528</v>
      </c>
      <c r="H33" s="31"/>
      <c r="I33" s="31"/>
      <c r="J33" s="31"/>
      <c r="K33" s="31"/>
      <c r="L33" s="32" t="str">
        <f>VLOOKUP(D33,'Active Employees'!$B$2:$B$498,1,false)</f>
        <v>#N/A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</row>
    <row r="34" hidden="1">
      <c r="A34" s="37" t="s">
        <v>1522</v>
      </c>
      <c r="B34" s="31" t="s">
        <v>1547</v>
      </c>
      <c r="C34" s="31" t="s">
        <v>1559</v>
      </c>
      <c r="D34" s="31" t="s">
        <v>1539</v>
      </c>
      <c r="E34" s="31" t="s">
        <v>1540</v>
      </c>
      <c r="F34" s="31" t="s">
        <v>1549</v>
      </c>
      <c r="G34" s="31" t="s">
        <v>1528</v>
      </c>
      <c r="H34" s="32" t="s">
        <v>1483</v>
      </c>
      <c r="I34" s="31"/>
      <c r="J34" s="31"/>
      <c r="K34" s="31"/>
      <c r="L34" s="32" t="str">
        <f>VLOOKUP(D34,'Active Employees'!$B$2:$B$498,1,false)</f>
        <v>#N/A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</row>
    <row r="35" hidden="1">
      <c r="A35" s="37" t="s">
        <v>1522</v>
      </c>
      <c r="B35" s="31" t="s">
        <v>1523</v>
      </c>
      <c r="C35" s="31" t="s">
        <v>1524</v>
      </c>
      <c r="D35" s="31" t="s">
        <v>1525</v>
      </c>
      <c r="E35" s="31" t="s">
        <v>1526</v>
      </c>
      <c r="F35" s="31" t="s">
        <v>1564</v>
      </c>
      <c r="G35" s="31" t="s">
        <v>1528</v>
      </c>
      <c r="H35" s="32" t="s">
        <v>1469</v>
      </c>
      <c r="I35" s="31"/>
      <c r="J35" s="31"/>
      <c r="K35" s="31"/>
      <c r="L35" s="32" t="str">
        <f>VLOOKUP(D35,'Active Employees'!$B$2:$B$498,1,false)</f>
        <v>#N/A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</row>
    <row r="36" hidden="1">
      <c r="A36" s="37" t="s">
        <v>1522</v>
      </c>
      <c r="B36" s="31" t="s">
        <v>1547</v>
      </c>
      <c r="C36" s="31" t="s">
        <v>1565</v>
      </c>
      <c r="D36" s="31" t="s">
        <v>1539</v>
      </c>
      <c r="E36" s="31" t="s">
        <v>1540</v>
      </c>
      <c r="F36" s="31" t="s">
        <v>1549</v>
      </c>
      <c r="G36" s="31" t="s">
        <v>1528</v>
      </c>
      <c r="H36" s="32" t="s">
        <v>1483</v>
      </c>
      <c r="I36" s="31"/>
      <c r="J36" s="31"/>
      <c r="K36" s="31"/>
      <c r="L36" s="32" t="str">
        <f>VLOOKUP(D36,'Active Employees'!$B$2:$B$498,1,false)</f>
        <v>#N/A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</row>
    <row r="37" hidden="1">
      <c r="A37" s="37" t="s">
        <v>1522</v>
      </c>
      <c r="B37" s="31" t="s">
        <v>1547</v>
      </c>
      <c r="C37" s="31" t="s">
        <v>600</v>
      </c>
      <c r="D37" s="31" t="s">
        <v>1539</v>
      </c>
      <c r="E37" s="31" t="s">
        <v>1540</v>
      </c>
      <c r="F37" s="31" t="s">
        <v>1549</v>
      </c>
      <c r="G37" s="31" t="s">
        <v>1528</v>
      </c>
      <c r="H37" s="32" t="s">
        <v>1483</v>
      </c>
      <c r="I37" s="31"/>
      <c r="J37" s="31"/>
      <c r="K37" s="31"/>
      <c r="L37" s="32" t="str">
        <f>VLOOKUP(D37,'Active Employees'!$B$2:$B$498,1,false)</f>
        <v>#N/A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</row>
    <row r="38" hidden="1">
      <c r="A38" s="37" t="s">
        <v>1522</v>
      </c>
      <c r="B38" s="31" t="s">
        <v>1547</v>
      </c>
      <c r="C38" s="31" t="s">
        <v>1566</v>
      </c>
      <c r="D38" s="31" t="s">
        <v>1539</v>
      </c>
      <c r="E38" s="31" t="s">
        <v>1540</v>
      </c>
      <c r="F38" s="31" t="s">
        <v>1549</v>
      </c>
      <c r="G38" s="31" t="s">
        <v>1528</v>
      </c>
      <c r="H38" s="32" t="s">
        <v>1483</v>
      </c>
      <c r="I38" s="31"/>
      <c r="J38" s="31"/>
      <c r="K38" s="31"/>
      <c r="L38" s="32" t="str">
        <f>VLOOKUP(D38,'Active Employees'!$B$2:$B$498,1,false)</f>
        <v>#N/A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</row>
    <row r="39" hidden="1">
      <c r="A39" s="37" t="s">
        <v>1522</v>
      </c>
      <c r="B39" s="31" t="s">
        <v>1547</v>
      </c>
      <c r="C39" s="31" t="s">
        <v>1567</v>
      </c>
      <c r="D39" s="31" t="s">
        <v>1539</v>
      </c>
      <c r="E39" s="31" t="s">
        <v>1540</v>
      </c>
      <c r="F39" s="31" t="s">
        <v>1549</v>
      </c>
      <c r="G39" s="31" t="s">
        <v>1528</v>
      </c>
      <c r="H39" s="32" t="s">
        <v>1483</v>
      </c>
      <c r="I39" s="31"/>
      <c r="J39" s="31"/>
      <c r="K39" s="31"/>
      <c r="L39" s="32" t="str">
        <f>VLOOKUP(D39,'Active Employees'!$B$2:$B$498,1,false)</f>
        <v>#N/A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</row>
    <row r="40" hidden="1">
      <c r="A40" s="37" t="s">
        <v>1522</v>
      </c>
      <c r="B40" s="31" t="s">
        <v>1568</v>
      </c>
      <c r="C40" s="31" t="s">
        <v>1569</v>
      </c>
      <c r="D40" s="31" t="s">
        <v>1539</v>
      </c>
      <c r="E40" s="31" t="s">
        <v>1540</v>
      </c>
      <c r="F40" s="31" t="s">
        <v>1549</v>
      </c>
      <c r="G40" s="31" t="s">
        <v>1528</v>
      </c>
      <c r="H40" s="32" t="s">
        <v>1483</v>
      </c>
      <c r="I40" s="31"/>
      <c r="J40" s="31"/>
      <c r="K40" s="31"/>
      <c r="L40" s="32" t="str">
        <f>VLOOKUP(D40,'Active Employees'!$B$2:$B$498,1,false)</f>
        <v>#N/A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</row>
    <row r="41" hidden="1">
      <c r="A41" s="37" t="s">
        <v>1570</v>
      </c>
      <c r="B41" s="31" t="s">
        <v>1523</v>
      </c>
      <c r="C41" s="31" t="s">
        <v>1524</v>
      </c>
      <c r="D41" s="31" t="s">
        <v>1571</v>
      </c>
      <c r="E41" s="31" t="s">
        <v>1540</v>
      </c>
      <c r="F41" s="31" t="s">
        <v>1541</v>
      </c>
      <c r="G41" s="31" t="s">
        <v>1528</v>
      </c>
      <c r="H41" s="32" t="s">
        <v>1483</v>
      </c>
      <c r="I41" s="31"/>
      <c r="J41" s="31"/>
      <c r="K41" s="31"/>
      <c r="L41" s="32" t="str">
        <f>VLOOKUP(D41,'Active Employees'!$B$2:$B$498,1,false)</f>
        <v>#N/A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</row>
    <row r="42" hidden="1">
      <c r="A42" s="37" t="s">
        <v>1522</v>
      </c>
      <c r="B42" s="31" t="s">
        <v>1523</v>
      </c>
      <c r="C42" s="31" t="s">
        <v>1524</v>
      </c>
      <c r="D42" s="31" t="s">
        <v>1525</v>
      </c>
      <c r="E42" s="31" t="s">
        <v>1526</v>
      </c>
      <c r="F42" s="31" t="s">
        <v>1572</v>
      </c>
      <c r="G42" s="31" t="s">
        <v>1528</v>
      </c>
      <c r="H42" s="32" t="s">
        <v>1469</v>
      </c>
      <c r="I42" s="31"/>
      <c r="J42" s="31"/>
      <c r="K42" s="31"/>
      <c r="L42" s="32" t="str">
        <f>VLOOKUP(D42,'Active Employees'!$B$2:$B$498,1,false)</f>
        <v>#N/A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</row>
    <row r="43" hidden="1">
      <c r="A43" s="37" t="s">
        <v>1522</v>
      </c>
      <c r="B43" s="31" t="s">
        <v>1523</v>
      </c>
      <c r="C43" s="31" t="s">
        <v>1524</v>
      </c>
      <c r="D43" s="31" t="s">
        <v>1525</v>
      </c>
      <c r="E43" s="31" t="s">
        <v>1526</v>
      </c>
      <c r="F43" s="31" t="s">
        <v>1573</v>
      </c>
      <c r="G43" s="31" t="s">
        <v>1528</v>
      </c>
      <c r="H43" s="32" t="s">
        <v>1469</v>
      </c>
      <c r="I43" s="31"/>
      <c r="J43" s="31"/>
      <c r="K43" s="31"/>
      <c r="L43" s="32" t="str">
        <f>VLOOKUP(D43,'Active Employees'!$B$2:$B$498,1,false)</f>
        <v>#N/A</v>
      </c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</row>
    <row r="44" hidden="1">
      <c r="A44" s="37" t="s">
        <v>1522</v>
      </c>
      <c r="B44" s="31" t="s">
        <v>1523</v>
      </c>
      <c r="C44" s="31" t="s">
        <v>1524</v>
      </c>
      <c r="D44" s="31" t="s">
        <v>1525</v>
      </c>
      <c r="E44" s="31" t="s">
        <v>1526</v>
      </c>
      <c r="F44" s="31" t="s">
        <v>1574</v>
      </c>
      <c r="G44" s="31" t="s">
        <v>1528</v>
      </c>
      <c r="H44" s="32" t="s">
        <v>1469</v>
      </c>
      <c r="I44" s="31"/>
      <c r="J44" s="31"/>
      <c r="K44" s="31"/>
      <c r="L44" s="32" t="str">
        <f>VLOOKUP(D44,'Active Employees'!$B$2:$B$498,1,false)</f>
        <v>#N/A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</row>
    <row r="45" hidden="1">
      <c r="A45" s="37" t="s">
        <v>1522</v>
      </c>
      <c r="B45" s="31" t="s">
        <v>1523</v>
      </c>
      <c r="C45" s="31" t="s">
        <v>1524</v>
      </c>
      <c r="D45" s="31" t="s">
        <v>1525</v>
      </c>
      <c r="E45" s="31" t="s">
        <v>1526</v>
      </c>
      <c r="F45" s="31" t="s">
        <v>1575</v>
      </c>
      <c r="G45" s="31" t="s">
        <v>1528</v>
      </c>
      <c r="H45" s="32" t="s">
        <v>1469</v>
      </c>
      <c r="I45" s="31"/>
      <c r="J45" s="31"/>
      <c r="K45" s="31"/>
      <c r="L45" s="32" t="str">
        <f>VLOOKUP(D45,'Active Employees'!$B$2:$B$498,1,false)</f>
        <v>#N/A</v>
      </c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</row>
    <row r="46" hidden="1">
      <c r="A46" s="37" t="s">
        <v>1570</v>
      </c>
      <c r="B46" s="31" t="s">
        <v>1547</v>
      </c>
      <c r="C46" s="31" t="s">
        <v>1576</v>
      </c>
      <c r="D46" s="31" t="s">
        <v>1571</v>
      </c>
      <c r="E46" s="31" t="s">
        <v>1540</v>
      </c>
      <c r="F46" s="31" t="s">
        <v>1549</v>
      </c>
      <c r="G46" s="31" t="s">
        <v>1528</v>
      </c>
      <c r="H46" s="32" t="s">
        <v>1483</v>
      </c>
      <c r="I46" s="31"/>
      <c r="J46" s="31"/>
      <c r="K46" s="31"/>
      <c r="L46" s="32" t="str">
        <f>VLOOKUP(D46,'Active Employees'!$B$2:$B$498,1,false)</f>
        <v>#N/A</v>
      </c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</row>
    <row r="47" hidden="1">
      <c r="A47" s="37" t="s">
        <v>1570</v>
      </c>
      <c r="B47" s="31" t="s">
        <v>1547</v>
      </c>
      <c r="C47" s="31" t="s">
        <v>1577</v>
      </c>
      <c r="D47" s="31" t="s">
        <v>1571</v>
      </c>
      <c r="E47" s="31" t="s">
        <v>1540</v>
      </c>
      <c r="F47" s="31" t="s">
        <v>1549</v>
      </c>
      <c r="G47" s="31" t="s">
        <v>1528</v>
      </c>
      <c r="H47" s="32" t="s">
        <v>1483</v>
      </c>
      <c r="I47" s="31"/>
      <c r="J47" s="31"/>
      <c r="K47" s="31"/>
      <c r="L47" s="32" t="str">
        <f>VLOOKUP(D47,'Active Employees'!$B$2:$B$498,1,false)</f>
        <v>#N/A</v>
      </c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</row>
    <row r="48" hidden="1">
      <c r="A48" s="37" t="s">
        <v>1570</v>
      </c>
      <c r="B48" s="31" t="s">
        <v>1547</v>
      </c>
      <c r="C48" s="31" t="s">
        <v>1578</v>
      </c>
      <c r="D48" s="31" t="s">
        <v>1571</v>
      </c>
      <c r="E48" s="31" t="s">
        <v>1540</v>
      </c>
      <c r="F48" s="31" t="s">
        <v>1549</v>
      </c>
      <c r="G48" s="31" t="s">
        <v>1528</v>
      </c>
      <c r="H48" s="32" t="s">
        <v>1483</v>
      </c>
      <c r="I48" s="31"/>
      <c r="J48" s="31"/>
      <c r="K48" s="31"/>
      <c r="L48" s="32" t="str">
        <f>VLOOKUP(D48,'Active Employees'!$B$2:$B$498,1,false)</f>
        <v>#N/A</v>
      </c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hidden="1">
      <c r="A49" s="37" t="s">
        <v>1570</v>
      </c>
      <c r="B49" s="31" t="s">
        <v>1547</v>
      </c>
      <c r="C49" s="31" t="s">
        <v>1579</v>
      </c>
      <c r="D49" s="31" t="s">
        <v>1571</v>
      </c>
      <c r="E49" s="31" t="s">
        <v>1540</v>
      </c>
      <c r="F49" s="31" t="s">
        <v>1549</v>
      </c>
      <c r="G49" s="31" t="s">
        <v>1528</v>
      </c>
      <c r="H49" s="32" t="s">
        <v>1483</v>
      </c>
      <c r="I49" s="31"/>
      <c r="J49" s="31"/>
      <c r="K49" s="31"/>
      <c r="L49" s="32" t="str">
        <f>VLOOKUP(D49,'Active Employees'!$B$2:$B$498,1,false)</f>
        <v>#N/A</v>
      </c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hidden="1">
      <c r="A50" s="37" t="s">
        <v>1522</v>
      </c>
      <c r="B50" s="31" t="s">
        <v>1523</v>
      </c>
      <c r="C50" s="31" t="s">
        <v>1524</v>
      </c>
      <c r="D50" s="31" t="s">
        <v>1525</v>
      </c>
      <c r="E50" s="31" t="s">
        <v>1526</v>
      </c>
      <c r="F50" s="31" t="s">
        <v>1580</v>
      </c>
      <c r="G50" s="31" t="s">
        <v>1528</v>
      </c>
      <c r="H50" s="32" t="s">
        <v>1469</v>
      </c>
      <c r="I50" s="31"/>
      <c r="J50" s="31"/>
      <c r="K50" s="31"/>
      <c r="L50" s="32" t="str">
        <f>VLOOKUP(D50,'Active Employees'!$B$2:$B$498,1,false)</f>
        <v>#N/A</v>
      </c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</row>
    <row r="51" hidden="1">
      <c r="A51" s="37" t="s">
        <v>1522</v>
      </c>
      <c r="B51" s="31" t="s">
        <v>1523</v>
      </c>
      <c r="C51" s="31" t="s">
        <v>1524</v>
      </c>
      <c r="D51" s="31" t="s">
        <v>1525</v>
      </c>
      <c r="E51" s="31" t="s">
        <v>1526</v>
      </c>
      <c r="F51" s="31" t="s">
        <v>1581</v>
      </c>
      <c r="G51" s="31" t="s">
        <v>1528</v>
      </c>
      <c r="H51" s="32" t="s">
        <v>1469</v>
      </c>
      <c r="I51" s="31"/>
      <c r="J51" s="31"/>
      <c r="K51" s="31"/>
      <c r="L51" s="32" t="str">
        <f>VLOOKUP(D51,'Active Employees'!$B$2:$B$498,1,false)</f>
        <v>#N/A</v>
      </c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</row>
    <row r="52" hidden="1">
      <c r="A52" s="37" t="s">
        <v>1522</v>
      </c>
      <c r="B52" s="31" t="s">
        <v>1523</v>
      </c>
      <c r="C52" s="31" t="s">
        <v>1524</v>
      </c>
      <c r="D52" s="31" t="s">
        <v>1525</v>
      </c>
      <c r="E52" s="31" t="s">
        <v>1526</v>
      </c>
      <c r="F52" s="31" t="s">
        <v>1582</v>
      </c>
      <c r="G52" s="31" t="s">
        <v>1528</v>
      </c>
      <c r="H52" s="32" t="s">
        <v>1469</v>
      </c>
      <c r="I52" s="31"/>
      <c r="J52" s="31"/>
      <c r="K52" s="31"/>
      <c r="L52" s="32" t="str">
        <f>VLOOKUP(D52,'Active Employees'!$B$2:$B$498,1,false)</f>
        <v>#N/A</v>
      </c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hidden="1">
      <c r="A53" s="37" t="s">
        <v>1522</v>
      </c>
      <c r="B53" s="31" t="s">
        <v>1523</v>
      </c>
      <c r="C53" s="31" t="s">
        <v>1524</v>
      </c>
      <c r="D53" s="31" t="s">
        <v>1525</v>
      </c>
      <c r="E53" s="31" t="s">
        <v>1526</v>
      </c>
      <c r="F53" s="31" t="s">
        <v>1583</v>
      </c>
      <c r="G53" s="31" t="s">
        <v>1528</v>
      </c>
      <c r="H53" s="32" t="s">
        <v>1469</v>
      </c>
      <c r="I53" s="31"/>
      <c r="J53" s="31"/>
      <c r="K53" s="31"/>
      <c r="L53" s="32" t="str">
        <f>VLOOKUP(D53,'Active Employees'!$B$2:$B$498,1,false)</f>
        <v>#N/A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hidden="1">
      <c r="A54" s="37" t="s">
        <v>1570</v>
      </c>
      <c r="B54" s="31" t="s">
        <v>1547</v>
      </c>
      <c r="C54" s="31" t="s">
        <v>1584</v>
      </c>
      <c r="D54" s="31" t="s">
        <v>1571</v>
      </c>
      <c r="E54" s="31" t="s">
        <v>1540</v>
      </c>
      <c r="F54" s="31" t="s">
        <v>1549</v>
      </c>
      <c r="G54" s="31" t="s">
        <v>1528</v>
      </c>
      <c r="H54" s="32" t="s">
        <v>1483</v>
      </c>
      <c r="I54" s="31"/>
      <c r="J54" s="31"/>
      <c r="K54" s="31"/>
      <c r="L54" s="32" t="str">
        <f>VLOOKUP(D54,'Active Employees'!$B$2:$B$498,1,false)</f>
        <v>#N/A</v>
      </c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hidden="1">
      <c r="A55" s="37" t="s">
        <v>1522</v>
      </c>
      <c r="B55" s="31" t="s">
        <v>1523</v>
      </c>
      <c r="C55" s="31" t="s">
        <v>1524</v>
      </c>
      <c r="D55" s="31" t="s">
        <v>1525</v>
      </c>
      <c r="E55" s="31" t="s">
        <v>1526</v>
      </c>
      <c r="F55" s="31" t="s">
        <v>1585</v>
      </c>
      <c r="G55" s="31" t="s">
        <v>1528</v>
      </c>
      <c r="H55" s="32" t="s">
        <v>1469</v>
      </c>
      <c r="I55" s="31"/>
      <c r="J55" s="31"/>
      <c r="K55" s="31"/>
      <c r="L55" s="32" t="str">
        <f>VLOOKUP(D55,'Active Employees'!$B$2:$B$498,1,false)</f>
        <v>#N/A</v>
      </c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</row>
    <row r="56" hidden="1">
      <c r="A56" s="37" t="s">
        <v>1522</v>
      </c>
      <c r="B56" s="31" t="s">
        <v>1523</v>
      </c>
      <c r="C56" s="31" t="s">
        <v>1524</v>
      </c>
      <c r="D56" s="31" t="s">
        <v>1525</v>
      </c>
      <c r="E56" s="31" t="s">
        <v>1526</v>
      </c>
      <c r="F56" s="31" t="s">
        <v>1586</v>
      </c>
      <c r="G56" s="31" t="s">
        <v>1528</v>
      </c>
      <c r="H56" s="32" t="s">
        <v>1469</v>
      </c>
      <c r="I56" s="31"/>
      <c r="J56" s="31"/>
      <c r="K56" s="31"/>
      <c r="L56" s="32" t="str">
        <f>VLOOKUP(D56,'Active Employees'!$B$2:$B$498,1,false)</f>
        <v>#N/A</v>
      </c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</row>
    <row r="57" hidden="1">
      <c r="A57" s="37" t="s">
        <v>1522</v>
      </c>
      <c r="B57" s="31" t="s">
        <v>1523</v>
      </c>
      <c r="C57" s="31" t="s">
        <v>1524</v>
      </c>
      <c r="D57" s="31" t="s">
        <v>1525</v>
      </c>
      <c r="E57" s="31" t="s">
        <v>1526</v>
      </c>
      <c r="F57" s="31" t="s">
        <v>1587</v>
      </c>
      <c r="G57" s="31" t="s">
        <v>1528</v>
      </c>
      <c r="H57" s="32" t="s">
        <v>1469</v>
      </c>
      <c r="I57" s="31"/>
      <c r="J57" s="31"/>
      <c r="K57" s="31"/>
      <c r="L57" s="32" t="str">
        <f>VLOOKUP(D57,'Active Employees'!$B$2:$B$498,1,false)</f>
        <v>#N/A</v>
      </c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hidden="1">
      <c r="A58" s="37" t="s">
        <v>1570</v>
      </c>
      <c r="B58" s="31" t="s">
        <v>1547</v>
      </c>
      <c r="C58" s="31" t="s">
        <v>1588</v>
      </c>
      <c r="D58" s="31" t="s">
        <v>1571</v>
      </c>
      <c r="E58" s="31" t="s">
        <v>1540</v>
      </c>
      <c r="F58" s="31" t="s">
        <v>1549</v>
      </c>
      <c r="G58" s="31" t="s">
        <v>1528</v>
      </c>
      <c r="H58" s="32" t="s">
        <v>1483</v>
      </c>
      <c r="I58" s="31"/>
      <c r="J58" s="31"/>
      <c r="K58" s="31"/>
      <c r="L58" s="32" t="str">
        <f>VLOOKUP(D58,'Active Employees'!$B$2:$B$498,1,false)</f>
        <v>#N/A</v>
      </c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hidden="1">
      <c r="A59" s="37" t="s">
        <v>1570</v>
      </c>
      <c r="B59" s="31" t="s">
        <v>1547</v>
      </c>
      <c r="C59" s="31" t="s">
        <v>1589</v>
      </c>
      <c r="D59" s="31" t="s">
        <v>1571</v>
      </c>
      <c r="E59" s="31" t="s">
        <v>1540</v>
      </c>
      <c r="F59" s="31" t="s">
        <v>1549</v>
      </c>
      <c r="G59" s="31" t="s">
        <v>1528</v>
      </c>
      <c r="H59" s="32" t="s">
        <v>1483</v>
      </c>
      <c r="I59" s="31"/>
      <c r="J59" s="31"/>
      <c r="K59" s="31"/>
      <c r="L59" s="32" t="str">
        <f>VLOOKUP(D59,'Active Employees'!$B$2:$B$498,1,false)</f>
        <v>#N/A</v>
      </c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hidden="1">
      <c r="A60" s="37" t="s">
        <v>1522</v>
      </c>
      <c r="B60" s="31" t="s">
        <v>1523</v>
      </c>
      <c r="C60" s="31" t="s">
        <v>1524</v>
      </c>
      <c r="D60" s="31" t="s">
        <v>1525</v>
      </c>
      <c r="E60" s="31" t="s">
        <v>1526</v>
      </c>
      <c r="F60" s="31" t="s">
        <v>1541</v>
      </c>
      <c r="G60" s="31" t="s">
        <v>1528</v>
      </c>
      <c r="H60" s="32" t="s">
        <v>1469</v>
      </c>
      <c r="I60" s="31"/>
      <c r="J60" s="31"/>
      <c r="K60" s="31"/>
      <c r="L60" s="32" t="str">
        <f>VLOOKUP(D60,'Active Employees'!$B$2:$B$498,1,false)</f>
        <v>#N/A</v>
      </c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hidden="1">
      <c r="A61" s="37" t="s">
        <v>1570</v>
      </c>
      <c r="B61" s="31" t="s">
        <v>1547</v>
      </c>
      <c r="C61" s="31" t="s">
        <v>1590</v>
      </c>
      <c r="D61" s="31" t="s">
        <v>1571</v>
      </c>
      <c r="E61" s="31" t="s">
        <v>1540</v>
      </c>
      <c r="F61" s="31" t="s">
        <v>1549</v>
      </c>
      <c r="G61" s="31" t="s">
        <v>1528</v>
      </c>
      <c r="H61" s="32" t="s">
        <v>1483</v>
      </c>
      <c r="I61" s="31"/>
      <c r="J61" s="31"/>
      <c r="K61" s="31"/>
      <c r="L61" s="32" t="str">
        <f>VLOOKUP(D61,'Active Employees'!$B$2:$B$498,1,false)</f>
        <v>#N/A</v>
      </c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</row>
    <row r="62" hidden="1">
      <c r="A62" s="37" t="s">
        <v>1570</v>
      </c>
      <c r="B62" s="31" t="s">
        <v>1547</v>
      </c>
      <c r="C62" s="31" t="s">
        <v>1591</v>
      </c>
      <c r="D62" s="31" t="s">
        <v>1571</v>
      </c>
      <c r="E62" s="31" t="s">
        <v>1540</v>
      </c>
      <c r="F62" s="31" t="s">
        <v>1549</v>
      </c>
      <c r="G62" s="31" t="s">
        <v>1528</v>
      </c>
      <c r="H62" s="32" t="s">
        <v>1483</v>
      </c>
      <c r="I62" s="31"/>
      <c r="J62" s="31"/>
      <c r="K62" s="31"/>
      <c r="L62" s="32" t="str">
        <f>VLOOKUP(D62,'Active Employees'!$B$2:$B$498,1,false)</f>
        <v>#N/A</v>
      </c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</row>
    <row r="63" hidden="1">
      <c r="A63" s="37" t="s">
        <v>1570</v>
      </c>
      <c r="B63" s="31" t="s">
        <v>1547</v>
      </c>
      <c r="C63" s="31" t="s">
        <v>1592</v>
      </c>
      <c r="D63" s="31" t="s">
        <v>1571</v>
      </c>
      <c r="E63" s="31" t="s">
        <v>1540</v>
      </c>
      <c r="F63" s="31" t="s">
        <v>1549</v>
      </c>
      <c r="G63" s="31" t="s">
        <v>1528</v>
      </c>
      <c r="H63" s="32" t="s">
        <v>1483</v>
      </c>
      <c r="I63" s="31"/>
      <c r="J63" s="31"/>
      <c r="K63" s="31"/>
      <c r="L63" s="32" t="str">
        <f>VLOOKUP(D63,'Active Employees'!$B$2:$B$498,1,false)</f>
        <v>#N/A</v>
      </c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</row>
    <row r="64" hidden="1">
      <c r="A64" s="37" t="s">
        <v>1570</v>
      </c>
      <c r="B64" s="31" t="s">
        <v>1547</v>
      </c>
      <c r="C64" s="31" t="s">
        <v>600</v>
      </c>
      <c r="D64" s="31" t="s">
        <v>1571</v>
      </c>
      <c r="E64" s="31" t="s">
        <v>1540</v>
      </c>
      <c r="F64" s="31" t="s">
        <v>1549</v>
      </c>
      <c r="G64" s="31" t="s">
        <v>1528</v>
      </c>
      <c r="H64" s="32" t="s">
        <v>1483</v>
      </c>
      <c r="I64" s="31"/>
      <c r="J64" s="31"/>
      <c r="K64" s="31"/>
      <c r="L64" s="32" t="str">
        <f>VLOOKUP(D64,'Active Employees'!$B$2:$B$498,1,false)</f>
        <v>#N/A</v>
      </c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</row>
    <row r="65" hidden="1">
      <c r="A65" s="37" t="s">
        <v>1570</v>
      </c>
      <c r="B65" s="31" t="s">
        <v>1547</v>
      </c>
      <c r="C65" s="31" t="s">
        <v>1593</v>
      </c>
      <c r="D65" s="31" t="s">
        <v>1571</v>
      </c>
      <c r="E65" s="31" t="s">
        <v>1540</v>
      </c>
      <c r="F65" s="31" t="s">
        <v>1549</v>
      </c>
      <c r="G65" s="31" t="s">
        <v>1528</v>
      </c>
      <c r="H65" s="32" t="s">
        <v>1483</v>
      </c>
      <c r="I65" s="31"/>
      <c r="J65" s="31"/>
      <c r="K65" s="31"/>
      <c r="L65" s="32" t="str">
        <f>VLOOKUP(D65,'Active Employees'!$B$2:$B$498,1,false)</f>
        <v>#N/A</v>
      </c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</row>
    <row r="66" hidden="1">
      <c r="A66" s="37" t="s">
        <v>1570</v>
      </c>
      <c r="B66" s="31" t="s">
        <v>1547</v>
      </c>
      <c r="C66" s="31" t="s">
        <v>1594</v>
      </c>
      <c r="D66" s="31" t="s">
        <v>1571</v>
      </c>
      <c r="E66" s="31" t="s">
        <v>1540</v>
      </c>
      <c r="F66" s="31" t="s">
        <v>1549</v>
      </c>
      <c r="G66" s="31" t="s">
        <v>1528</v>
      </c>
      <c r="H66" s="32" t="s">
        <v>1483</v>
      </c>
      <c r="I66" s="31"/>
      <c r="J66" s="31"/>
      <c r="K66" s="31"/>
      <c r="L66" s="32" t="str">
        <f>VLOOKUP(D66,'Active Employees'!$B$2:$B$498,1,false)</f>
        <v>#N/A</v>
      </c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</row>
    <row r="67" hidden="1">
      <c r="A67" s="37" t="s">
        <v>1570</v>
      </c>
      <c r="B67" s="31" t="s">
        <v>1568</v>
      </c>
      <c r="C67" s="31" t="s">
        <v>1569</v>
      </c>
      <c r="D67" s="31" t="s">
        <v>1571</v>
      </c>
      <c r="E67" s="31" t="s">
        <v>1540</v>
      </c>
      <c r="F67" s="31" t="s">
        <v>1549</v>
      </c>
      <c r="G67" s="31" t="s">
        <v>1528</v>
      </c>
      <c r="H67" s="32" t="s">
        <v>1483</v>
      </c>
      <c r="I67" s="31"/>
      <c r="J67" s="31"/>
      <c r="K67" s="31"/>
      <c r="L67" s="32" t="str">
        <f>VLOOKUP(D67,'Active Employees'!$B$2:$B$498,1,false)</f>
        <v>#N/A</v>
      </c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</row>
    <row r="68" hidden="1">
      <c r="A68" s="37" t="s">
        <v>1570</v>
      </c>
      <c r="B68" s="31" t="s">
        <v>1568</v>
      </c>
      <c r="C68" s="31" t="s">
        <v>1595</v>
      </c>
      <c r="D68" s="31" t="s">
        <v>1571</v>
      </c>
      <c r="E68" s="31" t="s">
        <v>1540</v>
      </c>
      <c r="F68" s="31" t="s">
        <v>1549</v>
      </c>
      <c r="G68" s="31" t="s">
        <v>1528</v>
      </c>
      <c r="H68" s="32" t="s">
        <v>1483</v>
      </c>
      <c r="I68" s="31"/>
      <c r="J68" s="31"/>
      <c r="K68" s="31"/>
      <c r="L68" s="32" t="str">
        <f>VLOOKUP(D68,'Active Employees'!$B$2:$B$498,1,false)</f>
        <v>#N/A</v>
      </c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</row>
    <row r="69" hidden="1">
      <c r="A69" s="37" t="s">
        <v>1522</v>
      </c>
      <c r="B69" s="31" t="s">
        <v>1523</v>
      </c>
      <c r="C69" s="31" t="s">
        <v>1524</v>
      </c>
      <c r="D69" s="31" t="s">
        <v>1596</v>
      </c>
      <c r="E69" s="31" t="s">
        <v>1597</v>
      </c>
      <c r="F69" s="31" t="s">
        <v>1538</v>
      </c>
      <c r="G69" s="31" t="s">
        <v>1528</v>
      </c>
      <c r="H69" s="32" t="s">
        <v>1483</v>
      </c>
      <c r="I69" s="31"/>
      <c r="J69" s="31"/>
      <c r="K69" s="31"/>
      <c r="L69" s="32" t="str">
        <f>VLOOKUP(D69,'Active Employees'!$B$2:$B$498,1,false)</f>
        <v>#N/A</v>
      </c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</row>
    <row r="70" hidden="1">
      <c r="A70" s="37" t="s">
        <v>1522</v>
      </c>
      <c r="B70" s="31" t="s">
        <v>1523</v>
      </c>
      <c r="C70" s="31" t="s">
        <v>1524</v>
      </c>
      <c r="D70" s="31" t="s">
        <v>1596</v>
      </c>
      <c r="E70" s="31" t="s">
        <v>1597</v>
      </c>
      <c r="F70" s="31" t="s">
        <v>1557</v>
      </c>
      <c r="G70" s="31" t="s">
        <v>1528</v>
      </c>
      <c r="H70" s="32" t="s">
        <v>1483</v>
      </c>
      <c r="I70" s="31"/>
      <c r="J70" s="31"/>
      <c r="K70" s="31"/>
      <c r="L70" s="32" t="str">
        <f>VLOOKUP(D70,'Active Employees'!$B$2:$B$498,1,false)</f>
        <v>#N/A</v>
      </c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</row>
    <row r="71" hidden="1">
      <c r="A71" s="37" t="s">
        <v>1522</v>
      </c>
      <c r="B71" s="31" t="s">
        <v>1523</v>
      </c>
      <c r="C71" s="31" t="s">
        <v>1524</v>
      </c>
      <c r="D71" s="31" t="s">
        <v>1596</v>
      </c>
      <c r="E71" s="31" t="s">
        <v>1597</v>
      </c>
      <c r="F71" s="31" t="s">
        <v>1575</v>
      </c>
      <c r="G71" s="31" t="s">
        <v>1528</v>
      </c>
      <c r="H71" s="32" t="s">
        <v>1483</v>
      </c>
      <c r="I71" s="31"/>
      <c r="J71" s="31"/>
      <c r="K71" s="31"/>
      <c r="L71" s="32" t="str">
        <f>VLOOKUP(D71,'Active Employees'!$B$2:$B$498,1,false)</f>
        <v>#N/A</v>
      </c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</row>
    <row r="72" hidden="1">
      <c r="A72" s="37" t="s">
        <v>1522</v>
      </c>
      <c r="B72" s="31" t="s">
        <v>1523</v>
      </c>
      <c r="C72" s="31" t="s">
        <v>1524</v>
      </c>
      <c r="D72" s="31" t="s">
        <v>1596</v>
      </c>
      <c r="E72" s="31" t="s">
        <v>1597</v>
      </c>
      <c r="F72" s="31" t="s">
        <v>1541</v>
      </c>
      <c r="G72" s="31" t="s">
        <v>1528</v>
      </c>
      <c r="H72" s="32" t="s">
        <v>1483</v>
      </c>
      <c r="I72" s="31"/>
      <c r="J72" s="31"/>
      <c r="K72" s="31"/>
      <c r="L72" s="32" t="str">
        <f>VLOOKUP(D72,'Active Employees'!$B$2:$B$498,1,false)</f>
        <v>#N/A</v>
      </c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hidden="1">
      <c r="A73" s="37" t="s">
        <v>1522</v>
      </c>
      <c r="B73" s="31" t="s">
        <v>1523</v>
      </c>
      <c r="C73" s="31" t="s">
        <v>1524</v>
      </c>
      <c r="D73" s="31" t="s">
        <v>1525</v>
      </c>
      <c r="E73" s="31" t="s">
        <v>1526</v>
      </c>
      <c r="F73" s="31" t="s">
        <v>1598</v>
      </c>
      <c r="G73" s="31" t="s">
        <v>1528</v>
      </c>
      <c r="H73" s="32" t="s">
        <v>1469</v>
      </c>
      <c r="I73" s="31"/>
      <c r="J73" s="31"/>
      <c r="K73" s="31"/>
      <c r="L73" s="32" t="str">
        <f>VLOOKUP(D73,'Active Employees'!$B$2:$B$498,1,false)</f>
        <v>#N/A</v>
      </c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hidden="1">
      <c r="A74" s="37" t="s">
        <v>1522</v>
      </c>
      <c r="B74" s="31" t="s">
        <v>1523</v>
      </c>
      <c r="C74" s="31" t="s">
        <v>1524</v>
      </c>
      <c r="D74" s="31" t="s">
        <v>1525</v>
      </c>
      <c r="E74" s="31" t="s">
        <v>1526</v>
      </c>
      <c r="F74" s="31" t="s">
        <v>1599</v>
      </c>
      <c r="G74" s="31" t="s">
        <v>1528</v>
      </c>
      <c r="H74" s="32" t="s">
        <v>1469</v>
      </c>
      <c r="I74" s="31"/>
      <c r="J74" s="31"/>
      <c r="K74" s="31"/>
      <c r="L74" s="32" t="str">
        <f>VLOOKUP(D74,'Active Employees'!$B$2:$B$498,1,false)</f>
        <v>#N/A</v>
      </c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</row>
    <row r="75" hidden="1">
      <c r="A75" s="37" t="s">
        <v>1522</v>
      </c>
      <c r="B75" s="31" t="s">
        <v>1523</v>
      </c>
      <c r="C75" s="31" t="s">
        <v>1524</v>
      </c>
      <c r="D75" s="31" t="s">
        <v>1596</v>
      </c>
      <c r="E75" s="31" t="s">
        <v>1597</v>
      </c>
      <c r="F75" s="31" t="s">
        <v>1599</v>
      </c>
      <c r="G75" s="31" t="s">
        <v>1528</v>
      </c>
      <c r="H75" s="32" t="s">
        <v>1483</v>
      </c>
      <c r="I75" s="31"/>
      <c r="J75" s="31"/>
      <c r="K75" s="31"/>
      <c r="L75" s="32" t="str">
        <f>VLOOKUP(D75,'Active Employees'!$B$2:$B$498,1,false)</f>
        <v>#N/A</v>
      </c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</row>
    <row r="76" hidden="1">
      <c r="A76" s="37" t="s">
        <v>1522</v>
      </c>
      <c r="B76" s="31" t="s">
        <v>1523</v>
      </c>
      <c r="C76" s="31" t="s">
        <v>1524</v>
      </c>
      <c r="D76" s="31" t="s">
        <v>1596</v>
      </c>
      <c r="E76" s="31" t="s">
        <v>1597</v>
      </c>
      <c r="F76" s="31" t="s">
        <v>1600</v>
      </c>
      <c r="G76" s="31" t="s">
        <v>1528</v>
      </c>
      <c r="H76" s="32" t="s">
        <v>1483</v>
      </c>
      <c r="I76" s="31"/>
      <c r="J76" s="31"/>
      <c r="K76" s="31"/>
      <c r="L76" s="32" t="str">
        <f>VLOOKUP(D76,'Active Employees'!$B$2:$B$498,1,false)</f>
        <v>#N/A</v>
      </c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</row>
    <row r="77" hidden="1">
      <c r="A77" s="37" t="s">
        <v>1522</v>
      </c>
      <c r="B77" s="31" t="s">
        <v>1523</v>
      </c>
      <c r="C77" s="31" t="s">
        <v>1524</v>
      </c>
      <c r="D77" s="31" t="s">
        <v>1525</v>
      </c>
      <c r="E77" s="31" t="s">
        <v>1526</v>
      </c>
      <c r="F77" s="31" t="s">
        <v>1601</v>
      </c>
      <c r="G77" s="31" t="s">
        <v>1528</v>
      </c>
      <c r="H77" s="32" t="s">
        <v>1469</v>
      </c>
      <c r="I77" s="31"/>
      <c r="J77" s="31"/>
      <c r="K77" s="31"/>
      <c r="L77" s="32" t="str">
        <f>VLOOKUP(D77,'Active Employees'!$B$2:$B$498,1,false)</f>
        <v>#N/A</v>
      </c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</row>
    <row r="78" hidden="1">
      <c r="A78" s="37" t="s">
        <v>1522</v>
      </c>
      <c r="B78" s="31" t="s">
        <v>1523</v>
      </c>
      <c r="C78" s="31" t="s">
        <v>1524</v>
      </c>
      <c r="D78" s="31" t="s">
        <v>1525</v>
      </c>
      <c r="E78" s="31" t="s">
        <v>1526</v>
      </c>
      <c r="F78" s="31" t="s">
        <v>1602</v>
      </c>
      <c r="G78" s="31" t="s">
        <v>1528</v>
      </c>
      <c r="H78" s="32" t="s">
        <v>1469</v>
      </c>
      <c r="I78" s="31"/>
      <c r="J78" s="31"/>
      <c r="K78" s="31"/>
      <c r="L78" s="32" t="str">
        <f>VLOOKUP(D78,'Active Employees'!$B$2:$B$498,1,false)</f>
        <v>#N/A</v>
      </c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</row>
    <row r="79" hidden="1">
      <c r="A79" s="37" t="s">
        <v>1522</v>
      </c>
      <c r="B79" s="31" t="s">
        <v>1523</v>
      </c>
      <c r="C79" s="31" t="s">
        <v>1524</v>
      </c>
      <c r="D79" s="31" t="s">
        <v>1525</v>
      </c>
      <c r="E79" s="31" t="s">
        <v>1526</v>
      </c>
      <c r="F79" s="31" t="s">
        <v>1603</v>
      </c>
      <c r="G79" s="31" t="s">
        <v>1528</v>
      </c>
      <c r="H79" s="32" t="s">
        <v>1469</v>
      </c>
      <c r="I79" s="31"/>
      <c r="J79" s="31"/>
      <c r="K79" s="31"/>
      <c r="L79" s="32" t="str">
        <f>VLOOKUP(D79,'Active Employees'!$B$2:$B$498,1,false)</f>
        <v>#N/A</v>
      </c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</row>
    <row r="80" hidden="1">
      <c r="A80" s="37" t="s">
        <v>1522</v>
      </c>
      <c r="B80" s="31" t="s">
        <v>1523</v>
      </c>
      <c r="C80" s="31" t="s">
        <v>1524</v>
      </c>
      <c r="D80" s="31" t="s">
        <v>1596</v>
      </c>
      <c r="E80" s="31" t="s">
        <v>1597</v>
      </c>
      <c r="F80" s="31" t="s">
        <v>1604</v>
      </c>
      <c r="G80" s="31" t="s">
        <v>1528</v>
      </c>
      <c r="H80" s="32" t="s">
        <v>1483</v>
      </c>
      <c r="I80" s="31"/>
      <c r="J80" s="31"/>
      <c r="K80" s="31"/>
      <c r="L80" s="32" t="str">
        <f>VLOOKUP(D80,'Active Employees'!$B$2:$B$498,1,false)</f>
        <v>#N/A</v>
      </c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</row>
    <row r="81" hidden="1">
      <c r="A81" s="37" t="s">
        <v>1522</v>
      </c>
      <c r="B81" s="31" t="s">
        <v>1523</v>
      </c>
      <c r="C81" s="31" t="s">
        <v>1524</v>
      </c>
      <c r="D81" s="31" t="s">
        <v>1596</v>
      </c>
      <c r="E81" s="31" t="s">
        <v>1597</v>
      </c>
      <c r="F81" s="31" t="s">
        <v>1605</v>
      </c>
      <c r="G81" s="31" t="s">
        <v>1528</v>
      </c>
      <c r="H81" s="32" t="s">
        <v>1483</v>
      </c>
      <c r="I81" s="31"/>
      <c r="J81" s="31"/>
      <c r="K81" s="31"/>
      <c r="L81" s="32" t="str">
        <f>VLOOKUP(D81,'Active Employees'!$B$2:$B$498,1,false)</f>
        <v>#N/A</v>
      </c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</row>
    <row r="82" hidden="1">
      <c r="A82" s="37" t="s">
        <v>1522</v>
      </c>
      <c r="B82" s="31" t="s">
        <v>1523</v>
      </c>
      <c r="C82" s="31" t="s">
        <v>1524</v>
      </c>
      <c r="D82" s="31" t="s">
        <v>1606</v>
      </c>
      <c r="E82" s="31" t="s">
        <v>1607</v>
      </c>
      <c r="F82" s="31" t="s">
        <v>1541</v>
      </c>
      <c r="G82" s="31" t="s">
        <v>1528</v>
      </c>
      <c r="H82" s="32" t="s">
        <v>1483</v>
      </c>
      <c r="I82" s="31"/>
      <c r="J82" s="31"/>
      <c r="K82" s="31"/>
      <c r="L82" s="32" t="str">
        <f>VLOOKUP(D82,'Active Employees'!$B$2:$B$498,1,false)</f>
        <v>#N/A</v>
      </c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</row>
    <row r="83" hidden="1">
      <c r="A83" s="37" t="s">
        <v>1522</v>
      </c>
      <c r="B83" s="31" t="s">
        <v>1523</v>
      </c>
      <c r="C83" s="31" t="s">
        <v>1524</v>
      </c>
      <c r="D83" s="31" t="s">
        <v>1525</v>
      </c>
      <c r="E83" s="31" t="s">
        <v>1526</v>
      </c>
      <c r="F83" s="31" t="s">
        <v>1600</v>
      </c>
      <c r="G83" s="31" t="s">
        <v>1528</v>
      </c>
      <c r="H83" s="32" t="s">
        <v>1469</v>
      </c>
      <c r="I83" s="31"/>
      <c r="J83" s="31"/>
      <c r="K83" s="31"/>
      <c r="L83" s="32" t="str">
        <f>VLOOKUP(D83,'Active Employees'!$B$2:$B$498,1,false)</f>
        <v>#N/A</v>
      </c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</row>
    <row r="84" hidden="1">
      <c r="A84" s="37" t="s">
        <v>1570</v>
      </c>
      <c r="B84" s="31" t="s">
        <v>1523</v>
      </c>
      <c r="C84" s="31" t="s">
        <v>1524</v>
      </c>
      <c r="D84" s="31" t="s">
        <v>1608</v>
      </c>
      <c r="E84" s="31" t="s">
        <v>1607</v>
      </c>
      <c r="F84" s="31" t="s">
        <v>1541</v>
      </c>
      <c r="G84" s="31" t="s">
        <v>1528</v>
      </c>
      <c r="H84" s="32" t="s">
        <v>1483</v>
      </c>
      <c r="I84" s="31"/>
      <c r="J84" s="31"/>
      <c r="K84" s="31"/>
      <c r="L84" s="32" t="str">
        <f>VLOOKUP(D84,'Active Employees'!$B$2:$B$498,1,false)</f>
        <v>#N/A</v>
      </c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</row>
    <row r="85" hidden="1">
      <c r="A85" s="37" t="s">
        <v>1522</v>
      </c>
      <c r="B85" s="31" t="s">
        <v>1547</v>
      </c>
      <c r="C85" s="31" t="s">
        <v>1566</v>
      </c>
      <c r="D85" s="31" t="s">
        <v>1609</v>
      </c>
      <c r="E85" s="31" t="s">
        <v>1610</v>
      </c>
      <c r="F85" s="31" t="s">
        <v>1611</v>
      </c>
      <c r="G85" s="31" t="s">
        <v>1612</v>
      </c>
      <c r="H85" s="32" t="s">
        <v>1483</v>
      </c>
      <c r="I85" s="31"/>
      <c r="J85" s="31"/>
      <c r="K85" s="31"/>
      <c r="L85" s="32" t="str">
        <f>VLOOKUP(D85,'Active Employees'!$B$2:$B$498,1,false)</f>
        <v>#N/A</v>
      </c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hidden="1">
      <c r="A86" s="37" t="s">
        <v>1522</v>
      </c>
      <c r="B86" s="31" t="s">
        <v>1547</v>
      </c>
      <c r="C86" s="31" t="s">
        <v>1566</v>
      </c>
      <c r="D86" s="31" t="s">
        <v>1613</v>
      </c>
      <c r="E86" s="31" t="s">
        <v>1614</v>
      </c>
      <c r="F86" s="31" t="s">
        <v>1611</v>
      </c>
      <c r="G86" s="31" t="s">
        <v>1612</v>
      </c>
      <c r="H86" s="32" t="s">
        <v>1483</v>
      </c>
      <c r="I86" s="31"/>
      <c r="J86" s="31"/>
      <c r="K86" s="31"/>
      <c r="L86" s="32" t="str">
        <f>VLOOKUP(D86,'Active Employees'!$B$2:$B$498,1,false)</f>
        <v>#N/A</v>
      </c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</row>
    <row r="87">
      <c r="A87" s="38" t="s">
        <v>1522</v>
      </c>
      <c r="B87" s="39" t="s">
        <v>1523</v>
      </c>
      <c r="C87" s="39" t="s">
        <v>1524</v>
      </c>
      <c r="D87" s="39" t="s">
        <v>1615</v>
      </c>
      <c r="E87" s="39" t="s">
        <v>1616</v>
      </c>
      <c r="F87" s="39" t="s">
        <v>1564</v>
      </c>
      <c r="G87" s="39" t="s">
        <v>1528</v>
      </c>
      <c r="H87" s="40" t="s">
        <v>1466</v>
      </c>
      <c r="I87" s="39"/>
      <c r="J87" s="39"/>
      <c r="K87" s="39"/>
      <c r="L87" s="40" t="str">
        <f>VLOOKUP(D87,'Active Employees'!$B$2:$B$498,1,false)</f>
        <v>#N/A</v>
      </c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</row>
    <row r="88">
      <c r="A88" s="38" t="s">
        <v>1522</v>
      </c>
      <c r="B88" s="39" t="s">
        <v>1523</v>
      </c>
      <c r="C88" s="39" t="s">
        <v>1524</v>
      </c>
      <c r="D88" s="39" t="s">
        <v>1615</v>
      </c>
      <c r="E88" s="39" t="s">
        <v>1616</v>
      </c>
      <c r="F88" s="39" t="s">
        <v>1575</v>
      </c>
      <c r="G88" s="39" t="s">
        <v>1528</v>
      </c>
      <c r="H88" s="40" t="s">
        <v>1466</v>
      </c>
      <c r="I88" s="39"/>
      <c r="J88" s="39"/>
      <c r="K88" s="39"/>
      <c r="L88" s="40" t="str">
        <f>VLOOKUP(D88,'Active Employees'!$B$2:$B$498,1,false)</f>
        <v>#N/A</v>
      </c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</row>
    <row r="89" hidden="1">
      <c r="A89" s="38" t="s">
        <v>1522</v>
      </c>
      <c r="B89" s="39" t="s">
        <v>1523</v>
      </c>
      <c r="C89" s="39" t="s">
        <v>1524</v>
      </c>
      <c r="D89" s="39" t="s">
        <v>1525</v>
      </c>
      <c r="E89" s="39" t="s">
        <v>1526</v>
      </c>
      <c r="F89" s="39" t="s">
        <v>1617</v>
      </c>
      <c r="G89" s="39" t="s">
        <v>1528</v>
      </c>
      <c r="H89" s="40" t="s">
        <v>1469</v>
      </c>
      <c r="I89" s="39"/>
      <c r="J89" s="39"/>
      <c r="K89" s="39"/>
      <c r="L89" s="40" t="str">
        <f>VLOOKUP(D89,'Active Employees'!$B$2:$B$498,1,false)</f>
        <v>#N/A</v>
      </c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</row>
    <row r="90" hidden="1">
      <c r="A90" s="38" t="s">
        <v>1522</v>
      </c>
      <c r="B90" s="39" t="s">
        <v>1523</v>
      </c>
      <c r="C90" s="39" t="s">
        <v>1524</v>
      </c>
      <c r="D90" s="39" t="s">
        <v>1525</v>
      </c>
      <c r="E90" s="39" t="s">
        <v>1526</v>
      </c>
      <c r="F90" s="39" t="s">
        <v>1618</v>
      </c>
      <c r="G90" s="39" t="s">
        <v>1528</v>
      </c>
      <c r="H90" s="40" t="s">
        <v>1469</v>
      </c>
      <c r="I90" s="39"/>
      <c r="J90" s="39"/>
      <c r="K90" s="39"/>
      <c r="L90" s="40" t="str">
        <f>VLOOKUP(D90,'Active Employees'!$B$2:$B$498,1,false)</f>
        <v>#N/A</v>
      </c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</row>
    <row r="91" hidden="1">
      <c r="A91" s="38" t="s">
        <v>1522</v>
      </c>
      <c r="B91" s="39" t="s">
        <v>1523</v>
      </c>
      <c r="C91" s="39" t="s">
        <v>1524</v>
      </c>
      <c r="D91" s="39" t="s">
        <v>1525</v>
      </c>
      <c r="E91" s="39" t="s">
        <v>1526</v>
      </c>
      <c r="F91" s="39" t="s">
        <v>1619</v>
      </c>
      <c r="G91" s="39" t="s">
        <v>1528</v>
      </c>
      <c r="H91" s="40" t="s">
        <v>1469</v>
      </c>
      <c r="I91" s="39"/>
      <c r="J91" s="39"/>
      <c r="K91" s="39"/>
      <c r="L91" s="40" t="str">
        <f>VLOOKUP(D91,'Active Employees'!$B$2:$B$498,1,false)</f>
        <v>#N/A</v>
      </c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</row>
    <row r="92" hidden="1">
      <c r="A92" s="38" t="s">
        <v>1522</v>
      </c>
      <c r="B92" s="39" t="s">
        <v>1523</v>
      </c>
      <c r="C92" s="39" t="s">
        <v>1524</v>
      </c>
      <c r="D92" s="39" t="s">
        <v>1525</v>
      </c>
      <c r="E92" s="39" t="s">
        <v>1526</v>
      </c>
      <c r="F92" s="39" t="s">
        <v>1620</v>
      </c>
      <c r="G92" s="39" t="s">
        <v>1528</v>
      </c>
      <c r="H92" s="40" t="s">
        <v>1469</v>
      </c>
      <c r="I92" s="39"/>
      <c r="J92" s="39"/>
      <c r="K92" s="39"/>
      <c r="L92" s="40" t="str">
        <f>VLOOKUP(D92,'Active Employees'!$B$2:$B$498,1,false)</f>
        <v>#N/A</v>
      </c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</row>
    <row r="93" hidden="1">
      <c r="A93" s="38" t="s">
        <v>1522</v>
      </c>
      <c r="B93" s="39" t="s">
        <v>1523</v>
      </c>
      <c r="C93" s="39" t="s">
        <v>1524</v>
      </c>
      <c r="D93" s="39" t="s">
        <v>1525</v>
      </c>
      <c r="E93" s="39" t="s">
        <v>1526</v>
      </c>
      <c r="F93" s="39" t="s">
        <v>1621</v>
      </c>
      <c r="G93" s="39" t="s">
        <v>1528</v>
      </c>
      <c r="H93" s="40" t="s">
        <v>1469</v>
      </c>
      <c r="I93" s="39"/>
      <c r="J93" s="39"/>
      <c r="K93" s="39"/>
      <c r="L93" s="40" t="str">
        <f>VLOOKUP(D93,'Active Employees'!$B$2:$B$498,1,false)</f>
        <v>#N/A</v>
      </c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</row>
    <row r="94" hidden="1">
      <c r="A94" s="38" t="s">
        <v>1522</v>
      </c>
      <c r="B94" s="39" t="s">
        <v>1523</v>
      </c>
      <c r="C94" s="39" t="s">
        <v>1524</v>
      </c>
      <c r="D94" s="39" t="s">
        <v>1525</v>
      </c>
      <c r="E94" s="39" t="s">
        <v>1526</v>
      </c>
      <c r="F94" s="39" t="s">
        <v>1622</v>
      </c>
      <c r="G94" s="39" t="s">
        <v>1528</v>
      </c>
      <c r="H94" s="40" t="s">
        <v>1469</v>
      </c>
      <c r="I94" s="39"/>
      <c r="J94" s="39"/>
      <c r="K94" s="39"/>
      <c r="L94" s="40" t="str">
        <f>VLOOKUP(D94,'Active Employees'!$B$2:$B$498,1,false)</f>
        <v>#N/A</v>
      </c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</row>
    <row r="95" hidden="1">
      <c r="A95" s="38" t="s">
        <v>1522</v>
      </c>
      <c r="B95" s="39" t="s">
        <v>1523</v>
      </c>
      <c r="C95" s="39" t="s">
        <v>1524</v>
      </c>
      <c r="D95" s="39" t="s">
        <v>1525</v>
      </c>
      <c r="E95" s="39" t="s">
        <v>1526</v>
      </c>
      <c r="F95" s="39" t="s">
        <v>1623</v>
      </c>
      <c r="G95" s="39" t="s">
        <v>1528</v>
      </c>
      <c r="H95" s="40" t="s">
        <v>1469</v>
      </c>
      <c r="I95" s="39"/>
      <c r="J95" s="39"/>
      <c r="K95" s="39"/>
      <c r="L95" s="40" t="str">
        <f>VLOOKUP(D95,'Active Employees'!$B$2:$B$498,1,false)</f>
        <v>#N/A</v>
      </c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</row>
    <row r="96" hidden="1">
      <c r="A96" s="38" t="s">
        <v>1522</v>
      </c>
      <c r="B96" s="39" t="s">
        <v>1523</v>
      </c>
      <c r="C96" s="39" t="s">
        <v>1524</v>
      </c>
      <c r="D96" s="39" t="s">
        <v>1525</v>
      </c>
      <c r="E96" s="39" t="s">
        <v>1526</v>
      </c>
      <c r="F96" s="39" t="s">
        <v>1624</v>
      </c>
      <c r="G96" s="39" t="s">
        <v>1528</v>
      </c>
      <c r="H96" s="40" t="s">
        <v>1469</v>
      </c>
      <c r="I96" s="39"/>
      <c r="J96" s="39"/>
      <c r="K96" s="39"/>
      <c r="L96" s="40" t="str">
        <f>VLOOKUP(D96,'Active Employees'!$B$2:$B$498,1,false)</f>
        <v>#N/A</v>
      </c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</row>
    <row r="97" hidden="1">
      <c r="A97" s="38" t="s">
        <v>1522</v>
      </c>
      <c r="B97" s="39" t="s">
        <v>1523</v>
      </c>
      <c r="C97" s="39" t="s">
        <v>1524</v>
      </c>
      <c r="D97" s="39" t="s">
        <v>1525</v>
      </c>
      <c r="E97" s="39" t="s">
        <v>1526</v>
      </c>
      <c r="F97" s="39" t="s">
        <v>1625</v>
      </c>
      <c r="G97" s="39" t="s">
        <v>1528</v>
      </c>
      <c r="H97" s="40" t="s">
        <v>1469</v>
      </c>
      <c r="I97" s="39"/>
      <c r="J97" s="39"/>
      <c r="K97" s="39"/>
      <c r="L97" s="40" t="str">
        <f>VLOOKUP(D97,'Active Employees'!$B$2:$B$498,1,false)</f>
        <v>#N/A</v>
      </c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</row>
    <row r="98" hidden="1">
      <c r="A98" s="38" t="s">
        <v>1522</v>
      </c>
      <c r="B98" s="39" t="s">
        <v>1523</v>
      </c>
      <c r="C98" s="39" t="s">
        <v>1524</v>
      </c>
      <c r="D98" s="39" t="s">
        <v>1525</v>
      </c>
      <c r="E98" s="39" t="s">
        <v>1526</v>
      </c>
      <c r="F98" s="39" t="s">
        <v>1626</v>
      </c>
      <c r="G98" s="39" t="s">
        <v>1528</v>
      </c>
      <c r="H98" s="40" t="s">
        <v>1469</v>
      </c>
      <c r="I98" s="39"/>
      <c r="J98" s="39"/>
      <c r="K98" s="39"/>
      <c r="L98" s="40" t="str">
        <f>VLOOKUP(D98,'Active Employees'!$B$2:$B$498,1,false)</f>
        <v>#N/A</v>
      </c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hidden="1">
      <c r="A99" s="38" t="s">
        <v>1522</v>
      </c>
      <c r="B99" s="39" t="s">
        <v>1523</v>
      </c>
      <c r="C99" s="39" t="s">
        <v>1524</v>
      </c>
      <c r="D99" s="39" t="s">
        <v>1525</v>
      </c>
      <c r="E99" s="39" t="s">
        <v>1526</v>
      </c>
      <c r="F99" s="39" t="s">
        <v>1627</v>
      </c>
      <c r="G99" s="39" t="s">
        <v>1528</v>
      </c>
      <c r="H99" s="40" t="s">
        <v>1469</v>
      </c>
      <c r="I99" s="39"/>
      <c r="J99" s="39"/>
      <c r="K99" s="39"/>
      <c r="L99" s="40" t="str">
        <f>VLOOKUP(D99,'Active Employees'!$B$2:$B$498,1,false)</f>
        <v>#N/A</v>
      </c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>
      <c r="A100" s="38" t="s">
        <v>1522</v>
      </c>
      <c r="B100" s="39" t="s">
        <v>1547</v>
      </c>
      <c r="C100" s="39" t="s">
        <v>1558</v>
      </c>
      <c r="D100" s="39" t="s">
        <v>1628</v>
      </c>
      <c r="E100" s="39" t="s">
        <v>1629</v>
      </c>
      <c r="F100" s="39" t="s">
        <v>1630</v>
      </c>
      <c r="G100" s="39" t="s">
        <v>1612</v>
      </c>
      <c r="H100" s="40" t="s">
        <v>1466</v>
      </c>
      <c r="I100" s="39"/>
      <c r="J100" s="39"/>
      <c r="K100" s="39"/>
      <c r="L100" s="40" t="str">
        <f>VLOOKUP(D100,'Active Employees'!$B$2:$B$498,1,false)</f>
        <v>#N/A</v>
      </c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</row>
    <row r="101" hidden="1">
      <c r="A101" s="38" t="s">
        <v>1522</v>
      </c>
      <c r="B101" s="39" t="s">
        <v>1523</v>
      </c>
      <c r="C101" s="39" t="s">
        <v>1524</v>
      </c>
      <c r="D101" s="39" t="s">
        <v>1525</v>
      </c>
      <c r="E101" s="39" t="s">
        <v>1526</v>
      </c>
      <c r="F101" s="39" t="s">
        <v>1631</v>
      </c>
      <c r="G101" s="39" t="s">
        <v>1528</v>
      </c>
      <c r="H101" s="40" t="s">
        <v>1469</v>
      </c>
      <c r="I101" s="39"/>
      <c r="J101" s="39"/>
      <c r="K101" s="39"/>
      <c r="L101" s="40" t="str">
        <f>VLOOKUP(D101,'Active Employees'!$B$2:$B$498,1,false)</f>
        <v>#N/A</v>
      </c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</row>
    <row r="102" hidden="1">
      <c r="A102" s="38" t="s">
        <v>1522</v>
      </c>
      <c r="B102" s="39" t="s">
        <v>1523</v>
      </c>
      <c r="C102" s="39" t="s">
        <v>1524</v>
      </c>
      <c r="D102" s="39" t="s">
        <v>1525</v>
      </c>
      <c r="E102" s="39" t="s">
        <v>1526</v>
      </c>
      <c r="F102" s="39" t="s">
        <v>1632</v>
      </c>
      <c r="G102" s="39" t="s">
        <v>1528</v>
      </c>
      <c r="H102" s="40" t="s">
        <v>1469</v>
      </c>
      <c r="I102" s="39"/>
      <c r="J102" s="39"/>
      <c r="K102" s="39"/>
      <c r="L102" s="40" t="str">
        <f>VLOOKUP(D102,'Active Employees'!$B$2:$B$498,1,false)</f>
        <v>#N/A</v>
      </c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</row>
    <row r="103" hidden="1">
      <c r="A103" s="38" t="s">
        <v>1522</v>
      </c>
      <c r="B103" s="39" t="s">
        <v>1523</v>
      </c>
      <c r="C103" s="39" t="s">
        <v>1524</v>
      </c>
      <c r="D103" s="39" t="s">
        <v>1525</v>
      </c>
      <c r="E103" s="39" t="s">
        <v>1526</v>
      </c>
      <c r="F103" s="39" t="s">
        <v>1633</v>
      </c>
      <c r="G103" s="39" t="s">
        <v>1528</v>
      </c>
      <c r="H103" s="40" t="s">
        <v>1469</v>
      </c>
      <c r="I103" s="39"/>
      <c r="J103" s="39"/>
      <c r="K103" s="39"/>
      <c r="L103" s="40" t="str">
        <f>VLOOKUP(D103,'Active Employees'!$B$2:$B$498,1,false)</f>
        <v>#N/A</v>
      </c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</row>
    <row r="104" hidden="1">
      <c r="A104" s="38" t="s">
        <v>1522</v>
      </c>
      <c r="B104" s="39" t="s">
        <v>1523</v>
      </c>
      <c r="C104" s="39" t="s">
        <v>1524</v>
      </c>
      <c r="D104" s="39" t="s">
        <v>1525</v>
      </c>
      <c r="E104" s="39" t="s">
        <v>1526</v>
      </c>
      <c r="F104" s="39" t="s">
        <v>1604</v>
      </c>
      <c r="G104" s="39" t="s">
        <v>1528</v>
      </c>
      <c r="H104" s="40" t="s">
        <v>1469</v>
      </c>
      <c r="I104" s="39"/>
      <c r="J104" s="39"/>
      <c r="K104" s="39"/>
      <c r="L104" s="40" t="str">
        <f>VLOOKUP(D104,'Active Employees'!$B$2:$B$498,1,false)</f>
        <v>#N/A</v>
      </c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</row>
    <row r="105">
      <c r="A105" s="38" t="s">
        <v>1522</v>
      </c>
      <c r="B105" s="39" t="s">
        <v>1547</v>
      </c>
      <c r="C105" s="39" t="s">
        <v>1565</v>
      </c>
      <c r="D105" s="39" t="s">
        <v>1628</v>
      </c>
      <c r="E105" s="39" t="s">
        <v>1629</v>
      </c>
      <c r="F105" s="39" t="s">
        <v>1634</v>
      </c>
      <c r="G105" s="39" t="s">
        <v>1612</v>
      </c>
      <c r="H105" s="40" t="s">
        <v>1466</v>
      </c>
      <c r="I105" s="39"/>
      <c r="J105" s="39"/>
      <c r="K105" s="39"/>
      <c r="L105" s="40" t="str">
        <f>VLOOKUP(D105,'Active Employees'!$B$2:$B$498,1,false)</f>
        <v>#N/A</v>
      </c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</row>
    <row r="106">
      <c r="A106" s="38" t="s">
        <v>1522</v>
      </c>
      <c r="B106" s="39" t="s">
        <v>1547</v>
      </c>
      <c r="C106" s="39" t="s">
        <v>1565</v>
      </c>
      <c r="D106" s="39" t="s">
        <v>1628</v>
      </c>
      <c r="E106" s="39" t="s">
        <v>1629</v>
      </c>
      <c r="F106" s="39" t="s">
        <v>1630</v>
      </c>
      <c r="G106" s="39" t="s">
        <v>1612</v>
      </c>
      <c r="H106" s="40" t="s">
        <v>1466</v>
      </c>
      <c r="I106" s="39"/>
      <c r="J106" s="39"/>
      <c r="K106" s="39"/>
      <c r="L106" s="40" t="str">
        <f>VLOOKUP(D106,'Active Employees'!$B$2:$B$498,1,false)</f>
        <v>#N/A</v>
      </c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</row>
    <row r="107" hidden="1">
      <c r="A107" s="38" t="s">
        <v>1522</v>
      </c>
      <c r="B107" s="39" t="s">
        <v>1523</v>
      </c>
      <c r="C107" s="39" t="s">
        <v>1524</v>
      </c>
      <c r="D107" s="39" t="s">
        <v>1525</v>
      </c>
      <c r="E107" s="39" t="s">
        <v>1526</v>
      </c>
      <c r="F107" s="39" t="s">
        <v>1605</v>
      </c>
      <c r="G107" s="39" t="s">
        <v>1528</v>
      </c>
      <c r="H107" s="40" t="s">
        <v>1469</v>
      </c>
      <c r="I107" s="39"/>
      <c r="J107" s="39"/>
      <c r="K107" s="39"/>
      <c r="L107" s="40" t="str">
        <f>VLOOKUP(D107,'Active Employees'!$B$2:$B$498,1,false)</f>
        <v>#N/A</v>
      </c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</row>
    <row r="108">
      <c r="A108" s="38" t="s">
        <v>1522</v>
      </c>
      <c r="B108" s="39" t="s">
        <v>1547</v>
      </c>
      <c r="C108" s="39" t="s">
        <v>1565</v>
      </c>
      <c r="D108" s="39" t="s">
        <v>1635</v>
      </c>
      <c r="E108" s="39" t="s">
        <v>1636</v>
      </c>
      <c r="F108" s="39" t="s">
        <v>1637</v>
      </c>
      <c r="G108" s="39" t="s">
        <v>1612</v>
      </c>
      <c r="H108" s="40" t="s">
        <v>1466</v>
      </c>
      <c r="I108" s="39"/>
      <c r="J108" s="39"/>
      <c r="K108" s="39"/>
      <c r="L108" s="40" t="str">
        <f>VLOOKUP(D108,'Active Employees'!$B$2:$B$498,1,false)</f>
        <v>#N/A</v>
      </c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</row>
    <row r="109">
      <c r="A109" s="38" t="s">
        <v>1570</v>
      </c>
      <c r="B109" s="39" t="s">
        <v>1547</v>
      </c>
      <c r="C109" s="39" t="s">
        <v>1578</v>
      </c>
      <c r="D109" s="39" t="s">
        <v>1638</v>
      </c>
      <c r="E109" s="39" t="s">
        <v>1639</v>
      </c>
      <c r="F109" s="39" t="s">
        <v>1481</v>
      </c>
      <c r="G109" s="39" t="s">
        <v>1528</v>
      </c>
      <c r="H109" s="40" t="s">
        <v>1466</v>
      </c>
      <c r="I109" s="39"/>
      <c r="J109" s="39"/>
      <c r="K109" s="39"/>
      <c r="L109" s="40" t="str">
        <f>VLOOKUP(D109,'Active Employees'!$B$2:$B$498,1,false)</f>
        <v>#N/A</v>
      </c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</row>
    <row r="110">
      <c r="A110" s="38" t="s">
        <v>1570</v>
      </c>
      <c r="B110" s="39" t="s">
        <v>1547</v>
      </c>
      <c r="C110" s="39" t="s">
        <v>1578</v>
      </c>
      <c r="D110" s="39" t="s">
        <v>1638</v>
      </c>
      <c r="E110" s="39" t="s">
        <v>1639</v>
      </c>
      <c r="F110" s="39" t="s">
        <v>1640</v>
      </c>
      <c r="G110" s="39" t="s">
        <v>1528</v>
      </c>
      <c r="H110" s="40" t="s">
        <v>1466</v>
      </c>
      <c r="I110" s="39"/>
      <c r="J110" s="39"/>
      <c r="K110" s="39"/>
      <c r="L110" s="40" t="str">
        <f>VLOOKUP(D110,'Active Employees'!$B$2:$B$498,1,false)</f>
        <v>#N/A</v>
      </c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</row>
    <row r="111" hidden="1">
      <c r="A111" s="38" t="s">
        <v>1522</v>
      </c>
      <c r="B111" s="39" t="s">
        <v>1523</v>
      </c>
      <c r="C111" s="39" t="s">
        <v>1524</v>
      </c>
      <c r="D111" s="39" t="s">
        <v>1525</v>
      </c>
      <c r="E111" s="39" t="s">
        <v>1526</v>
      </c>
      <c r="F111" s="39" t="s">
        <v>1641</v>
      </c>
      <c r="G111" s="39" t="s">
        <v>1528</v>
      </c>
      <c r="H111" s="40" t="s">
        <v>1469</v>
      </c>
      <c r="I111" s="39"/>
      <c r="J111" s="39"/>
      <c r="K111" s="39"/>
      <c r="L111" s="40" t="str">
        <f>VLOOKUP(D111,'Active Employees'!$B$2:$B$498,1,false)</f>
        <v>#N/A</v>
      </c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</row>
    <row r="112" hidden="1">
      <c r="A112" s="38" t="s">
        <v>1522</v>
      </c>
      <c r="B112" s="39" t="s">
        <v>1523</v>
      </c>
      <c r="C112" s="39" t="s">
        <v>1524</v>
      </c>
      <c r="D112" s="39" t="s">
        <v>1525</v>
      </c>
      <c r="E112" s="39" t="s">
        <v>1526</v>
      </c>
      <c r="F112" s="39" t="s">
        <v>1642</v>
      </c>
      <c r="G112" s="39" t="s">
        <v>1528</v>
      </c>
      <c r="H112" s="40" t="s">
        <v>1469</v>
      </c>
      <c r="I112" s="39"/>
      <c r="J112" s="39"/>
      <c r="K112" s="39"/>
      <c r="L112" s="40" t="str">
        <f>VLOOKUP(D112,'Active Employees'!$B$2:$B$498,1,false)</f>
        <v>#N/A</v>
      </c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</row>
    <row r="113" hidden="1">
      <c r="A113" s="38" t="s">
        <v>1522</v>
      </c>
      <c r="B113" s="39" t="s">
        <v>1523</v>
      </c>
      <c r="C113" s="39" t="s">
        <v>1524</v>
      </c>
      <c r="D113" s="39" t="s">
        <v>1525</v>
      </c>
      <c r="E113" s="39" t="s">
        <v>1526</v>
      </c>
      <c r="F113" s="39" t="s">
        <v>1643</v>
      </c>
      <c r="G113" s="39" t="s">
        <v>1528</v>
      </c>
      <c r="H113" s="40" t="s">
        <v>1469</v>
      </c>
      <c r="I113" s="39"/>
      <c r="J113" s="39"/>
      <c r="K113" s="39"/>
      <c r="L113" s="40" t="str">
        <f>VLOOKUP(D113,'Active Employees'!$B$2:$B$498,1,false)</f>
        <v>#N/A</v>
      </c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</row>
    <row r="114" hidden="1">
      <c r="A114" s="38" t="s">
        <v>1522</v>
      </c>
      <c r="B114" s="39" t="s">
        <v>1523</v>
      </c>
      <c r="C114" s="39" t="s">
        <v>1524</v>
      </c>
      <c r="D114" s="39" t="s">
        <v>1525</v>
      </c>
      <c r="E114" s="39" t="s">
        <v>1526</v>
      </c>
      <c r="F114" s="39" t="s">
        <v>1644</v>
      </c>
      <c r="G114" s="39" t="s">
        <v>1528</v>
      </c>
      <c r="H114" s="40" t="s">
        <v>1469</v>
      </c>
      <c r="I114" s="39"/>
      <c r="J114" s="39"/>
      <c r="K114" s="39"/>
      <c r="L114" s="40" t="str">
        <f>VLOOKUP(D114,'Active Employees'!$B$2:$B$498,1,false)</f>
        <v>#N/A</v>
      </c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</row>
    <row r="115" hidden="1">
      <c r="A115" s="38" t="s">
        <v>1522</v>
      </c>
      <c r="B115" s="39" t="s">
        <v>1523</v>
      </c>
      <c r="C115" s="39" t="s">
        <v>1524</v>
      </c>
      <c r="D115" s="39" t="s">
        <v>1525</v>
      </c>
      <c r="E115" s="39" t="s">
        <v>1526</v>
      </c>
      <c r="F115" s="39" t="s">
        <v>1645</v>
      </c>
      <c r="G115" s="39" t="s">
        <v>1528</v>
      </c>
      <c r="H115" s="40" t="s">
        <v>1469</v>
      </c>
      <c r="I115" s="39"/>
      <c r="J115" s="39"/>
      <c r="K115" s="39"/>
      <c r="L115" s="40" t="str">
        <f>VLOOKUP(D115,'Active Employees'!$B$2:$B$498,1,false)</f>
        <v>#N/A</v>
      </c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</row>
    <row r="116" hidden="1">
      <c r="A116" s="38" t="s">
        <v>1522</v>
      </c>
      <c r="B116" s="39" t="s">
        <v>1523</v>
      </c>
      <c r="C116" s="39" t="s">
        <v>1524</v>
      </c>
      <c r="D116" s="39" t="s">
        <v>1525</v>
      </c>
      <c r="E116" s="39" t="s">
        <v>1526</v>
      </c>
      <c r="F116" s="39" t="s">
        <v>1646</v>
      </c>
      <c r="G116" s="39" t="s">
        <v>1528</v>
      </c>
      <c r="H116" s="40" t="s">
        <v>1469</v>
      </c>
      <c r="I116" s="39"/>
      <c r="J116" s="39"/>
      <c r="K116" s="39"/>
      <c r="L116" s="40" t="str">
        <f>VLOOKUP(D116,'Active Employees'!$B$2:$B$498,1,false)</f>
        <v>#N/A</v>
      </c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</row>
    <row r="117">
      <c r="A117" s="38" t="s">
        <v>1570</v>
      </c>
      <c r="B117" s="39" t="s">
        <v>1547</v>
      </c>
      <c r="C117" s="39" t="s">
        <v>1578</v>
      </c>
      <c r="D117" s="39" t="s">
        <v>1638</v>
      </c>
      <c r="E117" s="39" t="s">
        <v>1639</v>
      </c>
      <c r="F117" s="39" t="s">
        <v>1640</v>
      </c>
      <c r="G117" s="39" t="s">
        <v>1528</v>
      </c>
      <c r="H117" s="40" t="s">
        <v>1466</v>
      </c>
      <c r="I117" s="39"/>
      <c r="J117" s="39"/>
      <c r="K117" s="39"/>
      <c r="L117" s="40" t="str">
        <f>VLOOKUP(D117,'Active Employees'!$B$2:$B$498,1,false)</f>
        <v>#N/A</v>
      </c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</row>
    <row r="118">
      <c r="A118" s="38" t="s">
        <v>1522</v>
      </c>
      <c r="B118" s="39" t="s">
        <v>1547</v>
      </c>
      <c r="C118" s="39" t="s">
        <v>1565</v>
      </c>
      <c r="D118" s="39" t="s">
        <v>1647</v>
      </c>
      <c r="E118" s="39" t="s">
        <v>1648</v>
      </c>
      <c r="F118" s="39" t="s">
        <v>1640</v>
      </c>
      <c r="G118" s="39" t="s">
        <v>1528</v>
      </c>
      <c r="H118" s="40" t="s">
        <v>1466</v>
      </c>
      <c r="I118" s="39"/>
      <c r="J118" s="39"/>
      <c r="K118" s="39"/>
      <c r="L118" s="40" t="str">
        <f>VLOOKUP(D118,'Active Employees'!$B$2:$B$498,1,false)</f>
        <v>#N/A</v>
      </c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</row>
    <row r="119">
      <c r="A119" s="38" t="s">
        <v>1522</v>
      </c>
      <c r="B119" s="39" t="s">
        <v>1547</v>
      </c>
      <c r="C119" s="39" t="s">
        <v>1565</v>
      </c>
      <c r="D119" s="39" t="s">
        <v>1649</v>
      </c>
      <c r="E119" s="39" t="s">
        <v>1650</v>
      </c>
      <c r="F119" s="39" t="s">
        <v>1651</v>
      </c>
      <c r="G119" s="39" t="s">
        <v>1612</v>
      </c>
      <c r="H119" s="40" t="s">
        <v>1466</v>
      </c>
      <c r="I119" s="39"/>
      <c r="J119" s="39"/>
      <c r="K119" s="39"/>
      <c r="L119" s="40" t="str">
        <f>VLOOKUP(D119,'Active Employees'!$B$2:$B$498,1,false)</f>
        <v>#N/A</v>
      </c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</row>
    <row r="120">
      <c r="A120" s="38" t="s">
        <v>1522</v>
      </c>
      <c r="B120" s="39" t="s">
        <v>1547</v>
      </c>
      <c r="C120" s="39" t="s">
        <v>1565</v>
      </c>
      <c r="D120" s="39" t="s">
        <v>1649</v>
      </c>
      <c r="E120" s="39" t="s">
        <v>1650</v>
      </c>
      <c r="F120" s="39" t="s">
        <v>1640</v>
      </c>
      <c r="G120" s="39" t="s">
        <v>1528</v>
      </c>
      <c r="H120" s="40" t="s">
        <v>1466</v>
      </c>
      <c r="I120" s="39"/>
      <c r="J120" s="39"/>
      <c r="K120" s="39"/>
      <c r="L120" s="40" t="str">
        <f>VLOOKUP(D120,'Active Employees'!$B$2:$B$498,1,false)</f>
        <v>#N/A</v>
      </c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</row>
    <row r="121">
      <c r="A121" s="38" t="s">
        <v>1570</v>
      </c>
      <c r="B121" s="39" t="s">
        <v>1547</v>
      </c>
      <c r="C121" s="39" t="s">
        <v>1578</v>
      </c>
      <c r="D121" s="39" t="s">
        <v>1652</v>
      </c>
      <c r="E121" s="39" t="s">
        <v>1653</v>
      </c>
      <c r="F121" s="39" t="s">
        <v>1654</v>
      </c>
      <c r="G121" s="39" t="s">
        <v>1612</v>
      </c>
      <c r="H121" s="40" t="s">
        <v>1466</v>
      </c>
      <c r="I121" s="39"/>
      <c r="J121" s="39"/>
      <c r="K121" s="39"/>
      <c r="L121" s="40" t="str">
        <f>VLOOKUP(D121,'Active Employees'!$B$2:$B$498,1,false)</f>
        <v>#N/A</v>
      </c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</row>
    <row r="122">
      <c r="A122" s="38" t="s">
        <v>1522</v>
      </c>
      <c r="B122" s="39" t="s">
        <v>1547</v>
      </c>
      <c r="C122" s="39" t="s">
        <v>1565</v>
      </c>
      <c r="D122" s="39" t="s">
        <v>1655</v>
      </c>
      <c r="E122" s="39" t="s">
        <v>1656</v>
      </c>
      <c r="F122" s="39" t="s">
        <v>1640</v>
      </c>
      <c r="G122" s="39" t="s">
        <v>1528</v>
      </c>
      <c r="H122" s="40" t="s">
        <v>1466</v>
      </c>
      <c r="I122" s="39"/>
      <c r="J122" s="39"/>
      <c r="K122" s="39"/>
      <c r="L122" s="40" t="str">
        <f>VLOOKUP(D122,'Active Employees'!$B$2:$B$498,1,false)</f>
        <v>#N/A</v>
      </c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</row>
    <row r="123">
      <c r="A123" s="38" t="s">
        <v>1522</v>
      </c>
      <c r="B123" s="39" t="s">
        <v>1547</v>
      </c>
      <c r="C123" s="39" t="s">
        <v>1565</v>
      </c>
      <c r="D123" s="39" t="s">
        <v>1657</v>
      </c>
      <c r="E123" s="39" t="s">
        <v>1658</v>
      </c>
      <c r="F123" s="39" t="s">
        <v>1637</v>
      </c>
      <c r="G123" s="39" t="s">
        <v>1612</v>
      </c>
      <c r="H123" s="40" t="s">
        <v>1466</v>
      </c>
      <c r="I123" s="39"/>
      <c r="J123" s="39"/>
      <c r="K123" s="39"/>
      <c r="L123" s="40" t="str">
        <f>VLOOKUP(D123,'Active Employees'!$B$2:$B$498,1,false)</f>
        <v>#N/A</v>
      </c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</row>
    <row r="124">
      <c r="A124" s="38" t="s">
        <v>1570</v>
      </c>
      <c r="B124" s="39" t="s">
        <v>1523</v>
      </c>
      <c r="C124" s="39" t="s">
        <v>1524</v>
      </c>
      <c r="D124" s="39" t="s">
        <v>1659</v>
      </c>
      <c r="E124" s="39" t="s">
        <v>1660</v>
      </c>
      <c r="F124" s="39" t="s">
        <v>1575</v>
      </c>
      <c r="G124" s="39" t="s">
        <v>1528</v>
      </c>
      <c r="H124" s="40" t="s">
        <v>1466</v>
      </c>
      <c r="I124" s="39"/>
      <c r="J124" s="39"/>
      <c r="K124" s="39"/>
      <c r="L124" s="40" t="str">
        <f>VLOOKUP(D124,'Active Employees'!$B$2:$B$498,1,false)</f>
        <v>#N/A</v>
      </c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</row>
    <row r="125">
      <c r="A125" s="38" t="s">
        <v>1522</v>
      </c>
      <c r="B125" s="39" t="s">
        <v>1547</v>
      </c>
      <c r="C125" s="39" t="s">
        <v>1565</v>
      </c>
      <c r="D125" s="39" t="s">
        <v>1661</v>
      </c>
      <c r="E125" s="39" t="s">
        <v>1662</v>
      </c>
      <c r="F125" s="39" t="s">
        <v>1640</v>
      </c>
      <c r="G125" s="39" t="s">
        <v>1528</v>
      </c>
      <c r="H125" s="40" t="s">
        <v>1466</v>
      </c>
      <c r="I125" s="39"/>
      <c r="J125" s="39"/>
      <c r="K125" s="39"/>
      <c r="L125" s="40" t="str">
        <f>VLOOKUP(D125,'Active Employees'!$B$2:$B$498,1,false)</f>
        <v>#N/A</v>
      </c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</row>
    <row r="126">
      <c r="A126" s="38" t="s">
        <v>1522</v>
      </c>
      <c r="B126" s="39" t="s">
        <v>1547</v>
      </c>
      <c r="C126" s="39" t="s">
        <v>1565</v>
      </c>
      <c r="D126" s="39" t="s">
        <v>1663</v>
      </c>
      <c r="E126" s="39" t="s">
        <v>1664</v>
      </c>
      <c r="F126" s="39" t="s">
        <v>1640</v>
      </c>
      <c r="G126" s="39" t="s">
        <v>1528</v>
      </c>
      <c r="H126" s="40" t="s">
        <v>1466</v>
      </c>
      <c r="I126" s="39"/>
      <c r="J126" s="39"/>
      <c r="K126" s="39"/>
      <c r="L126" s="40" t="str">
        <f>VLOOKUP(D126,'Active Employees'!$B$2:$B$498,1,false)</f>
        <v>#N/A</v>
      </c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</row>
    <row r="127">
      <c r="A127" s="38" t="s">
        <v>1522</v>
      </c>
      <c r="B127" s="39" t="s">
        <v>1547</v>
      </c>
      <c r="C127" s="39" t="s">
        <v>1565</v>
      </c>
      <c r="D127" s="39" t="s">
        <v>1665</v>
      </c>
      <c r="E127" s="39" t="s">
        <v>1666</v>
      </c>
      <c r="F127" s="39" t="s">
        <v>1640</v>
      </c>
      <c r="G127" s="39" t="s">
        <v>1528</v>
      </c>
      <c r="H127" s="40" t="s">
        <v>1466</v>
      </c>
      <c r="I127" s="39"/>
      <c r="J127" s="39"/>
      <c r="K127" s="39"/>
      <c r="L127" s="40" t="str">
        <f>VLOOKUP(D127,'Active Employees'!$B$2:$B$498,1,false)</f>
        <v>#N/A</v>
      </c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</row>
    <row r="128">
      <c r="A128" s="38" t="s">
        <v>1522</v>
      </c>
      <c r="B128" s="39" t="s">
        <v>1547</v>
      </c>
      <c r="C128" s="39" t="s">
        <v>1565</v>
      </c>
      <c r="D128" s="39" t="s">
        <v>1667</v>
      </c>
      <c r="E128" s="39" t="s">
        <v>1668</v>
      </c>
      <c r="F128" s="39" t="s">
        <v>1637</v>
      </c>
      <c r="G128" s="39" t="s">
        <v>1612</v>
      </c>
      <c r="H128" s="40" t="s">
        <v>1466</v>
      </c>
      <c r="I128" s="39"/>
      <c r="J128" s="39"/>
      <c r="K128" s="39"/>
      <c r="L128" s="40" t="str">
        <f>VLOOKUP(D128,'Active Employees'!$B$2:$B$498,1,false)</f>
        <v>#N/A</v>
      </c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</row>
    <row r="129">
      <c r="A129" s="38" t="s">
        <v>1522</v>
      </c>
      <c r="B129" s="39" t="s">
        <v>1547</v>
      </c>
      <c r="C129" s="39" t="s">
        <v>1565</v>
      </c>
      <c r="D129" s="39" t="s">
        <v>1669</v>
      </c>
      <c r="E129" s="39" t="s">
        <v>1670</v>
      </c>
      <c r="F129" s="39" t="s">
        <v>1640</v>
      </c>
      <c r="G129" s="39" t="s">
        <v>1528</v>
      </c>
      <c r="H129" s="40" t="s">
        <v>1466</v>
      </c>
      <c r="I129" s="39"/>
      <c r="J129" s="39"/>
      <c r="K129" s="39"/>
      <c r="L129" s="40" t="str">
        <f>VLOOKUP(D129,'Active Employees'!$B$2:$B$498,1,false)</f>
        <v>#N/A</v>
      </c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</row>
    <row r="130">
      <c r="A130" s="38" t="s">
        <v>1570</v>
      </c>
      <c r="B130" s="39" t="s">
        <v>1568</v>
      </c>
      <c r="C130" s="39" t="s">
        <v>1595</v>
      </c>
      <c r="D130" s="39" t="s">
        <v>1671</v>
      </c>
      <c r="E130" s="39" t="s">
        <v>1672</v>
      </c>
      <c r="F130" s="39" t="s">
        <v>1481</v>
      </c>
      <c r="G130" s="39" t="s">
        <v>1528</v>
      </c>
      <c r="H130" s="40" t="s">
        <v>1466</v>
      </c>
      <c r="I130" s="39"/>
      <c r="J130" s="39"/>
      <c r="K130" s="39"/>
      <c r="L130" s="40" t="str">
        <f>VLOOKUP(D130,'Active Employees'!$B$2:$B$498,1,false)</f>
        <v>#N/A</v>
      </c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</row>
    <row r="131">
      <c r="A131" s="38" t="s">
        <v>1522</v>
      </c>
      <c r="B131" s="39" t="s">
        <v>1547</v>
      </c>
      <c r="C131" s="39" t="s">
        <v>1565</v>
      </c>
      <c r="D131" s="39" t="s">
        <v>1673</v>
      </c>
      <c r="E131" s="39" t="s">
        <v>1674</v>
      </c>
      <c r="F131" s="39" t="s">
        <v>1640</v>
      </c>
      <c r="G131" s="39" t="s">
        <v>1528</v>
      </c>
      <c r="H131" s="40" t="s">
        <v>1466</v>
      </c>
      <c r="I131" s="39"/>
      <c r="J131" s="39"/>
      <c r="K131" s="39"/>
      <c r="L131" s="40" t="str">
        <f>VLOOKUP(D131,'Active Employees'!$B$2:$B$498,1,false)</f>
        <v>#N/A</v>
      </c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</row>
    <row r="132">
      <c r="A132" s="38" t="s">
        <v>1522</v>
      </c>
      <c r="B132" s="39" t="s">
        <v>1547</v>
      </c>
      <c r="C132" s="39" t="s">
        <v>1558</v>
      </c>
      <c r="D132" s="39" t="s">
        <v>1675</v>
      </c>
      <c r="E132" s="39" t="s">
        <v>1676</v>
      </c>
      <c r="F132" s="39" t="s">
        <v>1630</v>
      </c>
      <c r="G132" s="39" t="s">
        <v>1612</v>
      </c>
      <c r="H132" s="40" t="s">
        <v>1466</v>
      </c>
      <c r="I132" s="39"/>
      <c r="J132" s="39"/>
      <c r="K132" s="39"/>
      <c r="L132" s="40" t="str">
        <f>VLOOKUP(D132,'Active Employees'!$B$2:$B$498,1,false)</f>
        <v>#N/A</v>
      </c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</row>
    <row r="133">
      <c r="A133" s="38" t="s">
        <v>1522</v>
      </c>
      <c r="B133" s="39" t="s">
        <v>1547</v>
      </c>
      <c r="C133" s="39" t="s">
        <v>1565</v>
      </c>
      <c r="D133" s="39" t="s">
        <v>1675</v>
      </c>
      <c r="E133" s="39" t="s">
        <v>1676</v>
      </c>
      <c r="F133" s="39" t="s">
        <v>1634</v>
      </c>
      <c r="G133" s="39" t="s">
        <v>1612</v>
      </c>
      <c r="H133" s="40" t="s">
        <v>1466</v>
      </c>
      <c r="I133" s="39"/>
      <c r="J133" s="39"/>
      <c r="K133" s="39"/>
      <c r="L133" s="40" t="str">
        <f>VLOOKUP(D133,'Active Employees'!$B$2:$B$498,1,false)</f>
        <v>#N/A</v>
      </c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</row>
    <row r="134">
      <c r="A134" s="38" t="s">
        <v>1522</v>
      </c>
      <c r="B134" s="39" t="s">
        <v>1547</v>
      </c>
      <c r="C134" s="39" t="s">
        <v>1565</v>
      </c>
      <c r="D134" s="39" t="s">
        <v>1675</v>
      </c>
      <c r="E134" s="39" t="s">
        <v>1676</v>
      </c>
      <c r="F134" s="39" t="s">
        <v>1630</v>
      </c>
      <c r="G134" s="39" t="s">
        <v>1612</v>
      </c>
      <c r="H134" s="40" t="s">
        <v>1466</v>
      </c>
      <c r="I134" s="39"/>
      <c r="J134" s="39"/>
      <c r="K134" s="39"/>
      <c r="L134" s="40" t="str">
        <f>VLOOKUP(D134,'Active Employees'!$B$2:$B$498,1,false)</f>
        <v>#N/A</v>
      </c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</row>
    <row r="135">
      <c r="A135" s="38" t="s">
        <v>1522</v>
      </c>
      <c r="B135" s="39" t="s">
        <v>1547</v>
      </c>
      <c r="C135" s="39" t="s">
        <v>1565</v>
      </c>
      <c r="D135" s="39" t="s">
        <v>1677</v>
      </c>
      <c r="E135" s="39" t="s">
        <v>1678</v>
      </c>
      <c r="F135" s="39" t="s">
        <v>1637</v>
      </c>
      <c r="G135" s="39" t="s">
        <v>1612</v>
      </c>
      <c r="H135" s="40" t="s">
        <v>1466</v>
      </c>
      <c r="I135" s="39"/>
      <c r="J135" s="39"/>
      <c r="K135" s="39"/>
      <c r="L135" s="40" t="str">
        <f>VLOOKUP(D135,'Active Employees'!$B$2:$B$498,1,false)</f>
        <v>#N/A</v>
      </c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</row>
    <row r="136">
      <c r="A136" s="38" t="s">
        <v>1522</v>
      </c>
      <c r="B136" s="39" t="s">
        <v>1547</v>
      </c>
      <c r="C136" s="39" t="s">
        <v>1565</v>
      </c>
      <c r="D136" s="39" t="s">
        <v>1679</v>
      </c>
      <c r="E136" s="39" t="s">
        <v>1680</v>
      </c>
      <c r="F136" s="39" t="s">
        <v>1640</v>
      </c>
      <c r="G136" s="39" t="s">
        <v>1528</v>
      </c>
      <c r="H136" s="40" t="s">
        <v>1466</v>
      </c>
      <c r="I136" s="39"/>
      <c r="J136" s="39"/>
      <c r="K136" s="39"/>
      <c r="L136" s="40" t="str">
        <f>VLOOKUP(D136,'Active Employees'!$B$2:$B$498,1,false)</f>
        <v>#N/A</v>
      </c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</row>
    <row r="137">
      <c r="A137" s="38" t="s">
        <v>1522</v>
      </c>
      <c r="B137" s="39" t="s">
        <v>1523</v>
      </c>
      <c r="C137" s="39" t="s">
        <v>1524</v>
      </c>
      <c r="D137" s="39" t="s">
        <v>1681</v>
      </c>
      <c r="E137" s="39" t="s">
        <v>1682</v>
      </c>
      <c r="F137" s="39" t="s">
        <v>1541</v>
      </c>
      <c r="G137" s="39" t="s">
        <v>1528</v>
      </c>
      <c r="H137" s="40" t="s">
        <v>1466</v>
      </c>
      <c r="I137" s="39"/>
      <c r="J137" s="39"/>
      <c r="K137" s="39"/>
      <c r="L137" s="40" t="str">
        <f>VLOOKUP(D137,'Active Employees'!$B$2:$B$498,1,false)</f>
        <v>#N/A</v>
      </c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</row>
    <row r="138">
      <c r="A138" s="38" t="s">
        <v>1522</v>
      </c>
      <c r="B138" s="39" t="s">
        <v>1523</v>
      </c>
      <c r="C138" s="39" t="s">
        <v>1524</v>
      </c>
      <c r="D138" s="39" t="s">
        <v>1681</v>
      </c>
      <c r="E138" s="39" t="s">
        <v>1682</v>
      </c>
      <c r="F138" s="39" t="s">
        <v>1600</v>
      </c>
      <c r="G138" s="39" t="s">
        <v>1528</v>
      </c>
      <c r="H138" s="40" t="s">
        <v>1466</v>
      </c>
      <c r="I138" s="39"/>
      <c r="J138" s="39"/>
      <c r="K138" s="39"/>
      <c r="L138" s="40" t="str">
        <f>VLOOKUP(D138,'Active Employees'!$B$2:$B$498,1,false)</f>
        <v>#N/A</v>
      </c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</row>
    <row r="139">
      <c r="A139" s="38" t="s">
        <v>1522</v>
      </c>
      <c r="B139" s="39" t="s">
        <v>1547</v>
      </c>
      <c r="C139" s="39" t="s">
        <v>1548</v>
      </c>
      <c r="D139" s="39" t="s">
        <v>1681</v>
      </c>
      <c r="E139" s="39" t="s">
        <v>1682</v>
      </c>
      <c r="F139" s="39" t="s">
        <v>1481</v>
      </c>
      <c r="G139" s="39" t="s">
        <v>1528</v>
      </c>
      <c r="H139" s="40" t="s">
        <v>1466</v>
      </c>
      <c r="I139" s="39"/>
      <c r="J139" s="39"/>
      <c r="K139" s="39"/>
      <c r="L139" s="40" t="str">
        <f>VLOOKUP(D139,'Active Employees'!$B$2:$B$498,1,false)</f>
        <v>#N/A</v>
      </c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</row>
    <row r="140">
      <c r="A140" s="38" t="s">
        <v>1522</v>
      </c>
      <c r="B140" s="39" t="s">
        <v>1547</v>
      </c>
      <c r="C140" s="39" t="s">
        <v>1558</v>
      </c>
      <c r="D140" s="39" t="s">
        <v>1681</v>
      </c>
      <c r="E140" s="39" t="s">
        <v>1682</v>
      </c>
      <c r="F140" s="39" t="s">
        <v>1683</v>
      </c>
      <c r="G140" s="39" t="s">
        <v>1612</v>
      </c>
      <c r="H140" s="40" t="s">
        <v>1466</v>
      </c>
      <c r="I140" s="39"/>
      <c r="J140" s="39"/>
      <c r="K140" s="39"/>
      <c r="L140" s="40" t="str">
        <f>VLOOKUP(D140,'Active Employees'!$B$2:$B$498,1,false)</f>
        <v>#N/A</v>
      </c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</row>
    <row r="141">
      <c r="A141" s="38" t="s">
        <v>1522</v>
      </c>
      <c r="B141" s="39" t="s">
        <v>1547</v>
      </c>
      <c r="C141" s="39" t="s">
        <v>1565</v>
      </c>
      <c r="D141" s="39" t="s">
        <v>1681</v>
      </c>
      <c r="E141" s="39" t="s">
        <v>1682</v>
      </c>
      <c r="F141" s="39" t="s">
        <v>1683</v>
      </c>
      <c r="G141" s="39" t="s">
        <v>1612</v>
      </c>
      <c r="H141" s="40" t="s">
        <v>1466</v>
      </c>
      <c r="I141" s="39"/>
      <c r="J141" s="39"/>
      <c r="K141" s="39"/>
      <c r="L141" s="40" t="str">
        <f>VLOOKUP(D141,'Active Employees'!$B$2:$B$498,1,false)</f>
        <v>#N/A</v>
      </c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</row>
    <row r="142">
      <c r="A142" s="38" t="s">
        <v>1522</v>
      </c>
      <c r="B142" s="39" t="s">
        <v>1547</v>
      </c>
      <c r="C142" s="39" t="s">
        <v>1566</v>
      </c>
      <c r="D142" s="39" t="s">
        <v>1681</v>
      </c>
      <c r="E142" s="39" t="s">
        <v>1682</v>
      </c>
      <c r="F142" s="39" t="s">
        <v>1683</v>
      </c>
      <c r="G142" s="39" t="s">
        <v>1612</v>
      </c>
      <c r="H142" s="40" t="s">
        <v>1466</v>
      </c>
      <c r="I142" s="39"/>
      <c r="J142" s="39"/>
      <c r="K142" s="39"/>
      <c r="L142" s="40" t="str">
        <f>VLOOKUP(D142,'Active Employees'!$B$2:$B$498,1,false)</f>
        <v>#N/A</v>
      </c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</row>
    <row r="143">
      <c r="A143" s="38" t="s">
        <v>1522</v>
      </c>
      <c r="B143" s="39" t="s">
        <v>1547</v>
      </c>
      <c r="C143" s="39" t="s">
        <v>1567</v>
      </c>
      <c r="D143" s="39" t="s">
        <v>1681</v>
      </c>
      <c r="E143" s="39" t="s">
        <v>1682</v>
      </c>
      <c r="F143" s="39" t="s">
        <v>1683</v>
      </c>
      <c r="G143" s="39" t="s">
        <v>1612</v>
      </c>
      <c r="H143" s="40" t="s">
        <v>1466</v>
      </c>
      <c r="I143" s="39"/>
      <c r="J143" s="39"/>
      <c r="K143" s="39"/>
      <c r="L143" s="40" t="str">
        <f>VLOOKUP(D143,'Active Employees'!$B$2:$B$498,1,false)</f>
        <v>#N/A</v>
      </c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</row>
    <row r="144" hidden="1">
      <c r="A144" s="38" t="s">
        <v>1522</v>
      </c>
      <c r="B144" s="39" t="s">
        <v>1547</v>
      </c>
      <c r="C144" s="39" t="s">
        <v>1558</v>
      </c>
      <c r="D144" s="39" t="s">
        <v>1684</v>
      </c>
      <c r="E144" s="39" t="s">
        <v>1685</v>
      </c>
      <c r="F144" s="39" t="s">
        <v>1686</v>
      </c>
      <c r="G144" s="39" t="s">
        <v>1687</v>
      </c>
      <c r="H144" s="39"/>
      <c r="I144" s="39"/>
      <c r="J144" s="39"/>
      <c r="K144" s="39"/>
      <c r="L144" s="40" t="str">
        <f>VLOOKUP(D144,'Active Employees'!$B$2:$B$498,1,false)</f>
        <v>#N/A</v>
      </c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</row>
    <row r="145" hidden="1">
      <c r="A145" s="38" t="s">
        <v>1522</v>
      </c>
      <c r="B145" s="39" t="s">
        <v>1547</v>
      </c>
      <c r="C145" s="39" t="s">
        <v>1558</v>
      </c>
      <c r="D145" s="39" t="s">
        <v>1688</v>
      </c>
      <c r="E145" s="39" t="s">
        <v>1689</v>
      </c>
      <c r="F145" s="39" t="s">
        <v>1686</v>
      </c>
      <c r="G145" s="39" t="s">
        <v>1687</v>
      </c>
      <c r="H145" s="39"/>
      <c r="I145" s="39"/>
      <c r="J145" s="39"/>
      <c r="K145" s="39"/>
      <c r="L145" s="40" t="str">
        <f>VLOOKUP(D145,'Active Employees'!$B$2:$B$498,1,false)</f>
        <v>#N/A</v>
      </c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</row>
    <row r="146" hidden="1">
      <c r="A146" s="38" t="s">
        <v>1522</v>
      </c>
      <c r="B146" s="39" t="s">
        <v>1547</v>
      </c>
      <c r="C146" s="39" t="s">
        <v>1558</v>
      </c>
      <c r="D146" s="39" t="s">
        <v>1690</v>
      </c>
      <c r="E146" s="39" t="s">
        <v>1691</v>
      </c>
      <c r="F146" s="39" t="s">
        <v>1640</v>
      </c>
      <c r="G146" s="39" t="s">
        <v>1687</v>
      </c>
      <c r="H146" s="39"/>
      <c r="I146" s="39"/>
      <c r="J146" s="39"/>
      <c r="K146" s="39"/>
      <c r="L146" s="40" t="str">
        <f>VLOOKUP(D146,'Active Employees'!$B$2:$B$498,1,false)</f>
        <v>#N/A</v>
      </c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</row>
    <row r="147" hidden="1">
      <c r="A147" s="38" t="s">
        <v>1522</v>
      </c>
      <c r="B147" s="39" t="s">
        <v>1547</v>
      </c>
      <c r="C147" s="39" t="s">
        <v>1558</v>
      </c>
      <c r="D147" s="39" t="s">
        <v>1692</v>
      </c>
      <c r="E147" s="39" t="s">
        <v>1693</v>
      </c>
      <c r="F147" s="39" t="s">
        <v>1481</v>
      </c>
      <c r="G147" s="39" t="s">
        <v>1687</v>
      </c>
      <c r="H147" s="39"/>
      <c r="I147" s="39"/>
      <c r="J147" s="39"/>
      <c r="K147" s="39"/>
      <c r="L147" s="40" t="str">
        <f>VLOOKUP(D147,'Active Employees'!$B$2:$B$498,1,false)</f>
        <v>#N/A</v>
      </c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</row>
    <row r="148" hidden="1">
      <c r="A148" s="38" t="s">
        <v>1522</v>
      </c>
      <c r="B148" s="39" t="s">
        <v>1547</v>
      </c>
      <c r="C148" s="39" t="s">
        <v>1558</v>
      </c>
      <c r="D148" s="39" t="s">
        <v>1692</v>
      </c>
      <c r="E148" s="39" t="s">
        <v>1693</v>
      </c>
      <c r="F148" s="39" t="s">
        <v>1640</v>
      </c>
      <c r="G148" s="39" t="s">
        <v>1687</v>
      </c>
      <c r="H148" s="39"/>
      <c r="I148" s="39"/>
      <c r="J148" s="39"/>
      <c r="K148" s="39"/>
      <c r="L148" s="40" t="str">
        <f>VLOOKUP(D148,'Active Employees'!$B$2:$B$498,1,false)</f>
        <v>#N/A</v>
      </c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</row>
    <row r="149" hidden="1">
      <c r="A149" s="38" t="s">
        <v>1522</v>
      </c>
      <c r="B149" s="39" t="s">
        <v>1547</v>
      </c>
      <c r="C149" s="39" t="s">
        <v>1558</v>
      </c>
      <c r="D149" s="39" t="s">
        <v>1694</v>
      </c>
      <c r="E149" s="39" t="s">
        <v>1695</v>
      </c>
      <c r="F149" s="39" t="s">
        <v>1640</v>
      </c>
      <c r="G149" s="39" t="s">
        <v>1687</v>
      </c>
      <c r="H149" s="39"/>
      <c r="I149" s="39"/>
      <c r="J149" s="39"/>
      <c r="K149" s="39"/>
      <c r="L149" s="40" t="str">
        <f>VLOOKUP(D149,'Active Employees'!$B$2:$B$498,1,false)</f>
        <v>#N/A</v>
      </c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</row>
    <row r="150" hidden="1">
      <c r="A150" s="38" t="s">
        <v>1522</v>
      </c>
      <c r="B150" s="39" t="s">
        <v>1547</v>
      </c>
      <c r="C150" s="39" t="s">
        <v>1558</v>
      </c>
      <c r="D150" s="39" t="s">
        <v>1694</v>
      </c>
      <c r="E150" s="39" t="s">
        <v>1695</v>
      </c>
      <c r="F150" s="39" t="s">
        <v>1640</v>
      </c>
      <c r="G150" s="39" t="s">
        <v>1687</v>
      </c>
      <c r="H150" s="39"/>
      <c r="I150" s="39"/>
      <c r="J150" s="39"/>
      <c r="K150" s="39"/>
      <c r="L150" s="40" t="str">
        <f>VLOOKUP(D150,'Active Employees'!$B$2:$B$498,1,false)</f>
        <v>#N/A</v>
      </c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</row>
    <row r="151" hidden="1">
      <c r="A151" s="38" t="s">
        <v>1522</v>
      </c>
      <c r="B151" s="39" t="s">
        <v>1547</v>
      </c>
      <c r="C151" s="39" t="s">
        <v>1558</v>
      </c>
      <c r="D151" s="39" t="s">
        <v>1696</v>
      </c>
      <c r="E151" s="39" t="s">
        <v>1697</v>
      </c>
      <c r="F151" s="39" t="s">
        <v>1640</v>
      </c>
      <c r="G151" s="39" t="s">
        <v>1687</v>
      </c>
      <c r="H151" s="39"/>
      <c r="I151" s="39"/>
      <c r="J151" s="39"/>
      <c r="K151" s="39"/>
      <c r="L151" s="40" t="str">
        <f>VLOOKUP(D151,'Active Employees'!$B$2:$B$498,1,false)</f>
        <v>#N/A</v>
      </c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</row>
    <row r="152">
      <c r="A152" s="38" t="s">
        <v>1570</v>
      </c>
      <c r="B152" s="39" t="s">
        <v>1523</v>
      </c>
      <c r="C152" s="39" t="s">
        <v>1524</v>
      </c>
      <c r="D152" s="39" t="s">
        <v>1698</v>
      </c>
      <c r="E152" s="39" t="s">
        <v>1682</v>
      </c>
      <c r="F152" s="39" t="s">
        <v>1699</v>
      </c>
      <c r="G152" s="39" t="s">
        <v>1612</v>
      </c>
      <c r="H152" s="40" t="s">
        <v>1466</v>
      </c>
      <c r="I152" s="39"/>
      <c r="J152" s="39"/>
      <c r="K152" s="39"/>
      <c r="L152" s="40" t="str">
        <f>VLOOKUP(D152,'Active Employees'!$B$2:$B$498,1,false)</f>
        <v>#N/A</v>
      </c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</row>
    <row r="153">
      <c r="A153" s="38" t="s">
        <v>1570</v>
      </c>
      <c r="B153" s="39" t="s">
        <v>1547</v>
      </c>
      <c r="C153" s="39" t="s">
        <v>1578</v>
      </c>
      <c r="D153" s="39" t="s">
        <v>1698</v>
      </c>
      <c r="E153" s="39" t="s">
        <v>1682</v>
      </c>
      <c r="F153" s="39" t="s">
        <v>1700</v>
      </c>
      <c r="G153" s="39" t="s">
        <v>1612</v>
      </c>
      <c r="H153" s="40" t="s">
        <v>1466</v>
      </c>
      <c r="I153" s="39"/>
      <c r="J153" s="39"/>
      <c r="K153" s="39"/>
      <c r="L153" s="40" t="str">
        <f>VLOOKUP(D153,'Active Employees'!$B$2:$B$498,1,false)</f>
        <v>#N/A</v>
      </c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</row>
    <row r="154">
      <c r="A154" s="38" t="s">
        <v>1570</v>
      </c>
      <c r="B154" s="39" t="s">
        <v>1547</v>
      </c>
      <c r="C154" s="39" t="s">
        <v>1579</v>
      </c>
      <c r="D154" s="39" t="s">
        <v>1698</v>
      </c>
      <c r="E154" s="39" t="s">
        <v>1682</v>
      </c>
      <c r="F154" s="39" t="s">
        <v>1700</v>
      </c>
      <c r="G154" s="39" t="s">
        <v>1612</v>
      </c>
      <c r="H154" s="40" t="s">
        <v>1466</v>
      </c>
      <c r="I154" s="39"/>
      <c r="J154" s="39"/>
      <c r="K154" s="39"/>
      <c r="L154" s="40" t="str">
        <f>VLOOKUP(D154,'Active Employees'!$B$2:$B$498,1,false)</f>
        <v>#N/A</v>
      </c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</row>
    <row r="155">
      <c r="A155" s="38" t="s">
        <v>1570</v>
      </c>
      <c r="B155" s="39" t="s">
        <v>1547</v>
      </c>
      <c r="C155" s="39" t="s">
        <v>1591</v>
      </c>
      <c r="D155" s="39" t="s">
        <v>1698</v>
      </c>
      <c r="E155" s="39" t="s">
        <v>1682</v>
      </c>
      <c r="F155" s="39" t="s">
        <v>1700</v>
      </c>
      <c r="G155" s="39" t="s">
        <v>1612</v>
      </c>
      <c r="H155" s="40" t="s">
        <v>1466</v>
      </c>
      <c r="I155" s="39"/>
      <c r="J155" s="39"/>
      <c r="K155" s="39"/>
      <c r="L155" s="40" t="str">
        <f>VLOOKUP(D155,'Active Employees'!$B$2:$B$498,1,false)</f>
        <v>#N/A</v>
      </c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</row>
    <row r="156" hidden="1">
      <c r="A156" s="38" t="s">
        <v>1570</v>
      </c>
      <c r="B156" s="39" t="s">
        <v>1547</v>
      </c>
      <c r="C156" s="39" t="s">
        <v>1578</v>
      </c>
      <c r="D156" s="39" t="s">
        <v>1701</v>
      </c>
      <c r="E156" s="39" t="s">
        <v>1702</v>
      </c>
      <c r="F156" s="39" t="s">
        <v>1549</v>
      </c>
      <c r="G156" s="39" t="s">
        <v>1528</v>
      </c>
      <c r="H156" s="40" t="s">
        <v>1469</v>
      </c>
      <c r="I156" s="39"/>
      <c r="J156" s="39"/>
      <c r="K156" s="39"/>
      <c r="L156" s="40" t="str">
        <f>VLOOKUP(D156,'Active Employees'!$B$2:$B$498,1,false)</f>
        <v>#N/A</v>
      </c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</row>
    <row r="157" hidden="1">
      <c r="A157" s="38" t="s">
        <v>1570</v>
      </c>
      <c r="B157" s="39" t="s">
        <v>1547</v>
      </c>
      <c r="C157" s="39" t="s">
        <v>1579</v>
      </c>
      <c r="D157" s="39" t="s">
        <v>1701</v>
      </c>
      <c r="E157" s="39" t="s">
        <v>1702</v>
      </c>
      <c r="F157" s="39" t="s">
        <v>1549</v>
      </c>
      <c r="G157" s="39" t="s">
        <v>1528</v>
      </c>
      <c r="H157" s="40" t="s">
        <v>1469</v>
      </c>
      <c r="I157" s="39"/>
      <c r="J157" s="39"/>
      <c r="K157" s="39"/>
      <c r="L157" s="40" t="str">
        <f>VLOOKUP(D157,'Active Employees'!$B$2:$B$498,1,false)</f>
        <v>#N/A</v>
      </c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</row>
    <row r="158" hidden="1">
      <c r="A158" s="38" t="s">
        <v>1570</v>
      </c>
      <c r="B158" s="39" t="s">
        <v>1547</v>
      </c>
      <c r="C158" s="39" t="s">
        <v>1584</v>
      </c>
      <c r="D158" s="39" t="s">
        <v>1701</v>
      </c>
      <c r="E158" s="39" t="s">
        <v>1702</v>
      </c>
      <c r="F158" s="39" t="s">
        <v>1549</v>
      </c>
      <c r="G158" s="39" t="s">
        <v>1528</v>
      </c>
      <c r="H158" s="40" t="s">
        <v>1469</v>
      </c>
      <c r="I158" s="39"/>
      <c r="J158" s="39"/>
      <c r="K158" s="39"/>
      <c r="L158" s="40" t="str">
        <f>VLOOKUP(D158,'Active Employees'!$B$2:$B$498,1,false)</f>
        <v>#N/A</v>
      </c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</row>
    <row r="159" hidden="1">
      <c r="A159" s="38" t="s">
        <v>1570</v>
      </c>
      <c r="B159" s="39" t="s">
        <v>1547</v>
      </c>
      <c r="C159" s="39" t="s">
        <v>1588</v>
      </c>
      <c r="D159" s="39" t="s">
        <v>1701</v>
      </c>
      <c r="E159" s="39" t="s">
        <v>1702</v>
      </c>
      <c r="F159" s="39" t="s">
        <v>1549</v>
      </c>
      <c r="G159" s="39" t="s">
        <v>1528</v>
      </c>
      <c r="H159" s="40" t="s">
        <v>1469</v>
      </c>
      <c r="I159" s="39"/>
      <c r="J159" s="39"/>
      <c r="K159" s="39"/>
      <c r="L159" s="40" t="str">
        <f>VLOOKUP(D159,'Active Employees'!$B$2:$B$498,1,false)</f>
        <v>#N/A</v>
      </c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</row>
    <row r="160" hidden="1">
      <c r="A160" s="38" t="s">
        <v>1570</v>
      </c>
      <c r="B160" s="39" t="s">
        <v>1547</v>
      </c>
      <c r="C160" s="39" t="s">
        <v>1589</v>
      </c>
      <c r="D160" s="39" t="s">
        <v>1701</v>
      </c>
      <c r="E160" s="39" t="s">
        <v>1702</v>
      </c>
      <c r="F160" s="39" t="s">
        <v>1549</v>
      </c>
      <c r="G160" s="39" t="s">
        <v>1528</v>
      </c>
      <c r="H160" s="40" t="s">
        <v>1469</v>
      </c>
      <c r="I160" s="39"/>
      <c r="J160" s="39"/>
      <c r="K160" s="39"/>
      <c r="L160" s="40" t="str">
        <f>VLOOKUP(D160,'Active Employees'!$B$2:$B$498,1,false)</f>
        <v>#N/A</v>
      </c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</row>
    <row r="161" hidden="1">
      <c r="A161" s="38" t="s">
        <v>1570</v>
      </c>
      <c r="B161" s="39" t="s">
        <v>1547</v>
      </c>
      <c r="C161" s="39" t="s">
        <v>1591</v>
      </c>
      <c r="D161" s="39" t="s">
        <v>1701</v>
      </c>
      <c r="E161" s="39" t="s">
        <v>1702</v>
      </c>
      <c r="F161" s="39" t="s">
        <v>1549</v>
      </c>
      <c r="G161" s="39" t="s">
        <v>1528</v>
      </c>
      <c r="H161" s="40" t="s">
        <v>1469</v>
      </c>
      <c r="I161" s="39"/>
      <c r="J161" s="39"/>
      <c r="K161" s="39"/>
      <c r="L161" s="40" t="str">
        <f>VLOOKUP(D161,'Active Employees'!$B$2:$B$498,1,false)</f>
        <v>#N/A</v>
      </c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</row>
    <row r="162" hidden="1">
      <c r="A162" s="38" t="s">
        <v>1570</v>
      </c>
      <c r="B162" s="39" t="s">
        <v>1547</v>
      </c>
      <c r="C162" s="39" t="s">
        <v>1592</v>
      </c>
      <c r="D162" s="39" t="s">
        <v>1701</v>
      </c>
      <c r="E162" s="39" t="s">
        <v>1702</v>
      </c>
      <c r="F162" s="39" t="s">
        <v>1549</v>
      </c>
      <c r="G162" s="39" t="s">
        <v>1528</v>
      </c>
      <c r="H162" s="40" t="s">
        <v>1469</v>
      </c>
      <c r="I162" s="39"/>
      <c r="J162" s="39"/>
      <c r="K162" s="39"/>
      <c r="L162" s="40" t="str">
        <f>VLOOKUP(D162,'Active Employees'!$B$2:$B$498,1,false)</f>
        <v>#N/A</v>
      </c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</row>
    <row r="163" hidden="1">
      <c r="A163" s="38" t="s">
        <v>1570</v>
      </c>
      <c r="B163" s="39" t="s">
        <v>1547</v>
      </c>
      <c r="C163" s="39" t="s">
        <v>600</v>
      </c>
      <c r="D163" s="39" t="s">
        <v>1701</v>
      </c>
      <c r="E163" s="39" t="s">
        <v>1702</v>
      </c>
      <c r="F163" s="39" t="s">
        <v>1549</v>
      </c>
      <c r="G163" s="39" t="s">
        <v>1528</v>
      </c>
      <c r="H163" s="40" t="s">
        <v>1469</v>
      </c>
      <c r="I163" s="39"/>
      <c r="J163" s="39"/>
      <c r="K163" s="39"/>
      <c r="L163" s="40" t="str">
        <f>VLOOKUP(D163,'Active Employees'!$B$2:$B$498,1,false)</f>
        <v>#N/A</v>
      </c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</row>
    <row r="164" hidden="1">
      <c r="A164" s="38" t="s">
        <v>1570</v>
      </c>
      <c r="B164" s="39" t="s">
        <v>1547</v>
      </c>
      <c r="C164" s="39" t="s">
        <v>1594</v>
      </c>
      <c r="D164" s="39" t="s">
        <v>1701</v>
      </c>
      <c r="E164" s="39" t="s">
        <v>1702</v>
      </c>
      <c r="F164" s="39" t="s">
        <v>1549</v>
      </c>
      <c r="G164" s="39" t="s">
        <v>1528</v>
      </c>
      <c r="H164" s="40" t="s">
        <v>1469</v>
      </c>
      <c r="I164" s="39"/>
      <c r="J164" s="39"/>
      <c r="K164" s="39"/>
      <c r="L164" s="40" t="str">
        <f>VLOOKUP(D164,'Active Employees'!$B$2:$B$498,1,false)</f>
        <v>#N/A</v>
      </c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</row>
    <row r="165" hidden="1">
      <c r="A165" s="38" t="s">
        <v>1570</v>
      </c>
      <c r="B165" s="39" t="s">
        <v>1568</v>
      </c>
      <c r="C165" s="39" t="s">
        <v>1569</v>
      </c>
      <c r="D165" s="39" t="s">
        <v>1701</v>
      </c>
      <c r="E165" s="39" t="s">
        <v>1702</v>
      </c>
      <c r="F165" s="39" t="s">
        <v>1549</v>
      </c>
      <c r="G165" s="39" t="s">
        <v>1528</v>
      </c>
      <c r="H165" s="40" t="s">
        <v>1469</v>
      </c>
      <c r="I165" s="39"/>
      <c r="J165" s="39"/>
      <c r="K165" s="39"/>
      <c r="L165" s="40" t="str">
        <f>VLOOKUP(D165,'Active Employees'!$B$2:$B$498,1,false)</f>
        <v>#N/A</v>
      </c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</row>
    <row r="166" hidden="1">
      <c r="A166" s="38" t="s">
        <v>1570</v>
      </c>
      <c r="B166" s="39" t="s">
        <v>1568</v>
      </c>
      <c r="C166" s="39" t="s">
        <v>1595</v>
      </c>
      <c r="D166" s="39" t="s">
        <v>1701</v>
      </c>
      <c r="E166" s="39" t="s">
        <v>1702</v>
      </c>
      <c r="F166" s="39" t="s">
        <v>1549</v>
      </c>
      <c r="G166" s="39" t="s">
        <v>1528</v>
      </c>
      <c r="H166" s="40" t="s">
        <v>1469</v>
      </c>
      <c r="I166" s="39"/>
      <c r="J166" s="39"/>
      <c r="K166" s="39"/>
      <c r="L166" s="40" t="str">
        <f>VLOOKUP(D166,'Active Employees'!$B$2:$B$498,1,false)</f>
        <v>#N/A</v>
      </c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</row>
    <row r="167">
      <c r="A167" s="38" t="s">
        <v>1570</v>
      </c>
      <c r="B167" s="39" t="s">
        <v>1547</v>
      </c>
      <c r="C167" s="39" t="s">
        <v>1591</v>
      </c>
      <c r="D167" s="39" t="s">
        <v>1698</v>
      </c>
      <c r="E167" s="39" t="s">
        <v>1682</v>
      </c>
      <c r="F167" s="39" t="s">
        <v>1703</v>
      </c>
      <c r="G167" s="39" t="s">
        <v>1612</v>
      </c>
      <c r="H167" s="40" t="s">
        <v>1466</v>
      </c>
      <c r="I167" s="39"/>
      <c r="J167" s="39"/>
      <c r="K167" s="39"/>
      <c r="L167" s="40" t="str">
        <f>VLOOKUP(D167,'Active Employees'!$B$2:$B$498,1,false)</f>
        <v>#N/A</v>
      </c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</row>
    <row r="168">
      <c r="A168" s="38" t="s">
        <v>1570</v>
      </c>
      <c r="B168" s="39" t="s">
        <v>1547</v>
      </c>
      <c r="C168" s="39" t="s">
        <v>1592</v>
      </c>
      <c r="D168" s="39" t="s">
        <v>1698</v>
      </c>
      <c r="E168" s="39" t="s">
        <v>1682</v>
      </c>
      <c r="F168" s="39" t="s">
        <v>1700</v>
      </c>
      <c r="G168" s="39" t="s">
        <v>1612</v>
      </c>
      <c r="H168" s="40" t="s">
        <v>1466</v>
      </c>
      <c r="I168" s="39"/>
      <c r="J168" s="39"/>
      <c r="K168" s="39"/>
      <c r="L168" s="40" t="str">
        <f>VLOOKUP(D168,'Active Employees'!$B$2:$B$498,1,false)</f>
        <v>#N/A</v>
      </c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</row>
    <row r="169">
      <c r="A169" s="38" t="s">
        <v>1570</v>
      </c>
      <c r="B169" s="39" t="s">
        <v>1547</v>
      </c>
      <c r="C169" s="39" t="s">
        <v>1592</v>
      </c>
      <c r="D169" s="39" t="s">
        <v>1698</v>
      </c>
      <c r="E169" s="39" t="s">
        <v>1682</v>
      </c>
      <c r="F169" s="39" t="s">
        <v>1703</v>
      </c>
      <c r="G169" s="39" t="s">
        <v>1612</v>
      </c>
      <c r="H169" s="40" t="s">
        <v>1466</v>
      </c>
      <c r="I169" s="39"/>
      <c r="J169" s="39"/>
      <c r="K169" s="39"/>
      <c r="L169" s="40" t="str">
        <f>VLOOKUP(D169,'Active Employees'!$B$2:$B$498,1,false)</f>
        <v>#N/A</v>
      </c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</row>
    <row r="170">
      <c r="A170" s="38" t="s">
        <v>1570</v>
      </c>
      <c r="B170" s="39" t="s">
        <v>1547</v>
      </c>
      <c r="C170" s="39" t="s">
        <v>1593</v>
      </c>
      <c r="D170" s="39" t="s">
        <v>1698</v>
      </c>
      <c r="E170" s="39" t="s">
        <v>1682</v>
      </c>
      <c r="F170" s="39" t="s">
        <v>1704</v>
      </c>
      <c r="G170" s="39" t="s">
        <v>1612</v>
      </c>
      <c r="H170" s="40" t="s">
        <v>1466</v>
      </c>
      <c r="I170" s="39"/>
      <c r="J170" s="39"/>
      <c r="K170" s="39"/>
      <c r="L170" s="40" t="str">
        <f>VLOOKUP(D170,'Active Employees'!$B$2:$B$498,1,false)</f>
        <v>#N/A</v>
      </c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</row>
    <row r="171">
      <c r="A171" s="38" t="s">
        <v>1522</v>
      </c>
      <c r="B171" s="39" t="s">
        <v>1547</v>
      </c>
      <c r="C171" s="39" t="s">
        <v>1558</v>
      </c>
      <c r="D171" s="39" t="s">
        <v>1705</v>
      </c>
      <c r="E171" s="39" t="s">
        <v>1706</v>
      </c>
      <c r="F171" s="39" t="s">
        <v>1630</v>
      </c>
      <c r="G171" s="39" t="s">
        <v>1612</v>
      </c>
      <c r="H171" s="40" t="s">
        <v>1466</v>
      </c>
      <c r="I171" s="39"/>
      <c r="J171" s="39"/>
      <c r="K171" s="39"/>
      <c r="L171" s="40" t="str">
        <f>VLOOKUP(D171,'Active Employees'!$B$2:$B$498,1,false)</f>
        <v>#N/A</v>
      </c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</row>
    <row r="172">
      <c r="A172" s="38" t="s">
        <v>1522</v>
      </c>
      <c r="B172" s="39" t="s">
        <v>1547</v>
      </c>
      <c r="C172" s="39" t="s">
        <v>1565</v>
      </c>
      <c r="D172" s="39" t="s">
        <v>1705</v>
      </c>
      <c r="E172" s="39" t="s">
        <v>1706</v>
      </c>
      <c r="F172" s="39" t="s">
        <v>1634</v>
      </c>
      <c r="G172" s="39" t="s">
        <v>1612</v>
      </c>
      <c r="H172" s="40" t="s">
        <v>1466</v>
      </c>
      <c r="I172" s="39"/>
      <c r="J172" s="39"/>
      <c r="K172" s="39"/>
      <c r="L172" s="40" t="str">
        <f>VLOOKUP(D172,'Active Employees'!$B$2:$B$498,1,false)</f>
        <v>#N/A</v>
      </c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</row>
    <row r="173">
      <c r="A173" s="38" t="s">
        <v>1522</v>
      </c>
      <c r="B173" s="39" t="s">
        <v>1547</v>
      </c>
      <c r="C173" s="39" t="s">
        <v>1565</v>
      </c>
      <c r="D173" s="39" t="s">
        <v>1705</v>
      </c>
      <c r="E173" s="39" t="s">
        <v>1706</v>
      </c>
      <c r="F173" s="39" t="s">
        <v>1630</v>
      </c>
      <c r="G173" s="39" t="s">
        <v>1612</v>
      </c>
      <c r="H173" s="40" t="s">
        <v>1466</v>
      </c>
      <c r="I173" s="39"/>
      <c r="J173" s="39"/>
      <c r="K173" s="39"/>
      <c r="L173" s="40" t="str">
        <f>VLOOKUP(D173,'Active Employees'!$B$2:$B$498,1,false)</f>
        <v>#N/A</v>
      </c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</row>
    <row r="174">
      <c r="A174" s="38" t="s">
        <v>1570</v>
      </c>
      <c r="B174" s="39" t="s">
        <v>1547</v>
      </c>
      <c r="C174" s="39" t="s">
        <v>1577</v>
      </c>
      <c r="D174" s="39" t="s">
        <v>1707</v>
      </c>
      <c r="E174" s="39" t="s">
        <v>1708</v>
      </c>
      <c r="F174" s="39" t="s">
        <v>1709</v>
      </c>
      <c r="G174" s="39" t="s">
        <v>1612</v>
      </c>
      <c r="H174" s="40" t="s">
        <v>1466</v>
      </c>
      <c r="I174" s="39"/>
      <c r="J174" s="39"/>
      <c r="K174" s="39"/>
      <c r="L174" s="40" t="str">
        <f>VLOOKUP(D174,'Active Employees'!$B$2:$B$498,1,false)</f>
        <v>#N/A</v>
      </c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</row>
    <row r="175">
      <c r="A175" s="38" t="s">
        <v>1522</v>
      </c>
      <c r="B175" s="39" t="s">
        <v>1547</v>
      </c>
      <c r="C175" s="39" t="s">
        <v>1565</v>
      </c>
      <c r="D175" s="39" t="s">
        <v>1710</v>
      </c>
      <c r="E175" s="39" t="s">
        <v>1711</v>
      </c>
      <c r="F175" s="39" t="s">
        <v>1640</v>
      </c>
      <c r="G175" s="39" t="s">
        <v>1528</v>
      </c>
      <c r="H175" s="40" t="s">
        <v>1466</v>
      </c>
      <c r="I175" s="39"/>
      <c r="J175" s="39"/>
      <c r="K175" s="39"/>
      <c r="L175" s="40" t="str">
        <f>VLOOKUP(D175,'Active Employees'!$B$2:$B$498,1,false)</f>
        <v>#N/A</v>
      </c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</row>
    <row r="176">
      <c r="A176" s="38" t="s">
        <v>1522</v>
      </c>
      <c r="B176" s="39" t="s">
        <v>1547</v>
      </c>
      <c r="C176" s="39" t="s">
        <v>1565</v>
      </c>
      <c r="D176" s="39" t="s">
        <v>1710</v>
      </c>
      <c r="E176" s="39" t="s">
        <v>1711</v>
      </c>
      <c r="F176" s="39" t="s">
        <v>1637</v>
      </c>
      <c r="G176" s="39" t="s">
        <v>1612</v>
      </c>
      <c r="H176" s="40" t="s">
        <v>1466</v>
      </c>
      <c r="I176" s="39"/>
      <c r="J176" s="39"/>
      <c r="K176" s="39"/>
      <c r="L176" s="40" t="str">
        <f>VLOOKUP(D176,'Active Employees'!$B$2:$B$498,1,false)</f>
        <v>#N/A</v>
      </c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</row>
    <row r="177">
      <c r="A177" s="38" t="s">
        <v>1522</v>
      </c>
      <c r="B177" s="39" t="s">
        <v>1547</v>
      </c>
      <c r="C177" s="39" t="s">
        <v>1565</v>
      </c>
      <c r="D177" s="39" t="s">
        <v>1712</v>
      </c>
      <c r="E177" s="39" t="s">
        <v>1713</v>
      </c>
      <c r="F177" s="39" t="s">
        <v>1637</v>
      </c>
      <c r="G177" s="39" t="s">
        <v>1612</v>
      </c>
      <c r="H177" s="40" t="s">
        <v>1466</v>
      </c>
      <c r="I177" s="39"/>
      <c r="J177" s="39"/>
      <c r="K177" s="39"/>
      <c r="L177" s="40" t="str">
        <f>VLOOKUP(D177,'Active Employees'!$B$2:$B$498,1,false)</f>
        <v>#N/A</v>
      </c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</row>
    <row r="178">
      <c r="A178" s="38" t="s">
        <v>1522</v>
      </c>
      <c r="B178" s="39" t="s">
        <v>1547</v>
      </c>
      <c r="C178" s="39" t="s">
        <v>1565</v>
      </c>
      <c r="D178" s="39" t="s">
        <v>1714</v>
      </c>
      <c r="E178" s="39" t="s">
        <v>1715</v>
      </c>
      <c r="F178" s="39" t="s">
        <v>1640</v>
      </c>
      <c r="G178" s="39" t="s">
        <v>1528</v>
      </c>
      <c r="H178" s="40" t="s">
        <v>1466</v>
      </c>
      <c r="I178" s="39"/>
      <c r="J178" s="39"/>
      <c r="K178" s="39"/>
      <c r="L178" s="40" t="str">
        <f>VLOOKUP(D178,'Active Employees'!$B$2:$B$498,1,false)</f>
        <v>#N/A</v>
      </c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</row>
    <row r="179">
      <c r="A179" s="38" t="s">
        <v>1522</v>
      </c>
      <c r="B179" s="39" t="s">
        <v>1547</v>
      </c>
      <c r="C179" s="39" t="s">
        <v>1559</v>
      </c>
      <c r="D179" s="39" t="s">
        <v>1716</v>
      </c>
      <c r="E179" s="39" t="s">
        <v>1717</v>
      </c>
      <c r="F179" s="39" t="s">
        <v>1718</v>
      </c>
      <c r="G179" s="39" t="s">
        <v>1612</v>
      </c>
      <c r="H179" s="40" t="s">
        <v>1466</v>
      </c>
      <c r="I179" s="39"/>
      <c r="J179" s="39"/>
      <c r="K179" s="39"/>
      <c r="L179" s="40" t="str">
        <f>VLOOKUP(D179,'Active Employees'!$B$2:$B$498,1,false)</f>
        <v>#N/A</v>
      </c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</row>
    <row r="180">
      <c r="A180" s="38" t="s">
        <v>1522</v>
      </c>
      <c r="B180" s="39" t="s">
        <v>1547</v>
      </c>
      <c r="C180" s="39" t="s">
        <v>1559</v>
      </c>
      <c r="D180" s="39" t="s">
        <v>1716</v>
      </c>
      <c r="E180" s="39" t="s">
        <v>1717</v>
      </c>
      <c r="F180" s="39" t="s">
        <v>1719</v>
      </c>
      <c r="G180" s="39" t="s">
        <v>1612</v>
      </c>
      <c r="H180" s="40" t="s">
        <v>1466</v>
      </c>
      <c r="I180" s="39"/>
      <c r="J180" s="39"/>
      <c r="K180" s="39"/>
      <c r="L180" s="40" t="str">
        <f>VLOOKUP(D180,'Active Employees'!$B$2:$B$498,1,false)</f>
        <v>#N/A</v>
      </c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</row>
    <row r="181">
      <c r="A181" s="38" t="s">
        <v>1522</v>
      </c>
      <c r="B181" s="39" t="s">
        <v>1547</v>
      </c>
      <c r="C181" s="39" t="s">
        <v>1558</v>
      </c>
      <c r="D181" s="39" t="s">
        <v>1720</v>
      </c>
      <c r="E181" s="39" t="s">
        <v>1721</v>
      </c>
      <c r="F181" s="39" t="s">
        <v>1630</v>
      </c>
      <c r="G181" s="39" t="s">
        <v>1612</v>
      </c>
      <c r="H181" s="40" t="s">
        <v>1466</v>
      </c>
      <c r="I181" s="39"/>
      <c r="J181" s="39"/>
      <c r="K181" s="39"/>
      <c r="L181" s="40" t="str">
        <f>VLOOKUP(D181,'Active Employees'!$B$2:$B$498,1,false)</f>
        <v>#N/A</v>
      </c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</row>
    <row r="182">
      <c r="A182" s="38" t="s">
        <v>1522</v>
      </c>
      <c r="B182" s="39" t="s">
        <v>1547</v>
      </c>
      <c r="C182" s="39" t="s">
        <v>1565</v>
      </c>
      <c r="D182" s="39" t="s">
        <v>1720</v>
      </c>
      <c r="E182" s="39" t="s">
        <v>1721</v>
      </c>
      <c r="F182" s="39" t="s">
        <v>1634</v>
      </c>
      <c r="G182" s="39" t="s">
        <v>1612</v>
      </c>
      <c r="H182" s="40" t="s">
        <v>1466</v>
      </c>
      <c r="I182" s="39"/>
      <c r="J182" s="39"/>
      <c r="K182" s="39"/>
      <c r="L182" s="40" t="str">
        <f>VLOOKUP(D182,'Active Employees'!$B$2:$B$498,1,false)</f>
        <v>#N/A</v>
      </c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</row>
    <row r="183">
      <c r="A183" s="38" t="s">
        <v>1522</v>
      </c>
      <c r="B183" s="39" t="s">
        <v>1547</v>
      </c>
      <c r="C183" s="39" t="s">
        <v>1565</v>
      </c>
      <c r="D183" s="39" t="s">
        <v>1720</v>
      </c>
      <c r="E183" s="39" t="s">
        <v>1721</v>
      </c>
      <c r="F183" s="39" t="s">
        <v>1630</v>
      </c>
      <c r="G183" s="39" t="s">
        <v>1612</v>
      </c>
      <c r="H183" s="40" t="s">
        <v>1466</v>
      </c>
      <c r="I183" s="39"/>
      <c r="J183" s="39"/>
      <c r="K183" s="39"/>
      <c r="L183" s="40" t="str">
        <f>VLOOKUP(D183,'Active Employees'!$B$2:$B$498,1,false)</f>
        <v>#N/A</v>
      </c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</row>
    <row r="184">
      <c r="A184" s="38" t="s">
        <v>1522</v>
      </c>
      <c r="B184" s="39" t="s">
        <v>1547</v>
      </c>
      <c r="C184" s="39" t="s">
        <v>1565</v>
      </c>
      <c r="D184" s="39" t="s">
        <v>1722</v>
      </c>
      <c r="E184" s="39" t="s">
        <v>1723</v>
      </c>
      <c r="F184" s="39" t="s">
        <v>1640</v>
      </c>
      <c r="G184" s="39" t="s">
        <v>1528</v>
      </c>
      <c r="H184" s="40" t="s">
        <v>1466</v>
      </c>
      <c r="I184" s="39"/>
      <c r="J184" s="39"/>
      <c r="K184" s="39"/>
      <c r="L184" s="40" t="str">
        <f>VLOOKUP(D184,'Active Employees'!$B$2:$B$498,1,false)</f>
        <v>#N/A</v>
      </c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</row>
    <row r="185">
      <c r="A185" s="38" t="s">
        <v>1522</v>
      </c>
      <c r="B185" s="39" t="s">
        <v>1547</v>
      </c>
      <c r="C185" s="39" t="s">
        <v>1565</v>
      </c>
      <c r="D185" s="39" t="s">
        <v>1724</v>
      </c>
      <c r="E185" s="39" t="s">
        <v>1725</v>
      </c>
      <c r="F185" s="39" t="s">
        <v>1637</v>
      </c>
      <c r="G185" s="39" t="s">
        <v>1612</v>
      </c>
      <c r="H185" s="40" t="s">
        <v>1466</v>
      </c>
      <c r="I185" s="39"/>
      <c r="J185" s="39"/>
      <c r="K185" s="39"/>
      <c r="L185" s="40" t="str">
        <f>VLOOKUP(D185,'Active Employees'!$B$2:$B$498,1,false)</f>
        <v>#N/A</v>
      </c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</row>
    <row r="186">
      <c r="A186" s="38" t="s">
        <v>1522</v>
      </c>
      <c r="B186" s="39" t="s">
        <v>1547</v>
      </c>
      <c r="C186" s="39" t="s">
        <v>1565</v>
      </c>
      <c r="D186" s="39" t="s">
        <v>1726</v>
      </c>
      <c r="E186" s="39" t="s">
        <v>1727</v>
      </c>
      <c r="F186" s="39" t="s">
        <v>1640</v>
      </c>
      <c r="G186" s="39" t="s">
        <v>1528</v>
      </c>
      <c r="H186" s="40" t="s">
        <v>1466</v>
      </c>
      <c r="I186" s="39"/>
      <c r="J186" s="39"/>
      <c r="K186" s="39"/>
      <c r="L186" s="40" t="str">
        <f>VLOOKUP(D186,'Active Employees'!$B$2:$B$498,1,false)</f>
        <v>#N/A</v>
      </c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</row>
    <row r="187">
      <c r="A187" s="38" t="s">
        <v>1522</v>
      </c>
      <c r="B187" s="39" t="s">
        <v>1547</v>
      </c>
      <c r="C187" s="39" t="s">
        <v>1565</v>
      </c>
      <c r="D187" s="39" t="s">
        <v>1728</v>
      </c>
      <c r="E187" s="39" t="s">
        <v>1729</v>
      </c>
      <c r="F187" s="39" t="s">
        <v>1640</v>
      </c>
      <c r="G187" s="39" t="s">
        <v>1528</v>
      </c>
      <c r="H187" s="40" t="s">
        <v>1466</v>
      </c>
      <c r="I187" s="39"/>
      <c r="J187" s="39"/>
      <c r="K187" s="39"/>
      <c r="L187" s="40" t="str">
        <f>VLOOKUP(D187,'Active Employees'!$B$2:$B$498,1,false)</f>
        <v>#N/A</v>
      </c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</row>
    <row r="188">
      <c r="A188" s="38" t="s">
        <v>1522</v>
      </c>
      <c r="B188" s="39" t="s">
        <v>1547</v>
      </c>
      <c r="C188" s="39" t="s">
        <v>1565</v>
      </c>
      <c r="D188" s="39" t="s">
        <v>1730</v>
      </c>
      <c r="E188" s="39" t="s">
        <v>1731</v>
      </c>
      <c r="F188" s="39" t="s">
        <v>1637</v>
      </c>
      <c r="G188" s="39" t="s">
        <v>1612</v>
      </c>
      <c r="H188" s="40" t="s">
        <v>1466</v>
      </c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</row>
    <row r="189">
      <c r="A189" s="38" t="s">
        <v>1522</v>
      </c>
      <c r="B189" s="39" t="s">
        <v>1547</v>
      </c>
      <c r="C189" s="39" t="s">
        <v>1558</v>
      </c>
      <c r="D189" s="39" t="s">
        <v>1732</v>
      </c>
      <c r="E189" s="39" t="s">
        <v>1733</v>
      </c>
      <c r="F189" s="39" t="s">
        <v>1734</v>
      </c>
      <c r="G189" s="39" t="s">
        <v>1612</v>
      </c>
      <c r="H189" s="40" t="s">
        <v>1466</v>
      </c>
      <c r="I189" s="39"/>
      <c r="J189" s="39"/>
      <c r="K189" s="40"/>
      <c r="L189" s="40" t="s">
        <v>1735</v>
      </c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</row>
    <row r="190">
      <c r="A190" s="38" t="s">
        <v>1522</v>
      </c>
      <c r="B190" s="39" t="s">
        <v>1547</v>
      </c>
      <c r="C190" s="39" t="s">
        <v>1558</v>
      </c>
      <c r="D190" s="39" t="s">
        <v>1732</v>
      </c>
      <c r="E190" s="39" t="s">
        <v>1733</v>
      </c>
      <c r="F190" s="39" t="s">
        <v>1736</v>
      </c>
      <c r="G190" s="39" t="s">
        <v>1612</v>
      </c>
      <c r="H190" s="40" t="s">
        <v>1466</v>
      </c>
      <c r="I190" s="39"/>
      <c r="J190" s="39"/>
      <c r="K190" s="40"/>
      <c r="L190" s="40" t="s">
        <v>1735</v>
      </c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</row>
    <row r="191">
      <c r="A191" s="38" t="s">
        <v>1522</v>
      </c>
      <c r="B191" s="39" t="s">
        <v>1547</v>
      </c>
      <c r="C191" s="39" t="s">
        <v>1565</v>
      </c>
      <c r="D191" s="39" t="s">
        <v>1732</v>
      </c>
      <c r="E191" s="39" t="s">
        <v>1733</v>
      </c>
      <c r="F191" s="39" t="s">
        <v>1734</v>
      </c>
      <c r="G191" s="39" t="s">
        <v>1612</v>
      </c>
      <c r="H191" s="40" t="s">
        <v>1466</v>
      </c>
      <c r="I191" s="39"/>
      <c r="J191" s="39"/>
      <c r="K191" s="40"/>
      <c r="L191" s="40" t="s">
        <v>1735</v>
      </c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</row>
    <row r="192">
      <c r="A192" s="38" t="s">
        <v>1522</v>
      </c>
      <c r="B192" s="39" t="s">
        <v>1547</v>
      </c>
      <c r="C192" s="39" t="s">
        <v>1565</v>
      </c>
      <c r="D192" s="39" t="s">
        <v>1732</v>
      </c>
      <c r="E192" s="39" t="s">
        <v>1733</v>
      </c>
      <c r="F192" s="39" t="s">
        <v>1736</v>
      </c>
      <c r="G192" s="39" t="s">
        <v>1612</v>
      </c>
      <c r="H192" s="40" t="s">
        <v>1466</v>
      </c>
      <c r="I192" s="39"/>
      <c r="J192" s="39"/>
      <c r="K192" s="40"/>
      <c r="L192" s="40" t="s">
        <v>1735</v>
      </c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</row>
    <row r="193">
      <c r="A193" s="38" t="s">
        <v>1522</v>
      </c>
      <c r="B193" s="39" t="s">
        <v>1547</v>
      </c>
      <c r="C193" s="39" t="s">
        <v>600</v>
      </c>
      <c r="D193" s="39" t="s">
        <v>1732</v>
      </c>
      <c r="E193" s="39" t="s">
        <v>1733</v>
      </c>
      <c r="F193" s="39" t="s">
        <v>1736</v>
      </c>
      <c r="G193" s="39" t="s">
        <v>1612</v>
      </c>
      <c r="H193" s="40" t="s">
        <v>1466</v>
      </c>
      <c r="I193" s="39"/>
      <c r="J193" s="39"/>
      <c r="K193" s="40"/>
      <c r="L193" s="40" t="s">
        <v>1735</v>
      </c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</row>
    <row r="194">
      <c r="A194" s="38" t="s">
        <v>1522</v>
      </c>
      <c r="B194" s="39" t="s">
        <v>1547</v>
      </c>
      <c r="C194" s="39" t="s">
        <v>1566</v>
      </c>
      <c r="D194" s="39" t="s">
        <v>1732</v>
      </c>
      <c r="E194" s="39" t="s">
        <v>1733</v>
      </c>
      <c r="F194" s="39" t="s">
        <v>1736</v>
      </c>
      <c r="G194" s="39" t="s">
        <v>1612</v>
      </c>
      <c r="H194" s="40" t="s">
        <v>1466</v>
      </c>
      <c r="I194" s="39"/>
      <c r="J194" s="39"/>
      <c r="K194" s="40"/>
      <c r="L194" s="40" t="s">
        <v>1735</v>
      </c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</row>
    <row r="195">
      <c r="A195" s="38" t="s">
        <v>1522</v>
      </c>
      <c r="B195" s="39" t="s">
        <v>1547</v>
      </c>
      <c r="C195" s="39" t="s">
        <v>1566</v>
      </c>
      <c r="D195" s="39" t="s">
        <v>1732</v>
      </c>
      <c r="E195" s="39" t="s">
        <v>1733</v>
      </c>
      <c r="F195" s="39" t="s">
        <v>1734</v>
      </c>
      <c r="G195" s="39" t="s">
        <v>1612</v>
      </c>
      <c r="H195" s="40" t="s">
        <v>1466</v>
      </c>
      <c r="I195" s="39"/>
      <c r="J195" s="39"/>
      <c r="K195" s="40"/>
      <c r="L195" s="40" t="s">
        <v>1735</v>
      </c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</row>
    <row r="196">
      <c r="A196" s="38" t="s">
        <v>1522</v>
      </c>
      <c r="B196" s="39" t="s">
        <v>1547</v>
      </c>
      <c r="C196" s="39" t="s">
        <v>1567</v>
      </c>
      <c r="D196" s="39" t="s">
        <v>1732</v>
      </c>
      <c r="E196" s="39" t="s">
        <v>1733</v>
      </c>
      <c r="F196" s="39" t="s">
        <v>1734</v>
      </c>
      <c r="G196" s="39" t="s">
        <v>1612</v>
      </c>
      <c r="H196" s="40" t="s">
        <v>1466</v>
      </c>
      <c r="I196" s="39"/>
      <c r="J196" s="39"/>
      <c r="K196" s="40"/>
      <c r="L196" s="40" t="s">
        <v>1735</v>
      </c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</row>
    <row r="197">
      <c r="A197" s="38" t="s">
        <v>1522</v>
      </c>
      <c r="B197" s="39" t="s">
        <v>1547</v>
      </c>
      <c r="C197" s="39" t="s">
        <v>1567</v>
      </c>
      <c r="D197" s="39" t="s">
        <v>1732</v>
      </c>
      <c r="E197" s="39" t="s">
        <v>1733</v>
      </c>
      <c r="F197" s="39" t="s">
        <v>1736</v>
      </c>
      <c r="G197" s="39" t="s">
        <v>1612</v>
      </c>
      <c r="H197" s="40" t="s">
        <v>1466</v>
      </c>
      <c r="I197" s="39"/>
      <c r="J197" s="39"/>
      <c r="K197" s="40"/>
      <c r="L197" s="40" t="s">
        <v>1735</v>
      </c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</row>
    <row r="198">
      <c r="A198" s="38" t="s">
        <v>1570</v>
      </c>
      <c r="B198" s="39" t="s">
        <v>1547</v>
      </c>
      <c r="C198" s="39" t="s">
        <v>1578</v>
      </c>
      <c r="D198" s="39" t="s">
        <v>1113</v>
      </c>
      <c r="E198" s="39" t="s">
        <v>1733</v>
      </c>
      <c r="F198" s="39" t="s">
        <v>1734</v>
      </c>
      <c r="G198" s="39" t="s">
        <v>1612</v>
      </c>
      <c r="H198" s="40" t="s">
        <v>1466</v>
      </c>
      <c r="I198" s="39"/>
      <c r="J198" s="39"/>
      <c r="K198" s="40"/>
      <c r="L198" s="40" t="s">
        <v>1735</v>
      </c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</row>
    <row r="199">
      <c r="A199" s="38" t="s">
        <v>1570</v>
      </c>
      <c r="B199" s="39" t="s">
        <v>1547</v>
      </c>
      <c r="C199" s="39" t="s">
        <v>1579</v>
      </c>
      <c r="D199" s="39" t="s">
        <v>1113</v>
      </c>
      <c r="E199" s="39" t="s">
        <v>1733</v>
      </c>
      <c r="F199" s="39" t="s">
        <v>1736</v>
      </c>
      <c r="G199" s="39" t="s">
        <v>1612</v>
      </c>
      <c r="H199" s="40" t="s">
        <v>1466</v>
      </c>
      <c r="I199" s="39"/>
      <c r="J199" s="39"/>
      <c r="K199" s="40"/>
      <c r="L199" s="40" t="s">
        <v>1735</v>
      </c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</row>
    <row r="200">
      <c r="A200" s="38" t="s">
        <v>1570</v>
      </c>
      <c r="B200" s="39" t="s">
        <v>1547</v>
      </c>
      <c r="C200" s="39" t="s">
        <v>1579</v>
      </c>
      <c r="D200" s="39" t="s">
        <v>1113</v>
      </c>
      <c r="E200" s="39" t="s">
        <v>1733</v>
      </c>
      <c r="F200" s="39" t="s">
        <v>1734</v>
      </c>
      <c r="G200" s="39" t="s">
        <v>1612</v>
      </c>
      <c r="H200" s="40" t="s">
        <v>1466</v>
      </c>
      <c r="I200" s="39"/>
      <c r="J200" s="39"/>
      <c r="K200" s="40"/>
      <c r="L200" s="40" t="s">
        <v>1735</v>
      </c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</row>
    <row r="201">
      <c r="A201" s="38" t="s">
        <v>1570</v>
      </c>
      <c r="B201" s="39" t="s">
        <v>1547</v>
      </c>
      <c r="C201" s="39" t="s">
        <v>1588</v>
      </c>
      <c r="D201" s="39" t="s">
        <v>1113</v>
      </c>
      <c r="E201" s="39" t="s">
        <v>1733</v>
      </c>
      <c r="F201" s="39" t="s">
        <v>1734</v>
      </c>
      <c r="G201" s="39" t="s">
        <v>1612</v>
      </c>
      <c r="H201" s="40" t="s">
        <v>1466</v>
      </c>
      <c r="I201" s="39"/>
      <c r="J201" s="39"/>
      <c r="K201" s="40"/>
      <c r="L201" s="40" t="s">
        <v>1735</v>
      </c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</row>
    <row r="202">
      <c r="A202" s="38" t="s">
        <v>1570</v>
      </c>
      <c r="B202" s="39" t="s">
        <v>1547</v>
      </c>
      <c r="C202" s="39" t="s">
        <v>1589</v>
      </c>
      <c r="D202" s="39" t="s">
        <v>1113</v>
      </c>
      <c r="E202" s="39" t="s">
        <v>1733</v>
      </c>
      <c r="F202" s="39" t="s">
        <v>1734</v>
      </c>
      <c r="G202" s="39" t="s">
        <v>1612</v>
      </c>
      <c r="H202" s="40" t="s">
        <v>1466</v>
      </c>
      <c r="I202" s="39"/>
      <c r="J202" s="39"/>
      <c r="K202" s="40"/>
      <c r="L202" s="40" t="s">
        <v>1735</v>
      </c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</row>
    <row r="203">
      <c r="A203" s="38" t="s">
        <v>1570</v>
      </c>
      <c r="B203" s="39" t="s">
        <v>1547</v>
      </c>
      <c r="C203" s="39" t="s">
        <v>1590</v>
      </c>
      <c r="D203" s="39" t="s">
        <v>1113</v>
      </c>
      <c r="E203" s="39" t="s">
        <v>1733</v>
      </c>
      <c r="F203" s="39" t="s">
        <v>1734</v>
      </c>
      <c r="G203" s="39" t="s">
        <v>1612</v>
      </c>
      <c r="H203" s="40" t="s">
        <v>1466</v>
      </c>
      <c r="I203" s="39"/>
      <c r="J203" s="39"/>
      <c r="K203" s="40"/>
      <c r="L203" s="40" t="s">
        <v>1735</v>
      </c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</row>
    <row r="204">
      <c r="A204" s="38" t="s">
        <v>1570</v>
      </c>
      <c r="B204" s="39" t="s">
        <v>1547</v>
      </c>
      <c r="C204" s="39" t="s">
        <v>1591</v>
      </c>
      <c r="D204" s="39" t="s">
        <v>1113</v>
      </c>
      <c r="E204" s="39" t="s">
        <v>1733</v>
      </c>
      <c r="F204" s="39" t="s">
        <v>1736</v>
      </c>
      <c r="G204" s="39" t="s">
        <v>1612</v>
      </c>
      <c r="H204" s="40" t="s">
        <v>1466</v>
      </c>
      <c r="I204" s="39"/>
      <c r="J204" s="39"/>
      <c r="K204" s="40"/>
      <c r="L204" s="40" t="s">
        <v>1735</v>
      </c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</row>
    <row r="205">
      <c r="A205" s="38" t="s">
        <v>1570</v>
      </c>
      <c r="B205" s="39" t="s">
        <v>1547</v>
      </c>
      <c r="C205" s="39" t="s">
        <v>1591</v>
      </c>
      <c r="D205" s="39" t="s">
        <v>1113</v>
      </c>
      <c r="E205" s="39" t="s">
        <v>1733</v>
      </c>
      <c r="F205" s="39" t="s">
        <v>1734</v>
      </c>
      <c r="G205" s="39" t="s">
        <v>1612</v>
      </c>
      <c r="H205" s="40" t="s">
        <v>1466</v>
      </c>
      <c r="I205" s="39"/>
      <c r="J205" s="39"/>
      <c r="K205" s="40"/>
      <c r="L205" s="40" t="s">
        <v>1735</v>
      </c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</row>
    <row r="206">
      <c r="A206" s="38" t="s">
        <v>1570</v>
      </c>
      <c r="B206" s="39" t="s">
        <v>1547</v>
      </c>
      <c r="C206" s="39" t="s">
        <v>1592</v>
      </c>
      <c r="D206" s="39" t="s">
        <v>1113</v>
      </c>
      <c r="E206" s="39" t="s">
        <v>1733</v>
      </c>
      <c r="F206" s="39" t="s">
        <v>1736</v>
      </c>
      <c r="G206" s="39" t="s">
        <v>1612</v>
      </c>
      <c r="H206" s="40" t="s">
        <v>1466</v>
      </c>
      <c r="I206" s="39"/>
      <c r="J206" s="39"/>
      <c r="K206" s="40"/>
      <c r="L206" s="40" t="s">
        <v>1735</v>
      </c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</row>
    <row r="207">
      <c r="A207" s="38" t="s">
        <v>1570</v>
      </c>
      <c r="B207" s="39" t="s">
        <v>1547</v>
      </c>
      <c r="C207" s="39" t="s">
        <v>1592</v>
      </c>
      <c r="D207" s="39" t="s">
        <v>1113</v>
      </c>
      <c r="E207" s="39" t="s">
        <v>1733</v>
      </c>
      <c r="F207" s="39" t="s">
        <v>1734</v>
      </c>
      <c r="G207" s="39" t="s">
        <v>1612</v>
      </c>
      <c r="H207" s="40" t="s">
        <v>1466</v>
      </c>
      <c r="I207" s="39"/>
      <c r="J207" s="39"/>
      <c r="K207" s="40"/>
      <c r="L207" s="40" t="s">
        <v>1735</v>
      </c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</row>
    <row r="208">
      <c r="A208" s="38" t="s">
        <v>1570</v>
      </c>
      <c r="B208" s="39" t="s">
        <v>1547</v>
      </c>
      <c r="C208" s="39" t="s">
        <v>600</v>
      </c>
      <c r="D208" s="39" t="s">
        <v>1113</v>
      </c>
      <c r="E208" s="39" t="s">
        <v>1733</v>
      </c>
      <c r="F208" s="39" t="s">
        <v>1736</v>
      </c>
      <c r="G208" s="39" t="s">
        <v>1612</v>
      </c>
      <c r="H208" s="40" t="s">
        <v>1466</v>
      </c>
      <c r="I208" s="39"/>
      <c r="J208" s="39"/>
      <c r="K208" s="40"/>
      <c r="L208" s="40" t="s">
        <v>1735</v>
      </c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</row>
    <row r="209">
      <c r="A209" s="38" t="s">
        <v>1570</v>
      </c>
      <c r="B209" s="39" t="s">
        <v>1547</v>
      </c>
      <c r="C209" s="39" t="s">
        <v>600</v>
      </c>
      <c r="D209" s="39" t="s">
        <v>1113</v>
      </c>
      <c r="E209" s="39" t="s">
        <v>1733</v>
      </c>
      <c r="F209" s="39" t="s">
        <v>1734</v>
      </c>
      <c r="G209" s="39" t="s">
        <v>1612</v>
      </c>
      <c r="H209" s="40" t="s">
        <v>1466</v>
      </c>
      <c r="I209" s="39"/>
      <c r="J209" s="39"/>
      <c r="K209" s="40"/>
      <c r="L209" s="40" t="s">
        <v>1735</v>
      </c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</row>
    <row r="210">
      <c r="A210" s="38" t="s">
        <v>1570</v>
      </c>
      <c r="B210" s="39" t="s">
        <v>1547</v>
      </c>
      <c r="C210" s="39" t="s">
        <v>1593</v>
      </c>
      <c r="D210" s="39" t="s">
        <v>1113</v>
      </c>
      <c r="E210" s="39" t="s">
        <v>1733</v>
      </c>
      <c r="F210" s="39" t="s">
        <v>1734</v>
      </c>
      <c r="G210" s="39" t="s">
        <v>1612</v>
      </c>
      <c r="H210" s="40" t="s">
        <v>1466</v>
      </c>
      <c r="I210" s="39"/>
      <c r="J210" s="39"/>
      <c r="K210" s="40"/>
      <c r="L210" s="40" t="s">
        <v>1735</v>
      </c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</row>
    <row r="211">
      <c r="A211" s="38" t="s">
        <v>1570</v>
      </c>
      <c r="B211" s="39" t="s">
        <v>1547</v>
      </c>
      <c r="C211" s="39" t="s">
        <v>1594</v>
      </c>
      <c r="D211" s="39" t="s">
        <v>1113</v>
      </c>
      <c r="E211" s="39" t="s">
        <v>1733</v>
      </c>
      <c r="F211" s="39" t="s">
        <v>1734</v>
      </c>
      <c r="G211" s="39" t="s">
        <v>1612</v>
      </c>
      <c r="H211" s="40" t="s">
        <v>1466</v>
      </c>
      <c r="I211" s="39"/>
      <c r="J211" s="39"/>
      <c r="K211" s="40"/>
      <c r="L211" s="40" t="s">
        <v>1735</v>
      </c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</row>
    <row r="212">
      <c r="A212" s="37" t="s">
        <v>1522</v>
      </c>
      <c r="B212" s="31" t="s">
        <v>1547</v>
      </c>
      <c r="C212" s="31" t="s">
        <v>1559</v>
      </c>
      <c r="D212" s="31" t="s">
        <v>1737</v>
      </c>
      <c r="E212" s="31" t="s">
        <v>1738</v>
      </c>
      <c r="F212" s="31" t="s">
        <v>1718</v>
      </c>
      <c r="G212" s="31" t="s">
        <v>1612</v>
      </c>
      <c r="H212" s="32" t="s">
        <v>1469</v>
      </c>
      <c r="I212" s="31"/>
      <c r="J212" s="31"/>
      <c r="K212" s="31"/>
      <c r="L212" s="32" t="str">
        <f>VLOOKUP(D212,'Active Employees'!$B$2:$B$498,1,false)</f>
        <v>#N/A</v>
      </c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</row>
    <row r="213">
      <c r="A213" s="37" t="s">
        <v>1522</v>
      </c>
      <c r="B213" s="31" t="s">
        <v>1547</v>
      </c>
      <c r="C213" s="31" t="s">
        <v>1559</v>
      </c>
      <c r="D213" s="31" t="s">
        <v>1737</v>
      </c>
      <c r="E213" s="31" t="s">
        <v>1738</v>
      </c>
      <c r="F213" s="31" t="s">
        <v>1719</v>
      </c>
      <c r="G213" s="31" t="s">
        <v>1612</v>
      </c>
      <c r="H213" s="32" t="s">
        <v>1469</v>
      </c>
      <c r="I213" s="31"/>
      <c r="J213" s="31"/>
      <c r="K213" s="31"/>
      <c r="L213" s="32" t="str">
        <f>VLOOKUP(D213,'Active Employees'!$B$2:$B$498,1,false)</f>
        <v>#N/A</v>
      </c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</row>
    <row r="214">
      <c r="A214" s="37" t="s">
        <v>1522</v>
      </c>
      <c r="B214" s="31" t="s">
        <v>1547</v>
      </c>
      <c r="C214" s="31" t="s">
        <v>1558</v>
      </c>
      <c r="D214" s="31" t="s">
        <v>1739</v>
      </c>
      <c r="E214" s="31" t="s">
        <v>1740</v>
      </c>
      <c r="F214" s="31" t="s">
        <v>1683</v>
      </c>
      <c r="G214" s="31" t="s">
        <v>1612</v>
      </c>
      <c r="H214" s="32" t="s">
        <v>1469</v>
      </c>
      <c r="I214" s="31"/>
      <c r="J214" s="31"/>
      <c r="K214" s="31"/>
      <c r="L214" s="32" t="str">
        <f>VLOOKUP(D214,'Active Employees'!$B$2:$B$498,1,false)</f>
        <v>#N/A</v>
      </c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</row>
    <row r="215">
      <c r="A215" s="37" t="s">
        <v>1522</v>
      </c>
      <c r="B215" s="31" t="s">
        <v>1547</v>
      </c>
      <c r="C215" s="31" t="s">
        <v>1565</v>
      </c>
      <c r="D215" s="31" t="s">
        <v>1739</v>
      </c>
      <c r="E215" s="31" t="s">
        <v>1740</v>
      </c>
      <c r="F215" s="31" t="s">
        <v>1683</v>
      </c>
      <c r="G215" s="31" t="s">
        <v>1612</v>
      </c>
      <c r="H215" s="32" t="s">
        <v>1469</v>
      </c>
      <c r="I215" s="31"/>
      <c r="J215" s="31"/>
      <c r="K215" s="31"/>
      <c r="L215" s="32" t="str">
        <f>VLOOKUP(D215,'Active Employees'!$B$2:$B$498,1,false)</f>
        <v>#N/A</v>
      </c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</row>
    <row r="216">
      <c r="A216" s="37" t="s">
        <v>1522</v>
      </c>
      <c r="B216" s="31" t="s">
        <v>1547</v>
      </c>
      <c r="C216" s="31" t="s">
        <v>1566</v>
      </c>
      <c r="D216" s="31" t="s">
        <v>1739</v>
      </c>
      <c r="E216" s="31" t="s">
        <v>1740</v>
      </c>
      <c r="F216" s="31" t="s">
        <v>1683</v>
      </c>
      <c r="G216" s="31" t="s">
        <v>1612</v>
      </c>
      <c r="H216" s="32" t="s">
        <v>1469</v>
      </c>
      <c r="I216" s="31"/>
      <c r="J216" s="31"/>
      <c r="K216" s="31"/>
      <c r="L216" s="32" t="str">
        <f>VLOOKUP(D216,'Active Employees'!$B$2:$B$498,1,false)</f>
        <v>#N/A</v>
      </c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</row>
    <row r="217">
      <c r="A217" s="37" t="s">
        <v>1522</v>
      </c>
      <c r="B217" s="31" t="s">
        <v>1547</v>
      </c>
      <c r="C217" s="31" t="s">
        <v>1566</v>
      </c>
      <c r="D217" s="31" t="s">
        <v>1739</v>
      </c>
      <c r="E217" s="31" t="s">
        <v>1740</v>
      </c>
      <c r="F217" s="31" t="s">
        <v>1481</v>
      </c>
      <c r="G217" s="31" t="s">
        <v>1528</v>
      </c>
      <c r="H217" s="32" t="s">
        <v>1469</v>
      </c>
      <c r="I217" s="31"/>
      <c r="J217" s="31"/>
      <c r="K217" s="31"/>
      <c r="L217" s="32" t="str">
        <f>VLOOKUP(D217,'Active Employees'!$B$2:$B$498,1,false)</f>
        <v>#N/A</v>
      </c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</row>
    <row r="218">
      <c r="A218" s="37" t="s">
        <v>1522</v>
      </c>
      <c r="B218" s="31" t="s">
        <v>1547</v>
      </c>
      <c r="C218" s="31" t="s">
        <v>1567</v>
      </c>
      <c r="D218" s="31" t="s">
        <v>1739</v>
      </c>
      <c r="E218" s="31" t="s">
        <v>1740</v>
      </c>
      <c r="F218" s="31" t="s">
        <v>1683</v>
      </c>
      <c r="G218" s="31" t="s">
        <v>1612</v>
      </c>
      <c r="H218" s="32" t="s">
        <v>1469</v>
      </c>
      <c r="I218" s="31"/>
      <c r="J218" s="31"/>
      <c r="K218" s="31"/>
      <c r="L218" s="32" t="str">
        <f>VLOOKUP(D218,'Active Employees'!$B$2:$B$498,1,false)</f>
        <v>#N/A</v>
      </c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</row>
    <row r="219">
      <c r="A219" s="37" t="s">
        <v>1570</v>
      </c>
      <c r="B219" s="31" t="s">
        <v>1523</v>
      </c>
      <c r="C219" s="31" t="s">
        <v>1524</v>
      </c>
      <c r="D219" s="31" t="s">
        <v>724</v>
      </c>
      <c r="E219" s="31" t="s">
        <v>1740</v>
      </c>
      <c r="F219" s="31" t="s">
        <v>1699</v>
      </c>
      <c r="G219" s="31" t="s">
        <v>1612</v>
      </c>
      <c r="H219" s="32" t="s">
        <v>1469</v>
      </c>
      <c r="I219" s="31"/>
      <c r="J219" s="31"/>
      <c r="K219" s="31"/>
      <c r="L219" s="32" t="str">
        <f>VLOOKUP(D219,'Active Employees'!$B$2:$B$498,1,false)</f>
        <v>alex.hokanson@docker.com</v>
      </c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</row>
    <row r="220">
      <c r="A220" s="37" t="s">
        <v>1570</v>
      </c>
      <c r="B220" s="31" t="s">
        <v>1547</v>
      </c>
      <c r="C220" s="31" t="s">
        <v>1576</v>
      </c>
      <c r="D220" s="31" t="s">
        <v>724</v>
      </c>
      <c r="E220" s="31" t="s">
        <v>1740</v>
      </c>
      <c r="F220" s="31" t="s">
        <v>1549</v>
      </c>
      <c r="G220" s="31" t="s">
        <v>1528</v>
      </c>
      <c r="H220" s="32" t="s">
        <v>1469</v>
      </c>
      <c r="I220" s="31"/>
      <c r="J220" s="31"/>
      <c r="K220" s="31"/>
      <c r="L220" s="32" t="str">
        <f>VLOOKUP(D220,'Active Employees'!$B$2:$B$498,1,false)</f>
        <v>alex.hokanson@docker.com</v>
      </c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</row>
    <row r="221">
      <c r="A221" s="37" t="s">
        <v>1570</v>
      </c>
      <c r="B221" s="31" t="s">
        <v>1547</v>
      </c>
      <c r="C221" s="31" t="s">
        <v>1577</v>
      </c>
      <c r="D221" s="31" t="s">
        <v>724</v>
      </c>
      <c r="E221" s="31" t="s">
        <v>1740</v>
      </c>
      <c r="F221" s="31" t="s">
        <v>1549</v>
      </c>
      <c r="G221" s="31" t="s">
        <v>1528</v>
      </c>
      <c r="H221" s="32" t="s">
        <v>1469</v>
      </c>
      <c r="I221" s="31"/>
      <c r="J221" s="31"/>
      <c r="K221" s="31"/>
      <c r="L221" s="32" t="str">
        <f>VLOOKUP(D221,'Active Employees'!$B$2:$B$498,1,false)</f>
        <v>alex.hokanson@docker.com</v>
      </c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</row>
    <row r="222">
      <c r="A222" s="37" t="s">
        <v>1570</v>
      </c>
      <c r="B222" s="31" t="s">
        <v>1547</v>
      </c>
      <c r="C222" s="31" t="s">
        <v>1578</v>
      </c>
      <c r="D222" s="31" t="s">
        <v>724</v>
      </c>
      <c r="E222" s="31" t="s">
        <v>1740</v>
      </c>
      <c r="F222" s="31" t="s">
        <v>1700</v>
      </c>
      <c r="G222" s="31" t="s">
        <v>1612</v>
      </c>
      <c r="H222" s="32" t="s">
        <v>1469</v>
      </c>
      <c r="I222" s="31"/>
      <c r="J222" s="31"/>
      <c r="K222" s="31"/>
      <c r="L222" s="32" t="str">
        <f>VLOOKUP(D222,'Active Employees'!$B$2:$B$498,1,false)</f>
        <v>alex.hokanson@docker.com</v>
      </c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</row>
    <row r="223">
      <c r="A223" s="37" t="s">
        <v>1570</v>
      </c>
      <c r="B223" s="31" t="s">
        <v>1547</v>
      </c>
      <c r="C223" s="31" t="s">
        <v>1578</v>
      </c>
      <c r="D223" s="31" t="s">
        <v>724</v>
      </c>
      <c r="E223" s="31" t="s">
        <v>1740</v>
      </c>
      <c r="F223" s="31" t="s">
        <v>1549</v>
      </c>
      <c r="G223" s="31" t="s">
        <v>1528</v>
      </c>
      <c r="H223" s="32" t="s">
        <v>1469</v>
      </c>
      <c r="I223" s="31"/>
      <c r="J223" s="31"/>
      <c r="K223" s="31"/>
      <c r="L223" s="32" t="str">
        <f>VLOOKUP(D223,'Active Employees'!$B$2:$B$498,1,false)</f>
        <v>alex.hokanson@docker.com</v>
      </c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</row>
    <row r="224">
      <c r="A224" s="37" t="s">
        <v>1570</v>
      </c>
      <c r="B224" s="31" t="s">
        <v>1547</v>
      </c>
      <c r="C224" s="31" t="s">
        <v>1579</v>
      </c>
      <c r="D224" s="31" t="s">
        <v>724</v>
      </c>
      <c r="E224" s="31" t="s">
        <v>1740</v>
      </c>
      <c r="F224" s="31" t="s">
        <v>1700</v>
      </c>
      <c r="G224" s="31" t="s">
        <v>1612</v>
      </c>
      <c r="H224" s="32" t="s">
        <v>1469</v>
      </c>
      <c r="I224" s="31"/>
      <c r="J224" s="31"/>
      <c r="K224" s="31"/>
      <c r="L224" s="32" t="str">
        <f>VLOOKUP(D224,'Active Employees'!$B$2:$B$498,1,false)</f>
        <v>alex.hokanson@docker.com</v>
      </c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</row>
    <row r="225">
      <c r="A225" s="37" t="s">
        <v>1570</v>
      </c>
      <c r="B225" s="31" t="s">
        <v>1547</v>
      </c>
      <c r="C225" s="31" t="s">
        <v>1579</v>
      </c>
      <c r="D225" s="31" t="s">
        <v>724</v>
      </c>
      <c r="E225" s="31" t="s">
        <v>1740</v>
      </c>
      <c r="F225" s="31" t="s">
        <v>1549</v>
      </c>
      <c r="G225" s="31" t="s">
        <v>1528</v>
      </c>
      <c r="H225" s="32" t="s">
        <v>1469</v>
      </c>
      <c r="I225" s="31"/>
      <c r="J225" s="31"/>
      <c r="K225" s="31"/>
      <c r="L225" s="32" t="str">
        <f>VLOOKUP(D225,'Active Employees'!$B$2:$B$498,1,false)</f>
        <v>alex.hokanson@docker.com</v>
      </c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</row>
    <row r="226">
      <c r="A226" s="37" t="s">
        <v>1570</v>
      </c>
      <c r="B226" s="31" t="s">
        <v>1547</v>
      </c>
      <c r="C226" s="31" t="s">
        <v>1584</v>
      </c>
      <c r="D226" s="31" t="s">
        <v>724</v>
      </c>
      <c r="E226" s="31" t="s">
        <v>1740</v>
      </c>
      <c r="F226" s="31" t="s">
        <v>1549</v>
      </c>
      <c r="G226" s="31" t="s">
        <v>1528</v>
      </c>
      <c r="H226" s="32" t="s">
        <v>1469</v>
      </c>
      <c r="I226" s="31"/>
      <c r="J226" s="31"/>
      <c r="K226" s="31"/>
      <c r="L226" s="32" t="str">
        <f>VLOOKUP(D226,'Active Employees'!$B$2:$B$498,1,false)</f>
        <v>alex.hokanson@docker.com</v>
      </c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</row>
    <row r="227">
      <c r="A227" s="37" t="s">
        <v>1570</v>
      </c>
      <c r="B227" s="31" t="s">
        <v>1547</v>
      </c>
      <c r="C227" s="31" t="s">
        <v>1588</v>
      </c>
      <c r="D227" s="31" t="s">
        <v>724</v>
      </c>
      <c r="E227" s="31" t="s">
        <v>1740</v>
      </c>
      <c r="F227" s="31" t="s">
        <v>1549</v>
      </c>
      <c r="G227" s="31" t="s">
        <v>1528</v>
      </c>
      <c r="H227" s="32" t="s">
        <v>1469</v>
      </c>
      <c r="I227" s="31"/>
      <c r="J227" s="31"/>
      <c r="K227" s="31"/>
      <c r="L227" s="32" t="str">
        <f>VLOOKUP(D227,'Active Employees'!$B$2:$B$498,1,false)</f>
        <v>alex.hokanson@docker.com</v>
      </c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</row>
    <row r="228">
      <c r="A228" s="37" t="s">
        <v>1570</v>
      </c>
      <c r="B228" s="31" t="s">
        <v>1547</v>
      </c>
      <c r="C228" s="31" t="s">
        <v>1589</v>
      </c>
      <c r="D228" s="31" t="s">
        <v>724</v>
      </c>
      <c r="E228" s="31" t="s">
        <v>1740</v>
      </c>
      <c r="F228" s="31" t="s">
        <v>1549</v>
      </c>
      <c r="G228" s="31" t="s">
        <v>1528</v>
      </c>
      <c r="H228" s="32" t="s">
        <v>1469</v>
      </c>
      <c r="I228" s="31"/>
      <c r="J228" s="31"/>
      <c r="K228" s="31"/>
      <c r="L228" s="32" t="str">
        <f>VLOOKUP(D228,'Active Employees'!$B$2:$B$498,1,false)</f>
        <v>alex.hokanson@docker.com</v>
      </c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</row>
    <row r="229">
      <c r="A229" s="37" t="s">
        <v>1570</v>
      </c>
      <c r="B229" s="31" t="s">
        <v>1547</v>
      </c>
      <c r="C229" s="31" t="s">
        <v>1590</v>
      </c>
      <c r="D229" s="31" t="s">
        <v>724</v>
      </c>
      <c r="E229" s="31" t="s">
        <v>1740</v>
      </c>
      <c r="F229" s="31" t="s">
        <v>1549</v>
      </c>
      <c r="G229" s="31" t="s">
        <v>1528</v>
      </c>
      <c r="H229" s="32" t="s">
        <v>1469</v>
      </c>
      <c r="I229" s="31"/>
      <c r="J229" s="31"/>
      <c r="K229" s="31"/>
      <c r="L229" s="32" t="str">
        <f>VLOOKUP(D229,'Active Employees'!$B$2:$B$498,1,false)</f>
        <v>alex.hokanson@docker.com</v>
      </c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</row>
    <row r="230">
      <c r="A230" s="37" t="s">
        <v>1570</v>
      </c>
      <c r="B230" s="31" t="s">
        <v>1547</v>
      </c>
      <c r="C230" s="31" t="s">
        <v>1591</v>
      </c>
      <c r="D230" s="31" t="s">
        <v>724</v>
      </c>
      <c r="E230" s="31" t="s">
        <v>1740</v>
      </c>
      <c r="F230" s="31" t="s">
        <v>1700</v>
      </c>
      <c r="G230" s="31" t="s">
        <v>1612</v>
      </c>
      <c r="H230" s="32" t="s">
        <v>1469</v>
      </c>
      <c r="I230" s="31"/>
      <c r="J230" s="31"/>
      <c r="K230" s="31"/>
      <c r="L230" s="32" t="str">
        <f>VLOOKUP(D230,'Active Employees'!$B$2:$B$498,1,false)</f>
        <v>alex.hokanson@docker.com</v>
      </c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</row>
    <row r="231">
      <c r="A231" s="37" t="s">
        <v>1570</v>
      </c>
      <c r="B231" s="31" t="s">
        <v>1547</v>
      </c>
      <c r="C231" s="31" t="s">
        <v>1591</v>
      </c>
      <c r="D231" s="31" t="s">
        <v>724</v>
      </c>
      <c r="E231" s="31" t="s">
        <v>1740</v>
      </c>
      <c r="F231" s="31" t="s">
        <v>1703</v>
      </c>
      <c r="G231" s="31" t="s">
        <v>1612</v>
      </c>
      <c r="H231" s="32" t="s">
        <v>1469</v>
      </c>
      <c r="I231" s="31"/>
      <c r="J231" s="31"/>
      <c r="K231" s="31"/>
      <c r="L231" s="32" t="str">
        <f>VLOOKUP(D231,'Active Employees'!$B$2:$B$498,1,false)</f>
        <v>alex.hokanson@docker.com</v>
      </c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</row>
    <row r="232">
      <c r="A232" s="37" t="s">
        <v>1570</v>
      </c>
      <c r="B232" s="31" t="s">
        <v>1547</v>
      </c>
      <c r="C232" s="31" t="s">
        <v>1591</v>
      </c>
      <c r="D232" s="31" t="s">
        <v>724</v>
      </c>
      <c r="E232" s="31" t="s">
        <v>1740</v>
      </c>
      <c r="F232" s="31" t="s">
        <v>1549</v>
      </c>
      <c r="G232" s="31" t="s">
        <v>1528</v>
      </c>
      <c r="H232" s="32" t="s">
        <v>1469</v>
      </c>
      <c r="I232" s="31"/>
      <c r="J232" s="31"/>
      <c r="K232" s="31"/>
      <c r="L232" s="32" t="str">
        <f>VLOOKUP(D232,'Active Employees'!$B$2:$B$498,1,false)</f>
        <v>alex.hokanson@docker.com</v>
      </c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</row>
    <row r="233">
      <c r="A233" s="37" t="s">
        <v>1570</v>
      </c>
      <c r="B233" s="31" t="s">
        <v>1547</v>
      </c>
      <c r="C233" s="31" t="s">
        <v>1592</v>
      </c>
      <c r="D233" s="31" t="s">
        <v>724</v>
      </c>
      <c r="E233" s="31" t="s">
        <v>1740</v>
      </c>
      <c r="F233" s="31" t="s">
        <v>1700</v>
      </c>
      <c r="G233" s="31" t="s">
        <v>1612</v>
      </c>
      <c r="H233" s="32" t="s">
        <v>1469</v>
      </c>
      <c r="I233" s="31"/>
      <c r="J233" s="31"/>
      <c r="K233" s="31"/>
      <c r="L233" s="32" t="str">
        <f>VLOOKUP(D233,'Active Employees'!$B$2:$B$498,1,false)</f>
        <v>alex.hokanson@docker.com</v>
      </c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</row>
    <row r="234" hidden="1">
      <c r="A234" s="37" t="s">
        <v>1522</v>
      </c>
      <c r="B234" s="31" t="s">
        <v>1547</v>
      </c>
      <c r="C234" s="31" t="s">
        <v>1565</v>
      </c>
      <c r="D234" s="31" t="s">
        <v>1741</v>
      </c>
      <c r="E234" s="31" t="s">
        <v>1742</v>
      </c>
      <c r="F234" s="31" t="s">
        <v>1640</v>
      </c>
      <c r="G234" s="31" t="s">
        <v>1687</v>
      </c>
      <c r="H234" s="31"/>
      <c r="I234" s="31"/>
      <c r="J234" s="31"/>
      <c r="K234" s="31"/>
      <c r="L234" s="32" t="str">
        <f>VLOOKUP(D234,'Active Employees'!$B$2:$B$498,1,false)</f>
        <v>#N/A</v>
      </c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</row>
    <row r="235">
      <c r="A235" s="37" t="s">
        <v>1570</v>
      </c>
      <c r="B235" s="31" t="s">
        <v>1547</v>
      </c>
      <c r="C235" s="31" t="s">
        <v>1592</v>
      </c>
      <c r="D235" s="31" t="s">
        <v>724</v>
      </c>
      <c r="E235" s="31" t="s">
        <v>1740</v>
      </c>
      <c r="F235" s="31" t="s">
        <v>1703</v>
      </c>
      <c r="G235" s="31" t="s">
        <v>1612</v>
      </c>
      <c r="H235" s="32" t="s">
        <v>1469</v>
      </c>
      <c r="I235" s="31"/>
      <c r="J235" s="31"/>
      <c r="K235" s="31"/>
      <c r="L235" s="32" t="str">
        <f>VLOOKUP(D235,'Active Employees'!$B$2:$B$498,1,false)</f>
        <v>alex.hokanson@docker.com</v>
      </c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</row>
    <row r="236">
      <c r="A236" s="37" t="s">
        <v>1570</v>
      </c>
      <c r="B236" s="31" t="s">
        <v>1547</v>
      </c>
      <c r="C236" s="31" t="s">
        <v>1592</v>
      </c>
      <c r="D236" s="31" t="s">
        <v>724</v>
      </c>
      <c r="E236" s="31" t="s">
        <v>1740</v>
      </c>
      <c r="F236" s="31" t="s">
        <v>1549</v>
      </c>
      <c r="G236" s="31" t="s">
        <v>1528</v>
      </c>
      <c r="H236" s="32" t="s">
        <v>1469</v>
      </c>
      <c r="I236" s="31"/>
      <c r="J236" s="31"/>
      <c r="K236" s="31"/>
      <c r="L236" s="32" t="str">
        <f>VLOOKUP(D236,'Active Employees'!$B$2:$B$498,1,false)</f>
        <v>alex.hokanson@docker.com</v>
      </c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</row>
    <row r="237">
      <c r="A237" s="37" t="s">
        <v>1570</v>
      </c>
      <c r="B237" s="31" t="s">
        <v>1547</v>
      </c>
      <c r="C237" s="31" t="s">
        <v>600</v>
      </c>
      <c r="D237" s="31" t="s">
        <v>724</v>
      </c>
      <c r="E237" s="31" t="s">
        <v>1740</v>
      </c>
      <c r="F237" s="31" t="s">
        <v>1549</v>
      </c>
      <c r="G237" s="31" t="s">
        <v>1528</v>
      </c>
      <c r="H237" s="32" t="s">
        <v>1469</v>
      </c>
      <c r="I237" s="31"/>
      <c r="J237" s="31"/>
      <c r="K237" s="31"/>
      <c r="L237" s="32" t="str">
        <f>VLOOKUP(D237,'Active Employees'!$B$2:$B$498,1,false)</f>
        <v>alex.hokanson@docker.com</v>
      </c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</row>
    <row r="238">
      <c r="A238" s="37" t="s">
        <v>1570</v>
      </c>
      <c r="B238" s="31" t="s">
        <v>1547</v>
      </c>
      <c r="C238" s="31" t="s">
        <v>1593</v>
      </c>
      <c r="D238" s="31" t="s">
        <v>724</v>
      </c>
      <c r="E238" s="31" t="s">
        <v>1740</v>
      </c>
      <c r="F238" s="31" t="s">
        <v>1704</v>
      </c>
      <c r="G238" s="31" t="s">
        <v>1612</v>
      </c>
      <c r="H238" s="32" t="s">
        <v>1469</v>
      </c>
      <c r="I238" s="31"/>
      <c r="J238" s="31"/>
      <c r="K238" s="31"/>
      <c r="L238" s="32" t="str">
        <f>VLOOKUP(D238,'Active Employees'!$B$2:$B$498,1,false)</f>
        <v>alex.hokanson@docker.com</v>
      </c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</row>
    <row r="239">
      <c r="A239" s="41" t="s">
        <v>1570</v>
      </c>
      <c r="B239" s="31" t="s">
        <v>1547</v>
      </c>
      <c r="C239" s="31" t="s">
        <v>1593</v>
      </c>
      <c r="D239" s="31" t="s">
        <v>724</v>
      </c>
      <c r="E239" s="31" t="s">
        <v>1740</v>
      </c>
      <c r="F239" s="31" t="s">
        <v>1549</v>
      </c>
      <c r="G239" s="31" t="s">
        <v>1528</v>
      </c>
      <c r="H239" s="32" t="s">
        <v>1469</v>
      </c>
      <c r="I239" s="31"/>
      <c r="J239" s="31"/>
      <c r="K239" s="31"/>
      <c r="L239" s="32" t="str">
        <f>VLOOKUP(D239,'Active Employees'!$B$2:$B$498,1,false)</f>
        <v>alex.hokanson@docker.com</v>
      </c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</row>
    <row r="240">
      <c r="A240" s="37" t="s">
        <v>1570</v>
      </c>
      <c r="B240" s="31" t="s">
        <v>1547</v>
      </c>
      <c r="C240" s="31" t="s">
        <v>1594</v>
      </c>
      <c r="D240" s="31" t="s">
        <v>724</v>
      </c>
      <c r="E240" s="31" t="s">
        <v>1740</v>
      </c>
      <c r="F240" s="31" t="s">
        <v>1549</v>
      </c>
      <c r="G240" s="31" t="s">
        <v>1528</v>
      </c>
      <c r="H240" s="32" t="s">
        <v>1469</v>
      </c>
      <c r="I240" s="31"/>
      <c r="J240" s="31"/>
      <c r="K240" s="31"/>
      <c r="L240" s="32" t="str">
        <f>VLOOKUP(D240,'Active Employees'!$B$2:$B$498,1,false)</f>
        <v>alex.hokanson@docker.com</v>
      </c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</row>
    <row r="241">
      <c r="A241" s="37" t="s">
        <v>1570</v>
      </c>
      <c r="B241" s="31" t="s">
        <v>1568</v>
      </c>
      <c r="C241" s="31" t="s">
        <v>1569</v>
      </c>
      <c r="D241" s="31" t="s">
        <v>724</v>
      </c>
      <c r="E241" s="31" t="s">
        <v>1740</v>
      </c>
      <c r="F241" s="31" t="s">
        <v>1549</v>
      </c>
      <c r="G241" s="31" t="s">
        <v>1528</v>
      </c>
      <c r="H241" s="32" t="s">
        <v>1469</v>
      </c>
      <c r="I241" s="31"/>
      <c r="J241" s="31"/>
      <c r="K241" s="31"/>
      <c r="L241" s="32" t="str">
        <f>VLOOKUP(D241,'Active Employees'!$B$2:$B$498,1,false)</f>
        <v>alex.hokanson@docker.com</v>
      </c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</row>
    <row r="242">
      <c r="A242" s="37" t="s">
        <v>1570</v>
      </c>
      <c r="B242" s="31" t="s">
        <v>1568</v>
      </c>
      <c r="C242" s="31" t="s">
        <v>1595</v>
      </c>
      <c r="D242" s="31" t="s">
        <v>724</v>
      </c>
      <c r="E242" s="31" t="s">
        <v>1740</v>
      </c>
      <c r="F242" s="31" t="s">
        <v>1549</v>
      </c>
      <c r="G242" s="31" t="s">
        <v>1528</v>
      </c>
      <c r="H242" s="32" t="s">
        <v>1469</v>
      </c>
      <c r="I242" s="31"/>
      <c r="J242" s="31"/>
      <c r="K242" s="31"/>
      <c r="L242" s="32" t="str">
        <f>VLOOKUP(D242,'Active Employees'!$B$2:$B$498,1,false)</f>
        <v>alex.hokanson@docker.com</v>
      </c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</row>
    <row r="243">
      <c r="A243" s="37" t="s">
        <v>1522</v>
      </c>
      <c r="B243" s="31" t="s">
        <v>1523</v>
      </c>
      <c r="C243" s="31" t="s">
        <v>1524</v>
      </c>
      <c r="D243" s="31" t="s">
        <v>1743</v>
      </c>
      <c r="E243" s="31" t="s">
        <v>1744</v>
      </c>
      <c r="F243" s="31" t="s">
        <v>1541</v>
      </c>
      <c r="G243" s="31" t="s">
        <v>1528</v>
      </c>
      <c r="H243" s="32" t="s">
        <v>1469</v>
      </c>
      <c r="I243" s="31"/>
      <c r="J243" s="31"/>
      <c r="K243" s="31"/>
      <c r="L243" s="32" t="str">
        <f>VLOOKUP(D243,'Active Employees'!$B$2:$B$498,1,false)</f>
        <v>#N/A</v>
      </c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</row>
    <row r="244">
      <c r="A244" s="37" t="s">
        <v>1522</v>
      </c>
      <c r="B244" s="31" t="s">
        <v>1523</v>
      </c>
      <c r="C244" s="31" t="s">
        <v>1524</v>
      </c>
      <c r="D244" s="31" t="s">
        <v>1743</v>
      </c>
      <c r="E244" s="31" t="s">
        <v>1744</v>
      </c>
      <c r="F244" s="31" t="s">
        <v>1600</v>
      </c>
      <c r="G244" s="31" t="s">
        <v>1528</v>
      </c>
      <c r="H244" s="32" t="s">
        <v>1469</v>
      </c>
      <c r="I244" s="31"/>
      <c r="J244" s="31"/>
      <c r="K244" s="31"/>
      <c r="L244" s="32" t="str">
        <f>VLOOKUP(D244,'Active Employees'!$B$2:$B$498,1,false)</f>
        <v>#N/A</v>
      </c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</row>
    <row r="245">
      <c r="A245" s="37" t="s">
        <v>1522</v>
      </c>
      <c r="B245" s="31" t="s">
        <v>1547</v>
      </c>
      <c r="C245" s="31" t="s">
        <v>1548</v>
      </c>
      <c r="D245" s="31" t="s">
        <v>1743</v>
      </c>
      <c r="E245" s="31" t="s">
        <v>1744</v>
      </c>
      <c r="F245" s="31" t="s">
        <v>1549</v>
      </c>
      <c r="G245" s="31" t="s">
        <v>1528</v>
      </c>
      <c r="H245" s="32" t="s">
        <v>1469</v>
      </c>
      <c r="I245" s="31"/>
      <c r="J245" s="31"/>
      <c r="K245" s="31"/>
      <c r="L245" s="32" t="str">
        <f>VLOOKUP(D245,'Active Employees'!$B$2:$B$498,1,false)</f>
        <v>#N/A</v>
      </c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</row>
    <row r="246">
      <c r="A246" s="37" t="s">
        <v>1522</v>
      </c>
      <c r="B246" s="31" t="s">
        <v>1547</v>
      </c>
      <c r="C246" s="31" t="s">
        <v>1558</v>
      </c>
      <c r="D246" s="31" t="s">
        <v>1743</v>
      </c>
      <c r="E246" s="31" t="s">
        <v>1744</v>
      </c>
      <c r="F246" s="31" t="s">
        <v>1683</v>
      </c>
      <c r="G246" s="31" t="s">
        <v>1612</v>
      </c>
      <c r="H246" s="32" t="s">
        <v>1469</v>
      </c>
      <c r="I246" s="31"/>
      <c r="J246" s="31"/>
      <c r="K246" s="31"/>
      <c r="L246" s="32" t="str">
        <f>VLOOKUP(D246,'Active Employees'!$B$2:$B$498,1,false)</f>
        <v>#N/A</v>
      </c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</row>
    <row r="247">
      <c r="A247" s="37" t="s">
        <v>1522</v>
      </c>
      <c r="B247" s="31" t="s">
        <v>1547</v>
      </c>
      <c r="C247" s="31" t="s">
        <v>1558</v>
      </c>
      <c r="D247" s="31" t="s">
        <v>1743</v>
      </c>
      <c r="E247" s="31" t="s">
        <v>1744</v>
      </c>
      <c r="F247" s="31" t="s">
        <v>1549</v>
      </c>
      <c r="G247" s="31" t="s">
        <v>1528</v>
      </c>
      <c r="H247" s="32" t="s">
        <v>1469</v>
      </c>
      <c r="I247" s="31"/>
      <c r="J247" s="31"/>
      <c r="K247" s="31"/>
      <c r="L247" s="32" t="str">
        <f>VLOOKUP(D247,'Active Employees'!$B$2:$B$498,1,false)</f>
        <v>#N/A</v>
      </c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</row>
    <row r="248">
      <c r="A248" s="37" t="s">
        <v>1522</v>
      </c>
      <c r="B248" s="31" t="s">
        <v>1547</v>
      </c>
      <c r="C248" s="31" t="s">
        <v>1559</v>
      </c>
      <c r="D248" s="31" t="s">
        <v>1743</v>
      </c>
      <c r="E248" s="31" t="s">
        <v>1744</v>
      </c>
      <c r="F248" s="31" t="s">
        <v>1549</v>
      </c>
      <c r="G248" s="31" t="s">
        <v>1528</v>
      </c>
      <c r="H248" s="32" t="s">
        <v>1469</v>
      </c>
      <c r="I248" s="31"/>
      <c r="J248" s="31"/>
      <c r="K248" s="31"/>
      <c r="L248" s="32" t="str">
        <f>VLOOKUP(D248,'Active Employees'!$B$2:$B$498,1,false)</f>
        <v>#N/A</v>
      </c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</row>
    <row r="249">
      <c r="A249" s="37" t="s">
        <v>1522</v>
      </c>
      <c r="B249" s="31" t="s">
        <v>1547</v>
      </c>
      <c r="C249" s="31" t="s">
        <v>1559</v>
      </c>
      <c r="D249" s="31" t="s">
        <v>1743</v>
      </c>
      <c r="E249" s="31" t="s">
        <v>1744</v>
      </c>
      <c r="F249" s="31" t="s">
        <v>1549</v>
      </c>
      <c r="G249" s="31" t="s">
        <v>1528</v>
      </c>
      <c r="H249" s="32" t="s">
        <v>1469</v>
      </c>
      <c r="I249" s="31"/>
      <c r="J249" s="31"/>
      <c r="K249" s="31"/>
      <c r="L249" s="32" t="str">
        <f>VLOOKUP(D249,'Active Employees'!$B$2:$B$498,1,false)</f>
        <v>#N/A</v>
      </c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</row>
    <row r="250">
      <c r="A250" s="37" t="s">
        <v>1522</v>
      </c>
      <c r="B250" s="31" t="s">
        <v>1547</v>
      </c>
      <c r="C250" s="31" t="s">
        <v>1565</v>
      </c>
      <c r="D250" s="31" t="s">
        <v>1743</v>
      </c>
      <c r="E250" s="31" t="s">
        <v>1744</v>
      </c>
      <c r="F250" s="31" t="s">
        <v>1683</v>
      </c>
      <c r="G250" s="31" t="s">
        <v>1612</v>
      </c>
      <c r="H250" s="32" t="s">
        <v>1469</v>
      </c>
      <c r="I250" s="31"/>
      <c r="J250" s="31"/>
      <c r="K250" s="31"/>
      <c r="L250" s="32" t="str">
        <f>VLOOKUP(D250,'Active Employees'!$B$2:$B$498,1,false)</f>
        <v>#N/A</v>
      </c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</row>
    <row r="251">
      <c r="A251" s="37" t="s">
        <v>1522</v>
      </c>
      <c r="B251" s="31" t="s">
        <v>1547</v>
      </c>
      <c r="C251" s="31" t="s">
        <v>1565</v>
      </c>
      <c r="D251" s="31" t="s">
        <v>1743</v>
      </c>
      <c r="E251" s="31" t="s">
        <v>1744</v>
      </c>
      <c r="F251" s="31" t="s">
        <v>1549</v>
      </c>
      <c r="G251" s="31" t="s">
        <v>1528</v>
      </c>
      <c r="H251" s="32" t="s">
        <v>1469</v>
      </c>
      <c r="I251" s="31"/>
      <c r="J251" s="31"/>
      <c r="K251" s="31"/>
      <c r="L251" s="32" t="str">
        <f>VLOOKUP(D251,'Active Employees'!$B$2:$B$498,1,false)</f>
        <v>#N/A</v>
      </c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</row>
    <row r="252">
      <c r="A252" s="37" t="s">
        <v>1522</v>
      </c>
      <c r="B252" s="31" t="s">
        <v>1547</v>
      </c>
      <c r="C252" s="31" t="s">
        <v>600</v>
      </c>
      <c r="D252" s="31" t="s">
        <v>1743</v>
      </c>
      <c r="E252" s="31" t="s">
        <v>1744</v>
      </c>
      <c r="F252" s="31" t="s">
        <v>1549</v>
      </c>
      <c r="G252" s="31" t="s">
        <v>1528</v>
      </c>
      <c r="H252" s="32" t="s">
        <v>1469</v>
      </c>
      <c r="I252" s="31"/>
      <c r="J252" s="31"/>
      <c r="K252" s="31"/>
      <c r="L252" s="32" t="str">
        <f>VLOOKUP(D252,'Active Employees'!$B$2:$B$498,1,false)</f>
        <v>#N/A</v>
      </c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</row>
    <row r="253">
      <c r="A253" s="37" t="s">
        <v>1522</v>
      </c>
      <c r="B253" s="31" t="s">
        <v>1547</v>
      </c>
      <c r="C253" s="31" t="s">
        <v>1566</v>
      </c>
      <c r="D253" s="31" t="s">
        <v>1743</v>
      </c>
      <c r="E253" s="31" t="s">
        <v>1744</v>
      </c>
      <c r="F253" s="31" t="s">
        <v>1683</v>
      </c>
      <c r="G253" s="31" t="s">
        <v>1612</v>
      </c>
      <c r="H253" s="32" t="s">
        <v>1469</v>
      </c>
      <c r="I253" s="31"/>
      <c r="J253" s="31"/>
      <c r="K253" s="31"/>
      <c r="L253" s="32" t="str">
        <f>VLOOKUP(D253,'Active Employees'!$B$2:$B$498,1,false)</f>
        <v>#N/A</v>
      </c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</row>
    <row r="254">
      <c r="A254" s="37" t="s">
        <v>1522</v>
      </c>
      <c r="B254" s="31" t="s">
        <v>1547</v>
      </c>
      <c r="C254" s="31" t="s">
        <v>1566</v>
      </c>
      <c r="D254" s="31" t="s">
        <v>1743</v>
      </c>
      <c r="E254" s="31" t="s">
        <v>1744</v>
      </c>
      <c r="F254" s="31" t="s">
        <v>1549</v>
      </c>
      <c r="G254" s="31" t="s">
        <v>1528</v>
      </c>
      <c r="H254" s="32" t="s">
        <v>1469</v>
      </c>
      <c r="I254" s="31"/>
      <c r="J254" s="31"/>
      <c r="K254" s="31"/>
      <c r="L254" s="32" t="str">
        <f>VLOOKUP(D254,'Active Employees'!$B$2:$B$498,1,false)</f>
        <v>#N/A</v>
      </c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</row>
    <row r="255">
      <c r="A255" s="37" t="s">
        <v>1522</v>
      </c>
      <c r="B255" s="31" t="s">
        <v>1547</v>
      </c>
      <c r="C255" s="31" t="s">
        <v>1567</v>
      </c>
      <c r="D255" s="31" t="s">
        <v>1743</v>
      </c>
      <c r="E255" s="31" t="s">
        <v>1744</v>
      </c>
      <c r="F255" s="31" t="s">
        <v>1683</v>
      </c>
      <c r="G255" s="31" t="s">
        <v>1612</v>
      </c>
      <c r="H255" s="32" t="s">
        <v>1469</v>
      </c>
      <c r="I255" s="31"/>
      <c r="J255" s="31"/>
      <c r="K255" s="31"/>
      <c r="L255" s="32" t="str">
        <f>VLOOKUP(D255,'Active Employees'!$B$2:$B$498,1,false)</f>
        <v>#N/A</v>
      </c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</row>
    <row r="256">
      <c r="A256" s="37" t="s">
        <v>1522</v>
      </c>
      <c r="B256" s="31" t="s">
        <v>1547</v>
      </c>
      <c r="C256" s="31" t="s">
        <v>1567</v>
      </c>
      <c r="D256" s="31" t="s">
        <v>1743</v>
      </c>
      <c r="E256" s="31" t="s">
        <v>1744</v>
      </c>
      <c r="F256" s="31" t="s">
        <v>1549</v>
      </c>
      <c r="G256" s="31" t="s">
        <v>1528</v>
      </c>
      <c r="H256" s="32" t="s">
        <v>1469</v>
      </c>
      <c r="I256" s="31"/>
      <c r="J256" s="31"/>
      <c r="K256" s="31"/>
      <c r="L256" s="32" t="str">
        <f>VLOOKUP(D256,'Active Employees'!$B$2:$B$498,1,false)</f>
        <v>#N/A</v>
      </c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</row>
    <row r="257">
      <c r="A257" s="37" t="s">
        <v>1522</v>
      </c>
      <c r="B257" s="31" t="s">
        <v>1568</v>
      </c>
      <c r="C257" s="31" t="s">
        <v>1569</v>
      </c>
      <c r="D257" s="31" t="s">
        <v>1743</v>
      </c>
      <c r="E257" s="31" t="s">
        <v>1744</v>
      </c>
      <c r="F257" s="31" t="s">
        <v>1549</v>
      </c>
      <c r="G257" s="31" t="s">
        <v>1528</v>
      </c>
      <c r="H257" s="32" t="s">
        <v>1469</v>
      </c>
      <c r="I257" s="31"/>
      <c r="J257" s="31"/>
      <c r="K257" s="31"/>
      <c r="L257" s="32" t="str">
        <f>VLOOKUP(D257,'Active Employees'!$B$2:$B$498,1,false)</f>
        <v>#N/A</v>
      </c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</row>
    <row r="258" hidden="1">
      <c r="A258" s="37" t="s">
        <v>1522</v>
      </c>
      <c r="B258" s="31" t="s">
        <v>1547</v>
      </c>
      <c r="C258" s="31" t="s">
        <v>1565</v>
      </c>
      <c r="D258" s="31" t="s">
        <v>1745</v>
      </c>
      <c r="E258" s="31" t="s">
        <v>1746</v>
      </c>
      <c r="F258" s="31" t="s">
        <v>1640</v>
      </c>
      <c r="G258" s="31" t="s">
        <v>1687</v>
      </c>
      <c r="H258" s="32" t="s">
        <v>1469</v>
      </c>
      <c r="I258" s="31"/>
      <c r="J258" s="31"/>
      <c r="K258" s="31"/>
      <c r="L258" s="32" t="str">
        <f>VLOOKUP(D258,'Active Employees'!$B$2:$B$498,1,false)</f>
        <v>#N/A</v>
      </c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</row>
    <row r="259" hidden="1">
      <c r="A259" s="37" t="s">
        <v>1522</v>
      </c>
      <c r="B259" s="31" t="s">
        <v>1547</v>
      </c>
      <c r="C259" s="31" t="s">
        <v>1565</v>
      </c>
      <c r="D259" s="31" t="s">
        <v>1747</v>
      </c>
      <c r="E259" s="31" t="s">
        <v>1748</v>
      </c>
      <c r="F259" s="31" t="s">
        <v>1640</v>
      </c>
      <c r="G259" s="31" t="s">
        <v>1687</v>
      </c>
      <c r="H259" s="32" t="s">
        <v>1469</v>
      </c>
      <c r="I259" s="31"/>
      <c r="J259" s="31"/>
      <c r="K259" s="31"/>
      <c r="L259" s="32" t="str">
        <f>VLOOKUP(D259,'Active Employees'!$B$2:$B$498,1,false)</f>
        <v>#N/A</v>
      </c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</row>
    <row r="260" hidden="1">
      <c r="A260" s="37" t="s">
        <v>1522</v>
      </c>
      <c r="B260" s="31" t="s">
        <v>1547</v>
      </c>
      <c r="C260" s="31" t="s">
        <v>1565</v>
      </c>
      <c r="D260" s="31" t="s">
        <v>1749</v>
      </c>
      <c r="E260" s="31" t="s">
        <v>1750</v>
      </c>
      <c r="F260" s="31" t="s">
        <v>1640</v>
      </c>
      <c r="G260" s="31" t="s">
        <v>1687</v>
      </c>
      <c r="H260" s="32" t="s">
        <v>1469</v>
      </c>
      <c r="I260" s="31"/>
      <c r="J260" s="31"/>
      <c r="K260" s="31"/>
      <c r="L260" s="32" t="str">
        <f>VLOOKUP(D260,'Active Employees'!$B$2:$B$498,1,false)</f>
        <v>#N/A</v>
      </c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</row>
    <row r="261" hidden="1">
      <c r="A261" s="37" t="s">
        <v>1522</v>
      </c>
      <c r="B261" s="31" t="s">
        <v>1547</v>
      </c>
      <c r="C261" s="31" t="s">
        <v>1565</v>
      </c>
      <c r="D261" s="31" t="s">
        <v>1751</v>
      </c>
      <c r="E261" s="31" t="s">
        <v>1752</v>
      </c>
      <c r="F261" s="31" t="s">
        <v>1640</v>
      </c>
      <c r="G261" s="31" t="s">
        <v>1687</v>
      </c>
      <c r="H261" s="32" t="s">
        <v>1469</v>
      </c>
      <c r="I261" s="31"/>
      <c r="J261" s="31"/>
      <c r="K261" s="31"/>
      <c r="L261" s="32" t="str">
        <f>VLOOKUP(D261,'Active Employees'!$B$2:$B$498,1,false)</f>
        <v>#N/A</v>
      </c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</row>
    <row r="262" hidden="1">
      <c r="A262" s="37" t="s">
        <v>1522</v>
      </c>
      <c r="B262" s="31" t="s">
        <v>1547</v>
      </c>
      <c r="C262" s="31" t="s">
        <v>1558</v>
      </c>
      <c r="D262" s="31" t="s">
        <v>1753</v>
      </c>
      <c r="E262" s="31" t="s">
        <v>1754</v>
      </c>
      <c r="F262" s="31" t="s">
        <v>1734</v>
      </c>
      <c r="G262" s="31" t="s">
        <v>1612</v>
      </c>
      <c r="H262" s="32" t="s">
        <v>1469</v>
      </c>
      <c r="I262" s="31"/>
      <c r="J262" s="31"/>
      <c r="K262" s="31"/>
      <c r="L262" s="32" t="str">
        <f>VLOOKUP(D262,'Active Employees'!$B$2:$B$498,1,false)</f>
        <v>#N/A</v>
      </c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</row>
    <row r="263">
      <c r="A263" s="37" t="s">
        <v>1522</v>
      </c>
      <c r="B263" s="31" t="s">
        <v>1547</v>
      </c>
      <c r="C263" s="31" t="s">
        <v>1558</v>
      </c>
      <c r="D263" s="31" t="s">
        <v>1753</v>
      </c>
      <c r="E263" s="31" t="s">
        <v>1754</v>
      </c>
      <c r="F263" s="31" t="s">
        <v>1736</v>
      </c>
      <c r="G263" s="31" t="s">
        <v>1612</v>
      </c>
      <c r="H263" s="32" t="s">
        <v>1469</v>
      </c>
      <c r="I263" s="31"/>
      <c r="J263" s="31"/>
      <c r="K263" s="31"/>
      <c r="L263" s="32" t="str">
        <f>VLOOKUP(D263,'Active Employees'!$B$2:$B$498,1,false)</f>
        <v>#N/A</v>
      </c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</row>
    <row r="264" hidden="1">
      <c r="A264" s="37" t="s">
        <v>1522</v>
      </c>
      <c r="B264" s="31" t="s">
        <v>1547</v>
      </c>
      <c r="C264" s="31" t="s">
        <v>1565</v>
      </c>
      <c r="D264" s="31" t="s">
        <v>1753</v>
      </c>
      <c r="E264" s="31" t="s">
        <v>1754</v>
      </c>
      <c r="F264" s="31" t="s">
        <v>1734</v>
      </c>
      <c r="G264" s="31" t="s">
        <v>1612</v>
      </c>
      <c r="H264" s="32" t="s">
        <v>1469</v>
      </c>
      <c r="I264" s="31"/>
      <c r="J264" s="31"/>
      <c r="K264" s="31"/>
      <c r="L264" s="32" t="str">
        <f>VLOOKUP(D264,'Active Employees'!$B$2:$B$498,1,false)</f>
        <v>#N/A</v>
      </c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</row>
    <row r="265">
      <c r="A265" s="37" t="s">
        <v>1522</v>
      </c>
      <c r="B265" s="31" t="s">
        <v>1547</v>
      </c>
      <c r="C265" s="31" t="s">
        <v>1565</v>
      </c>
      <c r="D265" s="31" t="s">
        <v>1753</v>
      </c>
      <c r="E265" s="31" t="s">
        <v>1754</v>
      </c>
      <c r="F265" s="31" t="s">
        <v>1736</v>
      </c>
      <c r="G265" s="31" t="s">
        <v>1612</v>
      </c>
      <c r="H265" s="32" t="s">
        <v>1469</v>
      </c>
      <c r="I265" s="31"/>
      <c r="J265" s="31"/>
      <c r="K265" s="31"/>
      <c r="L265" s="32" t="str">
        <f>VLOOKUP(D265,'Active Employees'!$B$2:$B$498,1,false)</f>
        <v>#N/A</v>
      </c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</row>
    <row r="266">
      <c r="A266" s="37" t="s">
        <v>1522</v>
      </c>
      <c r="B266" s="31" t="s">
        <v>1547</v>
      </c>
      <c r="C266" s="31" t="s">
        <v>600</v>
      </c>
      <c r="D266" s="31" t="s">
        <v>1753</v>
      </c>
      <c r="E266" s="31" t="s">
        <v>1754</v>
      </c>
      <c r="F266" s="31" t="s">
        <v>1736</v>
      </c>
      <c r="G266" s="31" t="s">
        <v>1612</v>
      </c>
      <c r="H266" s="32" t="s">
        <v>1469</v>
      </c>
      <c r="I266" s="31"/>
      <c r="J266" s="31"/>
      <c r="K266" s="31"/>
      <c r="L266" s="32" t="str">
        <f>VLOOKUP(D266,'Active Employees'!$B$2:$B$498,1,false)</f>
        <v>#N/A</v>
      </c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</row>
    <row r="267">
      <c r="A267" s="37" t="s">
        <v>1522</v>
      </c>
      <c r="B267" s="31" t="s">
        <v>1547</v>
      </c>
      <c r="C267" s="31" t="s">
        <v>1566</v>
      </c>
      <c r="D267" s="31" t="s">
        <v>1753</v>
      </c>
      <c r="E267" s="31" t="s">
        <v>1754</v>
      </c>
      <c r="F267" s="31" t="s">
        <v>1736</v>
      </c>
      <c r="G267" s="31" t="s">
        <v>1612</v>
      </c>
      <c r="H267" s="32" t="s">
        <v>1469</v>
      </c>
      <c r="I267" s="31"/>
      <c r="J267" s="31"/>
      <c r="K267" s="31"/>
      <c r="L267" s="32" t="str">
        <f>VLOOKUP(D267,'Active Employees'!$B$2:$B$498,1,false)</f>
        <v>#N/A</v>
      </c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</row>
    <row r="268" hidden="1">
      <c r="A268" s="37" t="s">
        <v>1522</v>
      </c>
      <c r="B268" s="31" t="s">
        <v>1547</v>
      </c>
      <c r="C268" s="31" t="s">
        <v>1566</v>
      </c>
      <c r="D268" s="31" t="s">
        <v>1753</v>
      </c>
      <c r="E268" s="31" t="s">
        <v>1754</v>
      </c>
      <c r="F268" s="31" t="s">
        <v>1734</v>
      </c>
      <c r="G268" s="31" t="s">
        <v>1612</v>
      </c>
      <c r="H268" s="32" t="s">
        <v>1469</v>
      </c>
      <c r="I268" s="31"/>
      <c r="J268" s="31"/>
      <c r="K268" s="31"/>
      <c r="L268" s="32" t="str">
        <f>VLOOKUP(D268,'Active Employees'!$B$2:$B$498,1,false)</f>
        <v>#N/A</v>
      </c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</row>
    <row r="269" hidden="1">
      <c r="A269" s="37" t="s">
        <v>1522</v>
      </c>
      <c r="B269" s="31" t="s">
        <v>1547</v>
      </c>
      <c r="C269" s="31" t="s">
        <v>1567</v>
      </c>
      <c r="D269" s="31" t="s">
        <v>1753</v>
      </c>
      <c r="E269" s="31" t="s">
        <v>1754</v>
      </c>
      <c r="F269" s="31" t="s">
        <v>1734</v>
      </c>
      <c r="G269" s="31" t="s">
        <v>1612</v>
      </c>
      <c r="H269" s="32" t="s">
        <v>1469</v>
      </c>
      <c r="I269" s="31"/>
      <c r="J269" s="31"/>
      <c r="K269" s="31"/>
      <c r="L269" s="32" t="str">
        <f>VLOOKUP(D269,'Active Employees'!$B$2:$B$498,1,false)</f>
        <v>#N/A</v>
      </c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</row>
    <row r="270">
      <c r="A270" s="37" t="s">
        <v>1522</v>
      </c>
      <c r="B270" s="31" t="s">
        <v>1547</v>
      </c>
      <c r="C270" s="31" t="s">
        <v>1567</v>
      </c>
      <c r="D270" s="31" t="s">
        <v>1753</v>
      </c>
      <c r="E270" s="31" t="s">
        <v>1754</v>
      </c>
      <c r="F270" s="31" t="s">
        <v>1736</v>
      </c>
      <c r="G270" s="31" t="s">
        <v>1612</v>
      </c>
      <c r="H270" s="32" t="s">
        <v>1469</v>
      </c>
      <c r="I270" s="31"/>
      <c r="J270" s="31"/>
      <c r="K270" s="31"/>
      <c r="L270" s="32" t="str">
        <f>VLOOKUP(D270,'Active Employees'!$B$2:$B$498,1,false)</f>
        <v>#N/A</v>
      </c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</row>
    <row r="271" hidden="1">
      <c r="A271" s="37" t="s">
        <v>1570</v>
      </c>
      <c r="B271" s="31" t="s">
        <v>1547</v>
      </c>
      <c r="C271" s="31" t="s">
        <v>1578</v>
      </c>
      <c r="D271" s="31" t="s">
        <v>1397</v>
      </c>
      <c r="E271" s="31" t="s">
        <v>1754</v>
      </c>
      <c r="F271" s="31" t="s">
        <v>1734</v>
      </c>
      <c r="G271" s="31" t="s">
        <v>1612</v>
      </c>
      <c r="H271" s="32" t="s">
        <v>1469</v>
      </c>
      <c r="I271" s="31"/>
      <c r="J271" s="31"/>
      <c r="K271" s="31"/>
      <c r="L271" s="32" t="str">
        <f>VLOOKUP(D271,'Active Employees'!$B$2:$B$498,1,false)</f>
        <v>alexandre.valliereslagace@docker.com</v>
      </c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</row>
    <row r="272">
      <c r="A272" s="37" t="s">
        <v>1570</v>
      </c>
      <c r="B272" s="31" t="s">
        <v>1547</v>
      </c>
      <c r="C272" s="31" t="s">
        <v>1579</v>
      </c>
      <c r="D272" s="31" t="s">
        <v>1397</v>
      </c>
      <c r="E272" s="31" t="s">
        <v>1754</v>
      </c>
      <c r="F272" s="31" t="s">
        <v>1736</v>
      </c>
      <c r="G272" s="31" t="s">
        <v>1612</v>
      </c>
      <c r="H272" s="32" t="s">
        <v>1469</v>
      </c>
      <c r="I272" s="31"/>
      <c r="J272" s="31"/>
      <c r="K272" s="31"/>
      <c r="L272" s="32" t="str">
        <f>VLOOKUP(D272,'Active Employees'!$B$2:$B$498,1,false)</f>
        <v>alexandre.valliereslagace@docker.com</v>
      </c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</row>
    <row r="273" hidden="1">
      <c r="A273" s="37" t="s">
        <v>1570</v>
      </c>
      <c r="B273" s="31" t="s">
        <v>1547</v>
      </c>
      <c r="C273" s="31" t="s">
        <v>1579</v>
      </c>
      <c r="D273" s="31" t="s">
        <v>1397</v>
      </c>
      <c r="E273" s="31" t="s">
        <v>1754</v>
      </c>
      <c r="F273" s="31" t="s">
        <v>1734</v>
      </c>
      <c r="G273" s="31" t="s">
        <v>1612</v>
      </c>
      <c r="H273" s="32" t="s">
        <v>1469</v>
      </c>
      <c r="I273" s="31"/>
      <c r="J273" s="31"/>
      <c r="K273" s="31"/>
      <c r="L273" s="32" t="str">
        <f>VLOOKUP(D273,'Active Employees'!$B$2:$B$498,1,false)</f>
        <v>alexandre.valliereslagace@docker.com</v>
      </c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</row>
    <row r="274" hidden="1">
      <c r="A274" s="37" t="s">
        <v>1570</v>
      </c>
      <c r="B274" s="31" t="s">
        <v>1547</v>
      </c>
      <c r="C274" s="31" t="s">
        <v>1588</v>
      </c>
      <c r="D274" s="31" t="s">
        <v>1397</v>
      </c>
      <c r="E274" s="31" t="s">
        <v>1754</v>
      </c>
      <c r="F274" s="31" t="s">
        <v>1734</v>
      </c>
      <c r="G274" s="31" t="s">
        <v>1612</v>
      </c>
      <c r="H274" s="32" t="s">
        <v>1469</v>
      </c>
      <c r="I274" s="31"/>
      <c r="J274" s="31"/>
      <c r="K274" s="31"/>
      <c r="L274" s="32" t="str">
        <f>VLOOKUP(D274,'Active Employees'!$B$2:$B$498,1,false)</f>
        <v>alexandre.valliereslagace@docker.com</v>
      </c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</row>
    <row r="275" hidden="1">
      <c r="A275" s="37" t="s">
        <v>1570</v>
      </c>
      <c r="B275" s="31" t="s">
        <v>1547</v>
      </c>
      <c r="C275" s="31" t="s">
        <v>1589</v>
      </c>
      <c r="D275" s="31" t="s">
        <v>1397</v>
      </c>
      <c r="E275" s="31" t="s">
        <v>1754</v>
      </c>
      <c r="F275" s="31" t="s">
        <v>1734</v>
      </c>
      <c r="G275" s="31" t="s">
        <v>1612</v>
      </c>
      <c r="H275" s="32" t="s">
        <v>1469</v>
      </c>
      <c r="I275" s="31"/>
      <c r="J275" s="31"/>
      <c r="K275" s="31"/>
      <c r="L275" s="32" t="str">
        <f>VLOOKUP(D275,'Active Employees'!$B$2:$B$498,1,false)</f>
        <v>alexandre.valliereslagace@docker.com</v>
      </c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</row>
    <row r="276" hidden="1">
      <c r="A276" s="37" t="s">
        <v>1522</v>
      </c>
      <c r="B276" s="31" t="s">
        <v>1547</v>
      </c>
      <c r="C276" s="31" t="s">
        <v>1565</v>
      </c>
      <c r="D276" s="31" t="s">
        <v>1684</v>
      </c>
      <c r="E276" s="31" t="s">
        <v>1685</v>
      </c>
      <c r="F276" s="31" t="s">
        <v>1686</v>
      </c>
      <c r="G276" s="31" t="s">
        <v>1687</v>
      </c>
      <c r="H276" s="32" t="s">
        <v>1469</v>
      </c>
      <c r="I276" s="31"/>
      <c r="J276" s="31"/>
      <c r="K276" s="31"/>
      <c r="L276" s="32" t="str">
        <f>VLOOKUP(D276,'Active Employees'!$B$2:$B$498,1,false)</f>
        <v>#N/A</v>
      </c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</row>
    <row r="277" hidden="1">
      <c r="A277" s="37" t="s">
        <v>1522</v>
      </c>
      <c r="B277" s="31" t="s">
        <v>1547</v>
      </c>
      <c r="C277" s="31" t="s">
        <v>1565</v>
      </c>
      <c r="D277" s="31" t="s">
        <v>1688</v>
      </c>
      <c r="E277" s="31" t="s">
        <v>1689</v>
      </c>
      <c r="F277" s="31" t="s">
        <v>1686</v>
      </c>
      <c r="G277" s="31" t="s">
        <v>1687</v>
      </c>
      <c r="H277" s="32" t="s">
        <v>1469</v>
      </c>
      <c r="I277" s="31"/>
      <c r="J277" s="31"/>
      <c r="K277" s="31"/>
      <c r="L277" s="32" t="str">
        <f>VLOOKUP(D277,'Active Employees'!$B$2:$B$498,1,false)</f>
        <v>#N/A</v>
      </c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</row>
    <row r="278" hidden="1">
      <c r="A278" s="37" t="s">
        <v>1570</v>
      </c>
      <c r="B278" s="31" t="s">
        <v>1547</v>
      </c>
      <c r="C278" s="31" t="s">
        <v>1590</v>
      </c>
      <c r="D278" s="31" t="s">
        <v>1397</v>
      </c>
      <c r="E278" s="31" t="s">
        <v>1754</v>
      </c>
      <c r="F278" s="31" t="s">
        <v>1734</v>
      </c>
      <c r="G278" s="31" t="s">
        <v>1612</v>
      </c>
      <c r="H278" s="32" t="s">
        <v>1469</v>
      </c>
      <c r="I278" s="31"/>
      <c r="J278" s="31"/>
      <c r="K278" s="31"/>
      <c r="L278" s="32" t="str">
        <f>VLOOKUP(D278,'Active Employees'!$B$2:$B$498,1,false)</f>
        <v>alexandre.valliereslagace@docker.com</v>
      </c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</row>
    <row r="279">
      <c r="A279" s="37" t="s">
        <v>1570</v>
      </c>
      <c r="B279" s="31" t="s">
        <v>1547</v>
      </c>
      <c r="C279" s="31" t="s">
        <v>1591</v>
      </c>
      <c r="D279" s="31" t="s">
        <v>1397</v>
      </c>
      <c r="E279" s="31" t="s">
        <v>1754</v>
      </c>
      <c r="F279" s="31" t="s">
        <v>1736</v>
      </c>
      <c r="G279" s="31" t="s">
        <v>1612</v>
      </c>
      <c r="H279" s="32" t="s">
        <v>1469</v>
      </c>
      <c r="I279" s="31"/>
      <c r="J279" s="31"/>
      <c r="K279" s="31"/>
      <c r="L279" s="32" t="str">
        <f>VLOOKUP(D279,'Active Employees'!$B$2:$B$498,1,false)</f>
        <v>alexandre.valliereslagace@docker.com</v>
      </c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</row>
    <row r="280" hidden="1">
      <c r="A280" s="37" t="s">
        <v>1570</v>
      </c>
      <c r="B280" s="31" t="s">
        <v>1547</v>
      </c>
      <c r="C280" s="31" t="s">
        <v>1591</v>
      </c>
      <c r="D280" s="31" t="s">
        <v>1397</v>
      </c>
      <c r="E280" s="31" t="s">
        <v>1754</v>
      </c>
      <c r="F280" s="31" t="s">
        <v>1734</v>
      </c>
      <c r="G280" s="31" t="s">
        <v>1612</v>
      </c>
      <c r="H280" s="32" t="s">
        <v>1469</v>
      </c>
      <c r="I280" s="31"/>
      <c r="J280" s="31"/>
      <c r="K280" s="31"/>
      <c r="L280" s="32" t="str">
        <f>VLOOKUP(D280,'Active Employees'!$B$2:$B$498,1,false)</f>
        <v>alexandre.valliereslagace@docker.com</v>
      </c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</row>
    <row r="281">
      <c r="A281" s="37" t="s">
        <v>1570</v>
      </c>
      <c r="B281" s="31" t="s">
        <v>1547</v>
      </c>
      <c r="C281" s="31" t="s">
        <v>1592</v>
      </c>
      <c r="D281" s="31" t="s">
        <v>1397</v>
      </c>
      <c r="E281" s="31" t="s">
        <v>1754</v>
      </c>
      <c r="F281" s="31" t="s">
        <v>1736</v>
      </c>
      <c r="G281" s="31" t="s">
        <v>1612</v>
      </c>
      <c r="H281" s="32" t="s">
        <v>1469</v>
      </c>
      <c r="I281" s="31"/>
      <c r="J281" s="31"/>
      <c r="K281" s="31"/>
      <c r="L281" s="32" t="str">
        <f>VLOOKUP(D281,'Active Employees'!$B$2:$B$498,1,false)</f>
        <v>alexandre.valliereslagace@docker.com</v>
      </c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</row>
    <row r="282" hidden="1">
      <c r="A282" s="37" t="s">
        <v>1570</v>
      </c>
      <c r="B282" s="31" t="s">
        <v>1547</v>
      </c>
      <c r="C282" s="31" t="s">
        <v>1592</v>
      </c>
      <c r="D282" s="31" t="s">
        <v>1397</v>
      </c>
      <c r="E282" s="31" t="s">
        <v>1754</v>
      </c>
      <c r="F282" s="31" t="s">
        <v>1734</v>
      </c>
      <c r="G282" s="31" t="s">
        <v>1612</v>
      </c>
      <c r="H282" s="32" t="s">
        <v>1469</v>
      </c>
      <c r="I282" s="31"/>
      <c r="J282" s="31"/>
      <c r="K282" s="31"/>
      <c r="L282" s="32" t="str">
        <f>VLOOKUP(D282,'Active Employees'!$B$2:$B$498,1,false)</f>
        <v>alexandre.valliereslagace@docker.com</v>
      </c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</row>
    <row r="283">
      <c r="A283" s="37" t="s">
        <v>1570</v>
      </c>
      <c r="B283" s="31" t="s">
        <v>1547</v>
      </c>
      <c r="C283" s="31" t="s">
        <v>600</v>
      </c>
      <c r="D283" s="31" t="s">
        <v>1397</v>
      </c>
      <c r="E283" s="31" t="s">
        <v>1754</v>
      </c>
      <c r="F283" s="31" t="s">
        <v>1736</v>
      </c>
      <c r="G283" s="31" t="s">
        <v>1612</v>
      </c>
      <c r="H283" s="32" t="s">
        <v>1469</v>
      </c>
      <c r="I283" s="31"/>
      <c r="J283" s="31"/>
      <c r="K283" s="31"/>
      <c r="L283" s="32" t="str">
        <f>VLOOKUP(D283,'Active Employees'!$B$2:$B$498,1,false)</f>
        <v>alexandre.valliereslagace@docker.com</v>
      </c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</row>
    <row r="284" hidden="1">
      <c r="A284" s="37" t="s">
        <v>1570</v>
      </c>
      <c r="B284" s="31" t="s">
        <v>1547</v>
      </c>
      <c r="C284" s="31" t="s">
        <v>600</v>
      </c>
      <c r="D284" s="31" t="s">
        <v>1397</v>
      </c>
      <c r="E284" s="31" t="s">
        <v>1754</v>
      </c>
      <c r="F284" s="31" t="s">
        <v>1734</v>
      </c>
      <c r="G284" s="31" t="s">
        <v>1612</v>
      </c>
      <c r="H284" s="32" t="s">
        <v>1469</v>
      </c>
      <c r="I284" s="31"/>
      <c r="J284" s="31"/>
      <c r="K284" s="31"/>
      <c r="L284" s="32" t="str">
        <f>VLOOKUP(D284,'Active Employees'!$B$2:$B$498,1,false)</f>
        <v>alexandre.valliereslagace@docker.com</v>
      </c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</row>
    <row r="285" hidden="1">
      <c r="A285" s="37" t="s">
        <v>1570</v>
      </c>
      <c r="B285" s="31" t="s">
        <v>1547</v>
      </c>
      <c r="C285" s="31" t="s">
        <v>1593</v>
      </c>
      <c r="D285" s="31" t="s">
        <v>1397</v>
      </c>
      <c r="E285" s="31" t="s">
        <v>1754</v>
      </c>
      <c r="F285" s="31" t="s">
        <v>1734</v>
      </c>
      <c r="G285" s="31" t="s">
        <v>1612</v>
      </c>
      <c r="H285" s="32" t="s">
        <v>1469</v>
      </c>
      <c r="I285" s="31"/>
      <c r="J285" s="31"/>
      <c r="K285" s="31"/>
      <c r="L285" s="32" t="str">
        <f>VLOOKUP(D285,'Active Employees'!$B$2:$B$498,1,false)</f>
        <v>alexandre.valliereslagace@docker.com</v>
      </c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</row>
    <row r="286" hidden="1">
      <c r="A286" s="37" t="s">
        <v>1570</v>
      </c>
      <c r="B286" s="31" t="s">
        <v>1547</v>
      </c>
      <c r="C286" s="31" t="s">
        <v>1594</v>
      </c>
      <c r="D286" s="31" t="s">
        <v>1397</v>
      </c>
      <c r="E286" s="31" t="s">
        <v>1754</v>
      </c>
      <c r="F286" s="31" t="s">
        <v>1734</v>
      </c>
      <c r="G286" s="31" t="s">
        <v>1612</v>
      </c>
      <c r="H286" s="32" t="s">
        <v>1469</v>
      </c>
      <c r="I286" s="31"/>
      <c r="J286" s="31"/>
      <c r="K286" s="31"/>
      <c r="L286" s="32" t="str">
        <f>VLOOKUP(D286,'Active Employees'!$B$2:$B$498,1,false)</f>
        <v>alexandre.valliereslagace@docker.com</v>
      </c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</row>
    <row r="287" hidden="1">
      <c r="A287" s="37" t="s">
        <v>1522</v>
      </c>
      <c r="B287" s="31" t="s">
        <v>1547</v>
      </c>
      <c r="C287" s="31" t="s">
        <v>1565</v>
      </c>
      <c r="D287" s="31" t="s">
        <v>1755</v>
      </c>
      <c r="E287" s="31" t="s">
        <v>1756</v>
      </c>
      <c r="F287" s="31" t="s">
        <v>1640</v>
      </c>
      <c r="G287" s="31" t="s">
        <v>1528</v>
      </c>
      <c r="H287" s="32" t="s">
        <v>1469</v>
      </c>
      <c r="I287" s="31"/>
      <c r="J287" s="31"/>
      <c r="K287" s="31"/>
      <c r="L287" s="32" t="str">
        <f>VLOOKUP(D287,'Active Employees'!$B$2:$B$498,1,false)</f>
        <v>#N/A</v>
      </c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</row>
    <row r="288" hidden="1">
      <c r="A288" s="37" t="s">
        <v>1570</v>
      </c>
      <c r="B288" s="31" t="s">
        <v>1547</v>
      </c>
      <c r="C288" s="31" t="s">
        <v>1578</v>
      </c>
      <c r="D288" s="31" t="s">
        <v>60</v>
      </c>
      <c r="E288" s="31" t="s">
        <v>1757</v>
      </c>
      <c r="F288" s="31" t="s">
        <v>1654</v>
      </c>
      <c r="G288" s="31" t="s">
        <v>1612</v>
      </c>
      <c r="H288" s="32" t="s">
        <v>1469</v>
      </c>
      <c r="I288" s="31"/>
      <c r="J288" s="31"/>
      <c r="K288" s="31"/>
      <c r="L288" s="32" t="str">
        <f>VLOOKUP(D288,'Active Employees'!$B$2:$B$498,1,false)</f>
        <v>andrei.albu@docker.com</v>
      </c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</row>
    <row r="289" hidden="1">
      <c r="A289" s="37" t="s">
        <v>1522</v>
      </c>
      <c r="B289" s="31" t="s">
        <v>1547</v>
      </c>
      <c r="C289" s="31" t="s">
        <v>1566</v>
      </c>
      <c r="D289" s="31" t="s">
        <v>1758</v>
      </c>
      <c r="E289" s="31" t="s">
        <v>1759</v>
      </c>
      <c r="F289" s="31" t="s">
        <v>1611</v>
      </c>
      <c r="G289" s="31" t="s">
        <v>1612</v>
      </c>
      <c r="H289" s="32" t="s">
        <v>1469</v>
      </c>
      <c r="I289" s="31"/>
      <c r="J289" s="31"/>
      <c r="K289" s="31"/>
      <c r="L289" s="32" t="str">
        <f>VLOOKUP(D289,'Active Employees'!$B$2:$B$498,1,false)</f>
        <v>#N/A</v>
      </c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</row>
    <row r="290" hidden="1">
      <c r="A290" s="37" t="s">
        <v>1522</v>
      </c>
      <c r="B290" s="31" t="s">
        <v>1547</v>
      </c>
      <c r="C290" s="31" t="s">
        <v>1565</v>
      </c>
      <c r="D290" s="31" t="s">
        <v>1760</v>
      </c>
      <c r="E290" s="31" t="s">
        <v>1761</v>
      </c>
      <c r="F290" s="31" t="s">
        <v>1640</v>
      </c>
      <c r="G290" s="31" t="s">
        <v>1528</v>
      </c>
      <c r="H290" s="32" t="s">
        <v>1469</v>
      </c>
      <c r="I290" s="31"/>
      <c r="J290" s="31"/>
      <c r="K290" s="31"/>
      <c r="L290" s="32" t="str">
        <f>VLOOKUP(D290,'Active Employees'!$B$2:$B$498,1,false)</f>
        <v>#N/A</v>
      </c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</row>
    <row r="291">
      <c r="A291" s="37" t="s">
        <v>1522</v>
      </c>
      <c r="B291" s="31" t="s">
        <v>1523</v>
      </c>
      <c r="C291" s="31" t="s">
        <v>1524</v>
      </c>
      <c r="D291" s="31" t="s">
        <v>1762</v>
      </c>
      <c r="E291" s="31" t="s">
        <v>1763</v>
      </c>
      <c r="F291" s="31" t="s">
        <v>1541</v>
      </c>
      <c r="G291" s="31" t="s">
        <v>1528</v>
      </c>
      <c r="H291" s="32" t="s">
        <v>1469</v>
      </c>
      <c r="I291" s="31"/>
      <c r="J291" s="31"/>
      <c r="K291" s="31"/>
      <c r="L291" s="32" t="str">
        <f>VLOOKUP(D291,'Active Employees'!$B$2:$B$498,1,false)</f>
        <v>#N/A</v>
      </c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</row>
    <row r="292">
      <c r="A292" s="37" t="s">
        <v>1570</v>
      </c>
      <c r="B292" s="31" t="s">
        <v>1523</v>
      </c>
      <c r="C292" s="31" t="s">
        <v>1524</v>
      </c>
      <c r="D292" s="31" t="s">
        <v>1482</v>
      </c>
      <c r="E292" s="31" t="s">
        <v>1763</v>
      </c>
      <c r="F292" s="31" t="s">
        <v>1541</v>
      </c>
      <c r="G292" s="31" t="s">
        <v>1528</v>
      </c>
      <c r="H292" s="32" t="s">
        <v>1469</v>
      </c>
      <c r="I292" s="31"/>
      <c r="J292" s="31"/>
      <c r="K292" s="31"/>
      <c r="L292" s="32" t="str">
        <f>VLOOKUP(D292,'Active Employees'!$B$2:$B$498,1,false)</f>
        <v>#N/A</v>
      </c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</row>
    <row r="293" hidden="1">
      <c r="A293" s="37" t="s">
        <v>1570</v>
      </c>
      <c r="B293" s="31" t="s">
        <v>1547</v>
      </c>
      <c r="C293" s="31" t="s">
        <v>1578</v>
      </c>
      <c r="D293" s="31" t="s">
        <v>718</v>
      </c>
      <c r="E293" s="31" t="s">
        <v>1764</v>
      </c>
      <c r="F293" s="31" t="s">
        <v>1654</v>
      </c>
      <c r="G293" s="31" t="s">
        <v>1612</v>
      </c>
      <c r="H293" s="32" t="s">
        <v>1469</v>
      </c>
      <c r="I293" s="31"/>
      <c r="J293" s="31"/>
      <c r="K293" s="31"/>
      <c r="L293" s="32" t="str">
        <f>VLOOKUP(D293,'Active Employees'!$B$2:$B$498,1,false)</f>
        <v>brianna.hobbs@docker.com</v>
      </c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</row>
    <row r="294" hidden="1">
      <c r="A294" s="37" t="s">
        <v>1522</v>
      </c>
      <c r="B294" s="31" t="s">
        <v>1547</v>
      </c>
      <c r="C294" s="31" t="s">
        <v>1565</v>
      </c>
      <c r="D294" s="31" t="s">
        <v>1765</v>
      </c>
      <c r="E294" s="31" t="s">
        <v>1766</v>
      </c>
      <c r="F294" s="31" t="s">
        <v>1640</v>
      </c>
      <c r="G294" s="31" t="s">
        <v>1528</v>
      </c>
      <c r="H294" s="32" t="s">
        <v>1469</v>
      </c>
      <c r="I294" s="31"/>
      <c r="J294" s="31"/>
      <c r="K294" s="31"/>
      <c r="L294" s="32" t="str">
        <f>VLOOKUP(D294,'Active Employees'!$B$2:$B$498,1,false)</f>
        <v>#N/A</v>
      </c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</row>
    <row r="295" hidden="1">
      <c r="A295" s="37" t="s">
        <v>1570</v>
      </c>
      <c r="B295" s="31" t="s">
        <v>1547</v>
      </c>
      <c r="C295" s="31" t="s">
        <v>1578</v>
      </c>
      <c r="D295" s="31" t="s">
        <v>1455</v>
      </c>
      <c r="E295" s="31" t="s">
        <v>1767</v>
      </c>
      <c r="F295" s="31" t="s">
        <v>1654</v>
      </c>
      <c r="G295" s="31" t="s">
        <v>1612</v>
      </c>
      <c r="H295" s="32" t="s">
        <v>1469</v>
      </c>
      <c r="I295" s="31"/>
      <c r="J295" s="31"/>
      <c r="K295" s="31"/>
      <c r="L295" s="32" t="str">
        <f>VLOOKUP(D295,'Active Employees'!$B$2:$B$498,1,false)</f>
        <v>chaimaa.zegoumou@docker.com</v>
      </c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</row>
    <row r="296">
      <c r="A296" s="37" t="s">
        <v>1570</v>
      </c>
      <c r="B296" s="31" t="s">
        <v>1547</v>
      </c>
      <c r="C296" s="31" t="s">
        <v>1579</v>
      </c>
      <c r="D296" s="31" t="s">
        <v>1455</v>
      </c>
      <c r="E296" s="31" t="s">
        <v>1767</v>
      </c>
      <c r="F296" s="31" t="s">
        <v>1768</v>
      </c>
      <c r="G296" s="31" t="s">
        <v>1612</v>
      </c>
      <c r="H296" s="32" t="s">
        <v>1469</v>
      </c>
      <c r="I296" s="31"/>
      <c r="J296" s="31"/>
      <c r="K296" s="31"/>
      <c r="L296" s="32" t="str">
        <f>VLOOKUP(D296,'Active Employees'!$B$2:$B$498,1,false)</f>
        <v>chaimaa.zegoumou@docker.com</v>
      </c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</row>
    <row r="297" hidden="1">
      <c r="A297" s="37" t="s">
        <v>1522</v>
      </c>
      <c r="B297" s="31" t="s">
        <v>1547</v>
      </c>
      <c r="C297" s="31" t="s">
        <v>1565</v>
      </c>
      <c r="D297" s="31" t="s">
        <v>1769</v>
      </c>
      <c r="E297" s="31" t="s">
        <v>1770</v>
      </c>
      <c r="F297" s="31" t="s">
        <v>1640</v>
      </c>
      <c r="G297" s="31" t="s">
        <v>1528</v>
      </c>
      <c r="H297" s="32" t="s">
        <v>1469</v>
      </c>
      <c r="I297" s="31"/>
      <c r="J297" s="31"/>
      <c r="K297" s="31"/>
      <c r="L297" s="32" t="str">
        <f>VLOOKUP(D297,'Active Employees'!$B$2:$B$498,1,false)</f>
        <v>#N/A</v>
      </c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</row>
    <row r="298" hidden="1">
      <c r="A298" s="37" t="s">
        <v>1522</v>
      </c>
      <c r="B298" s="31" t="s">
        <v>1547</v>
      </c>
      <c r="C298" s="31" t="s">
        <v>1559</v>
      </c>
      <c r="D298" s="31" t="s">
        <v>1771</v>
      </c>
      <c r="E298" s="31" t="s">
        <v>1770</v>
      </c>
      <c r="F298" s="31" t="s">
        <v>1718</v>
      </c>
      <c r="G298" s="31" t="s">
        <v>1612</v>
      </c>
      <c r="H298" s="32" t="s">
        <v>1469</v>
      </c>
      <c r="I298" s="31"/>
      <c r="J298" s="31"/>
      <c r="K298" s="31"/>
      <c r="L298" s="32" t="str">
        <f>VLOOKUP(D298,'Active Employees'!$B$2:$B$498,1,false)</f>
        <v>#N/A</v>
      </c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</row>
    <row r="299">
      <c r="A299" s="37" t="s">
        <v>1522</v>
      </c>
      <c r="B299" s="31" t="s">
        <v>1547</v>
      </c>
      <c r="C299" s="31" t="s">
        <v>1559</v>
      </c>
      <c r="D299" s="31" t="s">
        <v>1771</v>
      </c>
      <c r="E299" s="31" t="s">
        <v>1770</v>
      </c>
      <c r="F299" s="31" t="s">
        <v>1719</v>
      </c>
      <c r="G299" s="31" t="s">
        <v>1612</v>
      </c>
      <c r="H299" s="32" t="s">
        <v>1469</v>
      </c>
      <c r="I299" s="31"/>
      <c r="J299" s="31"/>
      <c r="K299" s="31"/>
      <c r="L299" s="32" t="str">
        <f>VLOOKUP(D299,'Active Employees'!$B$2:$B$498,1,false)</f>
        <v>#N/A</v>
      </c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</row>
    <row r="300">
      <c r="A300" s="37" t="s">
        <v>1522</v>
      </c>
      <c r="B300" s="31" t="s">
        <v>1523</v>
      </c>
      <c r="C300" s="31" t="s">
        <v>1524</v>
      </c>
      <c r="D300" s="31" t="s">
        <v>1772</v>
      </c>
      <c r="E300" s="31" t="s">
        <v>63</v>
      </c>
      <c r="F300" s="31" t="s">
        <v>1600</v>
      </c>
      <c r="G300" s="31" t="s">
        <v>1528</v>
      </c>
      <c r="H300" s="32" t="s">
        <v>1469</v>
      </c>
      <c r="I300" s="31"/>
      <c r="J300" s="31"/>
      <c r="K300" s="31"/>
      <c r="L300" s="32" t="str">
        <f>VLOOKUP(D300,'Active Employees'!$B$2:$B$498,1,false)</f>
        <v>#N/A</v>
      </c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</row>
    <row r="301">
      <c r="A301" s="37" t="s">
        <v>1522</v>
      </c>
      <c r="B301" s="31" t="s">
        <v>1547</v>
      </c>
      <c r="C301" s="31" t="s">
        <v>1565</v>
      </c>
      <c r="D301" s="31" t="s">
        <v>1772</v>
      </c>
      <c r="E301" s="31" t="s">
        <v>63</v>
      </c>
      <c r="F301" s="31" t="s">
        <v>1481</v>
      </c>
      <c r="G301" s="31" t="s">
        <v>1528</v>
      </c>
      <c r="H301" s="32" t="s">
        <v>1469</v>
      </c>
      <c r="I301" s="31"/>
      <c r="J301" s="31"/>
      <c r="K301" s="31"/>
      <c r="L301" s="32" t="str">
        <f>VLOOKUP(D301,'Active Employees'!$B$2:$B$498,1,false)</f>
        <v>#N/A</v>
      </c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</row>
    <row r="302" hidden="1">
      <c r="A302" s="37" t="s">
        <v>1522</v>
      </c>
      <c r="B302" s="31" t="s">
        <v>1547</v>
      </c>
      <c r="C302" s="31" t="s">
        <v>1565</v>
      </c>
      <c r="D302" s="31" t="s">
        <v>1773</v>
      </c>
      <c r="E302" s="31" t="s">
        <v>1774</v>
      </c>
      <c r="F302" s="31" t="s">
        <v>1640</v>
      </c>
      <c r="G302" s="31" t="s">
        <v>1528</v>
      </c>
      <c r="H302" s="32" t="s">
        <v>1469</v>
      </c>
      <c r="I302" s="31"/>
      <c r="J302" s="31"/>
      <c r="K302" s="31"/>
      <c r="L302" s="32" t="str">
        <f>VLOOKUP(D302,'Active Employees'!$B$2:$B$498,1,false)</f>
        <v>#N/A</v>
      </c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</row>
    <row r="303" hidden="1">
      <c r="A303" s="37" t="s">
        <v>1570</v>
      </c>
      <c r="B303" s="31" t="s">
        <v>1547</v>
      </c>
      <c r="C303" s="31" t="s">
        <v>1576</v>
      </c>
      <c r="D303" s="31" t="s">
        <v>1111</v>
      </c>
      <c r="E303" s="31" t="s">
        <v>1774</v>
      </c>
      <c r="F303" s="31" t="s">
        <v>1640</v>
      </c>
      <c r="G303" s="31" t="s">
        <v>1528</v>
      </c>
      <c r="H303" s="32" t="s">
        <v>1469</v>
      </c>
      <c r="I303" s="31"/>
      <c r="J303" s="31"/>
      <c r="K303" s="31"/>
      <c r="L303" s="32" t="str">
        <f>VLOOKUP(D303,'Active Employees'!$B$2:$B$498,1,false)</f>
        <v>christopher.petito@docker.com</v>
      </c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</row>
    <row r="304" hidden="1">
      <c r="A304" s="37" t="s">
        <v>1522</v>
      </c>
      <c r="B304" s="31" t="s">
        <v>1547</v>
      </c>
      <c r="C304" s="31" t="s">
        <v>1565</v>
      </c>
      <c r="D304" s="31" t="s">
        <v>1775</v>
      </c>
      <c r="E304" s="31" t="s">
        <v>1776</v>
      </c>
      <c r="F304" s="31" t="s">
        <v>1651</v>
      </c>
      <c r="G304" s="31" t="s">
        <v>1612</v>
      </c>
      <c r="H304" s="32" t="s">
        <v>1469</v>
      </c>
      <c r="I304" s="31"/>
      <c r="J304" s="31"/>
      <c r="K304" s="31"/>
      <c r="L304" s="32" t="str">
        <f>VLOOKUP(D304,'Active Employees'!$B$2:$B$498,1,false)</f>
        <v>#N/A</v>
      </c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</row>
    <row r="305" hidden="1">
      <c r="A305" s="37" t="s">
        <v>1522</v>
      </c>
      <c r="B305" s="31" t="s">
        <v>1547</v>
      </c>
      <c r="C305" s="31" t="s">
        <v>1565</v>
      </c>
      <c r="D305" s="31" t="s">
        <v>1777</v>
      </c>
      <c r="E305" s="31" t="s">
        <v>1778</v>
      </c>
      <c r="F305" s="31" t="s">
        <v>1640</v>
      </c>
      <c r="G305" s="31" t="s">
        <v>1687</v>
      </c>
      <c r="H305" s="32" t="s">
        <v>1469</v>
      </c>
      <c r="I305" s="31"/>
      <c r="J305" s="31"/>
      <c r="K305" s="31"/>
      <c r="L305" s="32" t="str">
        <f>VLOOKUP(D305,'Active Employees'!$B$2:$B$498,1,false)</f>
        <v>#N/A</v>
      </c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</row>
    <row r="306" hidden="1">
      <c r="A306" s="37" t="s">
        <v>1522</v>
      </c>
      <c r="B306" s="31" t="s">
        <v>1547</v>
      </c>
      <c r="C306" s="31" t="s">
        <v>1565</v>
      </c>
      <c r="D306" s="31" t="s">
        <v>1775</v>
      </c>
      <c r="E306" s="31" t="s">
        <v>1776</v>
      </c>
      <c r="F306" s="31" t="s">
        <v>1640</v>
      </c>
      <c r="G306" s="31" t="s">
        <v>1528</v>
      </c>
      <c r="H306" s="32" t="s">
        <v>1469</v>
      </c>
      <c r="I306" s="31"/>
      <c r="J306" s="31"/>
      <c r="K306" s="31"/>
      <c r="L306" s="32" t="str">
        <f>VLOOKUP(D306,'Active Employees'!$B$2:$B$498,1,false)</f>
        <v>#N/A</v>
      </c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</row>
    <row r="307" hidden="1">
      <c r="A307" s="37" t="s">
        <v>1522</v>
      </c>
      <c r="B307" s="31" t="s">
        <v>1547</v>
      </c>
      <c r="C307" s="31" t="s">
        <v>1565</v>
      </c>
      <c r="D307" s="31" t="s">
        <v>1779</v>
      </c>
      <c r="E307" s="31" t="s">
        <v>1780</v>
      </c>
      <c r="F307" s="31" t="s">
        <v>1640</v>
      </c>
      <c r="G307" s="31" t="s">
        <v>1528</v>
      </c>
      <c r="H307" s="32" t="s">
        <v>1469</v>
      </c>
      <c r="I307" s="31"/>
      <c r="J307" s="31"/>
      <c r="K307" s="31"/>
      <c r="L307" s="32" t="str">
        <f>VLOOKUP(D307,'Active Employees'!$B$2:$B$498,1,false)</f>
        <v>#N/A</v>
      </c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</row>
    <row r="308" hidden="1">
      <c r="A308" s="37" t="s">
        <v>1522</v>
      </c>
      <c r="B308" s="31" t="s">
        <v>1547</v>
      </c>
      <c r="C308" s="31" t="s">
        <v>1565</v>
      </c>
      <c r="D308" s="31" t="s">
        <v>1781</v>
      </c>
      <c r="E308" s="31" t="s">
        <v>1780</v>
      </c>
      <c r="F308" s="31" t="s">
        <v>1640</v>
      </c>
      <c r="G308" s="31" t="s">
        <v>1528</v>
      </c>
      <c r="H308" s="32" t="s">
        <v>1469</v>
      </c>
      <c r="I308" s="31"/>
      <c r="J308" s="31"/>
      <c r="K308" s="31"/>
      <c r="L308" s="32" t="str">
        <f>VLOOKUP(D308,'Active Employees'!$B$2:$B$498,1,false)</f>
        <v>#N/A</v>
      </c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</row>
    <row r="309" hidden="1">
      <c r="A309" s="37" t="s">
        <v>1522</v>
      </c>
      <c r="B309" s="31" t="s">
        <v>1547</v>
      </c>
      <c r="C309" s="31" t="s">
        <v>1565</v>
      </c>
      <c r="D309" s="31" t="s">
        <v>1782</v>
      </c>
      <c r="E309" s="31" t="s">
        <v>1783</v>
      </c>
      <c r="F309" s="31" t="s">
        <v>1640</v>
      </c>
      <c r="G309" s="31" t="s">
        <v>1528</v>
      </c>
      <c r="H309" s="32" t="s">
        <v>1469</v>
      </c>
      <c r="I309" s="31"/>
      <c r="J309" s="31"/>
      <c r="K309" s="31"/>
      <c r="L309" s="32" t="str">
        <f>VLOOKUP(D309,'Active Employees'!$B$2:$B$498,1,false)</f>
        <v>#N/A</v>
      </c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</row>
    <row r="310" hidden="1">
      <c r="A310" s="37" t="s">
        <v>1522</v>
      </c>
      <c r="B310" s="31" t="s">
        <v>1547</v>
      </c>
      <c r="C310" s="31" t="s">
        <v>1566</v>
      </c>
      <c r="D310" s="31" t="s">
        <v>1784</v>
      </c>
      <c r="E310" s="31" t="s">
        <v>1785</v>
      </c>
      <c r="F310" s="31" t="s">
        <v>1640</v>
      </c>
      <c r="G310" s="31" t="s">
        <v>1528</v>
      </c>
      <c r="H310" s="32" t="s">
        <v>1469</v>
      </c>
      <c r="I310" s="31"/>
      <c r="J310" s="31"/>
      <c r="K310" s="31"/>
      <c r="L310" s="32" t="str">
        <f>VLOOKUP(D310,'Active Employees'!$B$2:$B$498,1,false)</f>
        <v>#N/A</v>
      </c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</row>
    <row r="311" hidden="1">
      <c r="A311" s="37" t="s">
        <v>1522</v>
      </c>
      <c r="B311" s="31" t="s">
        <v>1547</v>
      </c>
      <c r="C311" s="31" t="s">
        <v>1565</v>
      </c>
      <c r="D311" s="31" t="s">
        <v>1786</v>
      </c>
      <c r="E311" s="31" t="s">
        <v>1787</v>
      </c>
      <c r="F311" s="31" t="s">
        <v>1651</v>
      </c>
      <c r="G311" s="31" t="s">
        <v>1612</v>
      </c>
      <c r="H311" s="32" t="s">
        <v>1469</v>
      </c>
      <c r="I311" s="31"/>
      <c r="J311" s="31"/>
      <c r="K311" s="31"/>
      <c r="L311" s="32" t="str">
        <f>VLOOKUP(D311,'Active Employees'!$B$2:$B$498,1,false)</f>
        <v>#N/A</v>
      </c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</row>
    <row r="312">
      <c r="A312" s="37" t="s">
        <v>1522</v>
      </c>
      <c r="B312" s="31" t="s">
        <v>1523</v>
      </c>
      <c r="C312" s="31" t="s">
        <v>1524</v>
      </c>
      <c r="D312" s="31" t="s">
        <v>1788</v>
      </c>
      <c r="E312" s="31" t="s">
        <v>1488</v>
      </c>
      <c r="F312" s="31" t="s">
        <v>1564</v>
      </c>
      <c r="G312" s="31" t="s">
        <v>1528</v>
      </c>
      <c r="H312" s="32" t="s">
        <v>1469</v>
      </c>
      <c r="I312" s="31"/>
      <c r="J312" s="31"/>
      <c r="K312" s="31"/>
      <c r="L312" s="32" t="str">
        <f>VLOOKUP(D312,'Active Employees'!$B$2:$B$498,1,false)</f>
        <v>#N/A</v>
      </c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</row>
    <row r="313">
      <c r="A313" s="37" t="s">
        <v>1522</v>
      </c>
      <c r="B313" s="31" t="s">
        <v>1523</v>
      </c>
      <c r="C313" s="31" t="s">
        <v>1524</v>
      </c>
      <c r="D313" s="31" t="s">
        <v>1788</v>
      </c>
      <c r="E313" s="31" t="s">
        <v>1488</v>
      </c>
      <c r="F313" s="31" t="s">
        <v>1541</v>
      </c>
      <c r="G313" s="31" t="s">
        <v>1528</v>
      </c>
      <c r="H313" s="32" t="s">
        <v>1469</v>
      </c>
      <c r="I313" s="31"/>
      <c r="J313" s="31"/>
      <c r="K313" s="31"/>
      <c r="L313" s="32" t="str">
        <f>VLOOKUP(D313,'Active Employees'!$B$2:$B$498,1,false)</f>
        <v>#N/A</v>
      </c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</row>
    <row r="314">
      <c r="A314" s="37" t="s">
        <v>1522</v>
      </c>
      <c r="B314" s="31" t="s">
        <v>1547</v>
      </c>
      <c r="C314" s="31" t="s">
        <v>1548</v>
      </c>
      <c r="D314" s="31" t="s">
        <v>1788</v>
      </c>
      <c r="E314" s="31" t="s">
        <v>1488</v>
      </c>
      <c r="F314" s="31" t="s">
        <v>1481</v>
      </c>
      <c r="G314" s="31" t="s">
        <v>1528</v>
      </c>
      <c r="H314" s="32" t="s">
        <v>1469</v>
      </c>
      <c r="I314" s="31"/>
      <c r="J314" s="31"/>
      <c r="K314" s="31"/>
      <c r="L314" s="32" t="str">
        <f>VLOOKUP(D314,'Active Employees'!$B$2:$B$498,1,false)</f>
        <v>#N/A</v>
      </c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</row>
    <row r="315">
      <c r="A315" s="37" t="s">
        <v>1570</v>
      </c>
      <c r="B315" s="31" t="s">
        <v>1523</v>
      </c>
      <c r="C315" s="31" t="s">
        <v>1524</v>
      </c>
      <c r="D315" s="31" t="s">
        <v>1232</v>
      </c>
      <c r="E315" s="31" t="s">
        <v>1488</v>
      </c>
      <c r="F315" s="31" t="s">
        <v>1541</v>
      </c>
      <c r="G315" s="31" t="s">
        <v>1528</v>
      </c>
      <c r="H315" s="32" t="s">
        <v>1469</v>
      </c>
      <c r="I315" s="31"/>
      <c r="J315" s="31"/>
      <c r="K315" s="31"/>
      <c r="L315" s="32" t="str">
        <f>VLOOKUP(D315,'Active Employees'!$B$2:$B$498,1,false)</f>
        <v>daniel.schultz@docker.com</v>
      </c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</row>
    <row r="316">
      <c r="A316" s="37" t="s">
        <v>1570</v>
      </c>
      <c r="B316" s="31" t="s">
        <v>1547</v>
      </c>
      <c r="C316" s="31" t="s">
        <v>1576</v>
      </c>
      <c r="D316" s="31" t="s">
        <v>1232</v>
      </c>
      <c r="E316" s="31" t="s">
        <v>1488</v>
      </c>
      <c r="F316" s="31" t="s">
        <v>1549</v>
      </c>
      <c r="G316" s="31" t="s">
        <v>1528</v>
      </c>
      <c r="H316" s="32" t="s">
        <v>1469</v>
      </c>
      <c r="I316" s="31"/>
      <c r="J316" s="31"/>
      <c r="K316" s="31"/>
      <c r="L316" s="32" t="str">
        <f>VLOOKUP(D316,'Active Employees'!$B$2:$B$498,1,false)</f>
        <v>daniel.schultz@docker.com</v>
      </c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</row>
    <row r="317">
      <c r="A317" s="37" t="s">
        <v>1570</v>
      </c>
      <c r="B317" s="31" t="s">
        <v>1547</v>
      </c>
      <c r="C317" s="31" t="s">
        <v>1577</v>
      </c>
      <c r="D317" s="31" t="s">
        <v>1232</v>
      </c>
      <c r="E317" s="31" t="s">
        <v>1488</v>
      </c>
      <c r="F317" s="31" t="s">
        <v>1549</v>
      </c>
      <c r="G317" s="31" t="s">
        <v>1528</v>
      </c>
      <c r="H317" s="32" t="s">
        <v>1469</v>
      </c>
      <c r="I317" s="31"/>
      <c r="J317" s="31"/>
      <c r="K317" s="31"/>
      <c r="L317" s="32" t="str">
        <f>VLOOKUP(D317,'Active Employees'!$B$2:$B$498,1,false)</f>
        <v>daniel.schultz@docker.com</v>
      </c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</row>
    <row r="318">
      <c r="A318" s="37" t="s">
        <v>1570</v>
      </c>
      <c r="B318" s="31" t="s">
        <v>1547</v>
      </c>
      <c r="C318" s="31" t="s">
        <v>1578</v>
      </c>
      <c r="D318" s="31" t="s">
        <v>1232</v>
      </c>
      <c r="E318" s="31" t="s">
        <v>1488</v>
      </c>
      <c r="F318" s="31" t="s">
        <v>1549</v>
      </c>
      <c r="G318" s="31" t="s">
        <v>1528</v>
      </c>
      <c r="H318" s="32" t="s">
        <v>1469</v>
      </c>
      <c r="I318" s="31"/>
      <c r="J318" s="31"/>
      <c r="K318" s="31"/>
      <c r="L318" s="32" t="str">
        <f>VLOOKUP(D318,'Active Employees'!$B$2:$B$498,1,false)</f>
        <v>daniel.schultz@docker.com</v>
      </c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</row>
    <row r="319">
      <c r="A319" s="37" t="s">
        <v>1570</v>
      </c>
      <c r="B319" s="31" t="s">
        <v>1547</v>
      </c>
      <c r="C319" s="31" t="s">
        <v>1579</v>
      </c>
      <c r="D319" s="31" t="s">
        <v>1232</v>
      </c>
      <c r="E319" s="31" t="s">
        <v>1488</v>
      </c>
      <c r="F319" s="31" t="s">
        <v>1549</v>
      </c>
      <c r="G319" s="31" t="s">
        <v>1528</v>
      </c>
      <c r="H319" s="32" t="s">
        <v>1469</v>
      </c>
      <c r="I319" s="31"/>
      <c r="J319" s="31"/>
      <c r="K319" s="31"/>
      <c r="L319" s="32" t="str">
        <f>VLOOKUP(D319,'Active Employees'!$B$2:$B$498,1,false)</f>
        <v>daniel.schultz@docker.com</v>
      </c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</row>
    <row r="320">
      <c r="A320" s="37" t="s">
        <v>1570</v>
      </c>
      <c r="B320" s="31" t="s">
        <v>1547</v>
      </c>
      <c r="C320" s="31" t="s">
        <v>1584</v>
      </c>
      <c r="D320" s="31" t="s">
        <v>1232</v>
      </c>
      <c r="E320" s="31" t="s">
        <v>1488</v>
      </c>
      <c r="F320" s="31" t="s">
        <v>1549</v>
      </c>
      <c r="G320" s="31" t="s">
        <v>1528</v>
      </c>
      <c r="H320" s="32" t="s">
        <v>1469</v>
      </c>
      <c r="I320" s="31"/>
      <c r="J320" s="31"/>
      <c r="K320" s="31"/>
      <c r="L320" s="32" t="str">
        <f>VLOOKUP(D320,'Active Employees'!$B$2:$B$498,1,false)</f>
        <v>daniel.schultz@docker.com</v>
      </c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</row>
    <row r="321">
      <c r="A321" s="37" t="s">
        <v>1570</v>
      </c>
      <c r="B321" s="31" t="s">
        <v>1547</v>
      </c>
      <c r="C321" s="31" t="s">
        <v>1588</v>
      </c>
      <c r="D321" s="31" t="s">
        <v>1232</v>
      </c>
      <c r="E321" s="31" t="s">
        <v>1488</v>
      </c>
      <c r="F321" s="31" t="s">
        <v>1549</v>
      </c>
      <c r="G321" s="31" t="s">
        <v>1528</v>
      </c>
      <c r="H321" s="32" t="s">
        <v>1469</v>
      </c>
      <c r="I321" s="31"/>
      <c r="J321" s="31"/>
      <c r="K321" s="31"/>
      <c r="L321" s="32" t="str">
        <f>VLOOKUP(D321,'Active Employees'!$B$2:$B$498,1,false)</f>
        <v>daniel.schultz@docker.com</v>
      </c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</row>
    <row r="322">
      <c r="A322" s="37" t="s">
        <v>1570</v>
      </c>
      <c r="B322" s="31" t="s">
        <v>1547</v>
      </c>
      <c r="C322" s="31" t="s">
        <v>1589</v>
      </c>
      <c r="D322" s="31" t="s">
        <v>1232</v>
      </c>
      <c r="E322" s="31" t="s">
        <v>1488</v>
      </c>
      <c r="F322" s="31" t="s">
        <v>1549</v>
      </c>
      <c r="G322" s="31" t="s">
        <v>1528</v>
      </c>
      <c r="H322" s="32" t="s">
        <v>1469</v>
      </c>
      <c r="I322" s="31"/>
      <c r="J322" s="31"/>
      <c r="K322" s="31"/>
      <c r="L322" s="32" t="str">
        <f>VLOOKUP(D322,'Active Employees'!$B$2:$B$498,1,false)</f>
        <v>daniel.schultz@docker.com</v>
      </c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</row>
    <row r="323">
      <c r="A323" s="37" t="s">
        <v>1570</v>
      </c>
      <c r="B323" s="31" t="s">
        <v>1547</v>
      </c>
      <c r="C323" s="31" t="s">
        <v>1590</v>
      </c>
      <c r="D323" s="31" t="s">
        <v>1232</v>
      </c>
      <c r="E323" s="31" t="s">
        <v>1488</v>
      </c>
      <c r="F323" s="31" t="s">
        <v>1549</v>
      </c>
      <c r="G323" s="31" t="s">
        <v>1528</v>
      </c>
      <c r="H323" s="32" t="s">
        <v>1469</v>
      </c>
      <c r="I323" s="31"/>
      <c r="J323" s="31"/>
      <c r="K323" s="31"/>
      <c r="L323" s="32" t="str">
        <f>VLOOKUP(D323,'Active Employees'!$B$2:$B$498,1,false)</f>
        <v>daniel.schultz@docker.com</v>
      </c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</row>
    <row r="324">
      <c r="A324" s="37" t="s">
        <v>1570</v>
      </c>
      <c r="B324" s="31" t="s">
        <v>1547</v>
      </c>
      <c r="C324" s="31" t="s">
        <v>1591</v>
      </c>
      <c r="D324" s="31" t="s">
        <v>1232</v>
      </c>
      <c r="E324" s="31" t="s">
        <v>1488</v>
      </c>
      <c r="F324" s="31" t="s">
        <v>1549</v>
      </c>
      <c r="G324" s="31" t="s">
        <v>1528</v>
      </c>
      <c r="H324" s="32" t="s">
        <v>1469</v>
      </c>
      <c r="I324" s="31"/>
      <c r="J324" s="31"/>
      <c r="K324" s="31"/>
      <c r="L324" s="32" t="str">
        <f>VLOOKUP(D324,'Active Employees'!$B$2:$B$498,1,false)</f>
        <v>daniel.schultz@docker.com</v>
      </c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</row>
    <row r="325">
      <c r="A325" s="37" t="s">
        <v>1570</v>
      </c>
      <c r="B325" s="31" t="s">
        <v>1547</v>
      </c>
      <c r="C325" s="31" t="s">
        <v>1592</v>
      </c>
      <c r="D325" s="31" t="s">
        <v>1232</v>
      </c>
      <c r="E325" s="31" t="s">
        <v>1488</v>
      </c>
      <c r="F325" s="31" t="s">
        <v>1549</v>
      </c>
      <c r="G325" s="31" t="s">
        <v>1528</v>
      </c>
      <c r="H325" s="32" t="s">
        <v>1469</v>
      </c>
      <c r="I325" s="31"/>
      <c r="J325" s="31"/>
      <c r="K325" s="31"/>
      <c r="L325" s="32" t="str">
        <f>VLOOKUP(D325,'Active Employees'!$B$2:$B$498,1,false)</f>
        <v>daniel.schultz@docker.com</v>
      </c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</row>
    <row r="326">
      <c r="A326" s="37" t="s">
        <v>1570</v>
      </c>
      <c r="B326" s="31" t="s">
        <v>1547</v>
      </c>
      <c r="C326" s="31" t="s">
        <v>600</v>
      </c>
      <c r="D326" s="31" t="s">
        <v>1232</v>
      </c>
      <c r="E326" s="31" t="s">
        <v>1488</v>
      </c>
      <c r="F326" s="31" t="s">
        <v>1549</v>
      </c>
      <c r="G326" s="31" t="s">
        <v>1528</v>
      </c>
      <c r="H326" s="32" t="s">
        <v>1469</v>
      </c>
      <c r="I326" s="31"/>
      <c r="J326" s="31"/>
      <c r="K326" s="31"/>
      <c r="L326" s="32" t="str">
        <f>VLOOKUP(D326,'Active Employees'!$B$2:$B$498,1,false)</f>
        <v>daniel.schultz@docker.com</v>
      </c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</row>
    <row r="327">
      <c r="A327" s="37" t="s">
        <v>1570</v>
      </c>
      <c r="B327" s="31" t="s">
        <v>1547</v>
      </c>
      <c r="C327" s="31" t="s">
        <v>1593</v>
      </c>
      <c r="D327" s="31" t="s">
        <v>1232</v>
      </c>
      <c r="E327" s="31" t="s">
        <v>1488</v>
      </c>
      <c r="F327" s="31" t="s">
        <v>1549</v>
      </c>
      <c r="G327" s="31" t="s">
        <v>1528</v>
      </c>
      <c r="H327" s="32" t="s">
        <v>1469</v>
      </c>
      <c r="I327" s="31"/>
      <c r="J327" s="31"/>
      <c r="K327" s="31"/>
      <c r="L327" s="32" t="str">
        <f>VLOOKUP(D327,'Active Employees'!$B$2:$B$498,1,false)</f>
        <v>daniel.schultz@docker.com</v>
      </c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</row>
    <row r="328">
      <c r="A328" s="37" t="s">
        <v>1570</v>
      </c>
      <c r="B328" s="31" t="s">
        <v>1547</v>
      </c>
      <c r="C328" s="31" t="s">
        <v>1594</v>
      </c>
      <c r="D328" s="31" t="s">
        <v>1232</v>
      </c>
      <c r="E328" s="31" t="s">
        <v>1488</v>
      </c>
      <c r="F328" s="31" t="s">
        <v>1549</v>
      </c>
      <c r="G328" s="31" t="s">
        <v>1528</v>
      </c>
      <c r="H328" s="32" t="s">
        <v>1469</v>
      </c>
      <c r="I328" s="31"/>
      <c r="J328" s="31"/>
      <c r="K328" s="31"/>
      <c r="L328" s="32" t="str">
        <f>VLOOKUP(D328,'Active Employees'!$B$2:$B$498,1,false)</f>
        <v>daniel.schultz@docker.com</v>
      </c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</row>
    <row r="329">
      <c r="A329" s="37" t="s">
        <v>1570</v>
      </c>
      <c r="B329" s="31" t="s">
        <v>1568</v>
      </c>
      <c r="C329" s="31" t="s">
        <v>1569</v>
      </c>
      <c r="D329" s="31" t="s">
        <v>1232</v>
      </c>
      <c r="E329" s="31" t="s">
        <v>1488</v>
      </c>
      <c r="F329" s="31" t="s">
        <v>1549</v>
      </c>
      <c r="G329" s="31" t="s">
        <v>1528</v>
      </c>
      <c r="H329" s="32" t="s">
        <v>1469</v>
      </c>
      <c r="I329" s="31"/>
      <c r="J329" s="31"/>
      <c r="K329" s="31"/>
      <c r="L329" s="32" t="str">
        <f>VLOOKUP(D329,'Active Employees'!$B$2:$B$498,1,false)</f>
        <v>daniel.schultz@docker.com</v>
      </c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</row>
    <row r="330">
      <c r="A330" s="37" t="s">
        <v>1570</v>
      </c>
      <c r="B330" s="31" t="s">
        <v>1568</v>
      </c>
      <c r="C330" s="31" t="s">
        <v>1595</v>
      </c>
      <c r="D330" s="31" t="s">
        <v>1232</v>
      </c>
      <c r="E330" s="31" t="s">
        <v>1488</v>
      </c>
      <c r="F330" s="31" t="s">
        <v>1549</v>
      </c>
      <c r="G330" s="31" t="s">
        <v>1528</v>
      </c>
      <c r="H330" s="32" t="s">
        <v>1469</v>
      </c>
      <c r="I330" s="31"/>
      <c r="J330" s="31"/>
      <c r="K330" s="31"/>
      <c r="L330" s="32" t="str">
        <f>VLOOKUP(D330,'Active Employees'!$B$2:$B$498,1,false)</f>
        <v>daniel.schultz@docker.com</v>
      </c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</row>
    <row r="331" hidden="1">
      <c r="A331" s="37" t="s">
        <v>1522</v>
      </c>
      <c r="B331" s="31" t="s">
        <v>1547</v>
      </c>
      <c r="C331" s="31" t="s">
        <v>1558</v>
      </c>
      <c r="D331" s="31" t="s">
        <v>1789</v>
      </c>
      <c r="E331" s="31" t="s">
        <v>1790</v>
      </c>
      <c r="F331" s="31" t="s">
        <v>1630</v>
      </c>
      <c r="G331" s="31" t="s">
        <v>1612</v>
      </c>
      <c r="H331" s="32" t="s">
        <v>1469</v>
      </c>
      <c r="I331" s="31"/>
      <c r="J331" s="31"/>
      <c r="K331" s="31"/>
      <c r="L331" s="32" t="str">
        <f>VLOOKUP(D331,'Active Employees'!$B$2:$B$498,1,false)</f>
        <v>#N/A</v>
      </c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</row>
    <row r="332">
      <c r="A332" s="37" t="s">
        <v>1522</v>
      </c>
      <c r="B332" s="31" t="s">
        <v>1547</v>
      </c>
      <c r="C332" s="31" t="s">
        <v>1565</v>
      </c>
      <c r="D332" s="31" t="s">
        <v>1789</v>
      </c>
      <c r="E332" s="31" t="s">
        <v>1790</v>
      </c>
      <c r="F332" s="31" t="s">
        <v>1634</v>
      </c>
      <c r="G332" s="31" t="s">
        <v>1612</v>
      </c>
      <c r="H332" s="32" t="s">
        <v>1469</v>
      </c>
      <c r="I332" s="31"/>
      <c r="J332" s="31"/>
      <c r="K332" s="31"/>
      <c r="L332" s="32" t="str">
        <f>VLOOKUP(D332,'Active Employees'!$B$2:$B$498,1,false)</f>
        <v>#N/A</v>
      </c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</row>
    <row r="333" hidden="1">
      <c r="A333" s="37" t="s">
        <v>1522</v>
      </c>
      <c r="B333" s="31" t="s">
        <v>1547</v>
      </c>
      <c r="C333" s="31" t="s">
        <v>1565</v>
      </c>
      <c r="D333" s="31" t="s">
        <v>1789</v>
      </c>
      <c r="E333" s="31" t="s">
        <v>1790</v>
      </c>
      <c r="F333" s="31" t="s">
        <v>1630</v>
      </c>
      <c r="G333" s="31" t="s">
        <v>1612</v>
      </c>
      <c r="H333" s="32" t="s">
        <v>1469</v>
      </c>
      <c r="I333" s="31"/>
      <c r="J333" s="31"/>
      <c r="K333" s="31"/>
      <c r="L333" s="32" t="str">
        <f>VLOOKUP(D333,'Active Employees'!$B$2:$B$498,1,false)</f>
        <v>#N/A</v>
      </c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</row>
    <row r="334" hidden="1">
      <c r="A334" s="37" t="s">
        <v>1522</v>
      </c>
      <c r="B334" s="31" t="s">
        <v>1547</v>
      </c>
      <c r="C334" s="31" t="s">
        <v>1565</v>
      </c>
      <c r="D334" s="31" t="s">
        <v>1791</v>
      </c>
      <c r="E334" s="31" t="s">
        <v>1648</v>
      </c>
      <c r="F334" s="31" t="s">
        <v>1640</v>
      </c>
      <c r="G334" s="31" t="s">
        <v>1528</v>
      </c>
      <c r="H334" s="32" t="s">
        <v>1469</v>
      </c>
      <c r="I334" s="31"/>
      <c r="J334" s="31"/>
      <c r="K334" s="31"/>
      <c r="L334" s="32" t="str">
        <f>VLOOKUP(D334,'Active Employees'!$B$2:$B$498,1,false)</f>
        <v>#N/A</v>
      </c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</row>
    <row r="335" hidden="1">
      <c r="A335" s="37" t="s">
        <v>1570</v>
      </c>
      <c r="B335" s="31" t="s">
        <v>1547</v>
      </c>
      <c r="C335" s="31" t="s">
        <v>1576</v>
      </c>
      <c r="D335" s="31" t="s">
        <v>608</v>
      </c>
      <c r="E335" s="31" t="s">
        <v>1648</v>
      </c>
      <c r="F335" s="31" t="s">
        <v>1640</v>
      </c>
      <c r="G335" s="31" t="s">
        <v>1528</v>
      </c>
      <c r="H335" s="32" t="s">
        <v>1469</v>
      </c>
      <c r="I335" s="31"/>
      <c r="J335" s="31"/>
      <c r="K335" s="31"/>
      <c r="L335" s="32" t="str">
        <f>VLOOKUP(D335,'Active Employees'!$B$2:$B$498,1,false)</f>
        <v>david.gageot@docker.com</v>
      </c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</row>
    <row r="336" hidden="1">
      <c r="A336" s="37" t="s">
        <v>1522</v>
      </c>
      <c r="B336" s="31" t="s">
        <v>1547</v>
      </c>
      <c r="C336" s="31" t="s">
        <v>1566</v>
      </c>
      <c r="D336" s="31" t="s">
        <v>1792</v>
      </c>
      <c r="E336" s="31" t="s">
        <v>1793</v>
      </c>
      <c r="F336" s="31" t="s">
        <v>1611</v>
      </c>
      <c r="G336" s="31" t="s">
        <v>1612</v>
      </c>
      <c r="H336" s="32" t="s">
        <v>1469</v>
      </c>
      <c r="I336" s="31"/>
      <c r="J336" s="31"/>
      <c r="K336" s="31"/>
      <c r="L336" s="32" t="str">
        <f>VLOOKUP(D336,'Active Employees'!$B$2:$B$498,1,false)</f>
        <v>#N/A</v>
      </c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</row>
    <row r="337" hidden="1">
      <c r="A337" s="37" t="s">
        <v>1522</v>
      </c>
      <c r="B337" s="31" t="s">
        <v>1547</v>
      </c>
      <c r="C337" s="31" t="s">
        <v>1566</v>
      </c>
      <c r="D337" s="31" t="s">
        <v>1794</v>
      </c>
      <c r="E337" s="31" t="s">
        <v>1795</v>
      </c>
      <c r="F337" s="31" t="s">
        <v>1611</v>
      </c>
      <c r="G337" s="31" t="s">
        <v>1612</v>
      </c>
      <c r="H337" s="32" t="s">
        <v>1469</v>
      </c>
      <c r="I337" s="31"/>
      <c r="J337" s="31"/>
      <c r="K337" s="31"/>
      <c r="L337" s="32" t="str">
        <f>VLOOKUP(D337,'Active Employees'!$B$2:$B$498,1,false)</f>
        <v>#N/A</v>
      </c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</row>
    <row r="338" hidden="1">
      <c r="A338" s="37" t="s">
        <v>1522</v>
      </c>
      <c r="B338" s="31" t="s">
        <v>1547</v>
      </c>
      <c r="C338" s="31" t="s">
        <v>1566</v>
      </c>
      <c r="D338" s="31" t="s">
        <v>1796</v>
      </c>
      <c r="E338" s="31" t="s">
        <v>1797</v>
      </c>
      <c r="F338" s="31" t="s">
        <v>1611</v>
      </c>
      <c r="G338" s="31" t="s">
        <v>1612</v>
      </c>
      <c r="H338" s="32" t="s">
        <v>1469</v>
      </c>
      <c r="I338" s="31"/>
      <c r="J338" s="31"/>
      <c r="K338" s="31"/>
      <c r="L338" s="32" t="str">
        <f>VLOOKUP(D338,'Active Employees'!$B$2:$B$498,1,false)</f>
        <v>#N/A</v>
      </c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</row>
    <row r="339" hidden="1">
      <c r="A339" s="37" t="s">
        <v>1522</v>
      </c>
      <c r="B339" s="31" t="s">
        <v>1547</v>
      </c>
      <c r="C339" s="31" t="s">
        <v>1566</v>
      </c>
      <c r="D339" s="31" t="s">
        <v>1798</v>
      </c>
      <c r="E339" s="31" t="s">
        <v>1799</v>
      </c>
      <c r="F339" s="31" t="s">
        <v>1611</v>
      </c>
      <c r="G339" s="31" t="s">
        <v>1612</v>
      </c>
      <c r="H339" s="32" t="s">
        <v>1469</v>
      </c>
      <c r="I339" s="31"/>
      <c r="J339" s="31"/>
      <c r="K339" s="31"/>
      <c r="L339" s="32" t="str">
        <f>VLOOKUP(D339,'Active Employees'!$B$2:$B$498,1,false)</f>
        <v>#N/A</v>
      </c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</row>
    <row r="340" hidden="1">
      <c r="A340" s="37" t="s">
        <v>1522</v>
      </c>
      <c r="B340" s="31" t="s">
        <v>1547</v>
      </c>
      <c r="C340" s="31" t="s">
        <v>1566</v>
      </c>
      <c r="D340" s="31" t="s">
        <v>1800</v>
      </c>
      <c r="E340" s="31" t="s">
        <v>1801</v>
      </c>
      <c r="F340" s="31" t="s">
        <v>1611</v>
      </c>
      <c r="G340" s="31" t="s">
        <v>1612</v>
      </c>
      <c r="H340" s="32" t="s">
        <v>1469</v>
      </c>
      <c r="I340" s="31"/>
      <c r="J340" s="31"/>
      <c r="K340" s="31"/>
      <c r="L340" s="32" t="str">
        <f>VLOOKUP(D340,'Active Employees'!$B$2:$B$498,1,false)</f>
        <v>#N/A</v>
      </c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</row>
    <row r="341" hidden="1">
      <c r="A341" s="37" t="s">
        <v>1522</v>
      </c>
      <c r="B341" s="31" t="s">
        <v>1547</v>
      </c>
      <c r="C341" s="31" t="s">
        <v>1558</v>
      </c>
      <c r="D341" s="31" t="s">
        <v>1802</v>
      </c>
      <c r="E341" s="31" t="s">
        <v>1803</v>
      </c>
      <c r="F341" s="31" t="s">
        <v>1630</v>
      </c>
      <c r="G341" s="31" t="s">
        <v>1612</v>
      </c>
      <c r="H341" s="32" t="s">
        <v>1469</v>
      </c>
      <c r="I341" s="31"/>
      <c r="J341" s="31"/>
      <c r="K341" s="31"/>
      <c r="L341" s="32" t="str">
        <f>VLOOKUP(D341,'Active Employees'!$B$2:$B$498,1,false)</f>
        <v>#N/A</v>
      </c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</row>
    <row r="342" hidden="1">
      <c r="A342" s="37" t="s">
        <v>1522</v>
      </c>
      <c r="B342" s="31" t="s">
        <v>1547</v>
      </c>
      <c r="C342" s="31" t="s">
        <v>1565</v>
      </c>
      <c r="D342" s="31" t="s">
        <v>1802</v>
      </c>
      <c r="E342" s="31" t="s">
        <v>1803</v>
      </c>
      <c r="F342" s="31" t="s">
        <v>1640</v>
      </c>
      <c r="G342" s="31" t="s">
        <v>1528</v>
      </c>
      <c r="H342" s="32" t="s">
        <v>1469</v>
      </c>
      <c r="I342" s="31"/>
      <c r="J342" s="31"/>
      <c r="K342" s="31"/>
      <c r="L342" s="32" t="str">
        <f>VLOOKUP(D342,'Active Employees'!$B$2:$B$498,1,false)</f>
        <v>#N/A</v>
      </c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</row>
    <row r="343">
      <c r="A343" s="37" t="s">
        <v>1522</v>
      </c>
      <c r="B343" s="31" t="s">
        <v>1547</v>
      </c>
      <c r="C343" s="31" t="s">
        <v>1565</v>
      </c>
      <c r="D343" s="31" t="s">
        <v>1802</v>
      </c>
      <c r="E343" s="31" t="s">
        <v>1803</v>
      </c>
      <c r="F343" s="31" t="s">
        <v>1634</v>
      </c>
      <c r="G343" s="31" t="s">
        <v>1612</v>
      </c>
      <c r="H343" s="32" t="s">
        <v>1469</v>
      </c>
      <c r="I343" s="31"/>
      <c r="J343" s="31"/>
      <c r="K343" s="31"/>
      <c r="L343" s="32" t="str">
        <f>VLOOKUP(D343,'Active Employees'!$B$2:$B$498,1,false)</f>
        <v>#N/A</v>
      </c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</row>
    <row r="344" hidden="1">
      <c r="A344" s="37" t="s">
        <v>1522</v>
      </c>
      <c r="B344" s="31" t="s">
        <v>1547</v>
      </c>
      <c r="C344" s="31" t="s">
        <v>1565</v>
      </c>
      <c r="D344" s="31" t="s">
        <v>1802</v>
      </c>
      <c r="E344" s="31" t="s">
        <v>1803</v>
      </c>
      <c r="F344" s="31" t="s">
        <v>1630</v>
      </c>
      <c r="G344" s="31" t="s">
        <v>1612</v>
      </c>
      <c r="H344" s="32" t="s">
        <v>1469</v>
      </c>
      <c r="I344" s="31"/>
      <c r="J344" s="31"/>
      <c r="K344" s="31"/>
      <c r="L344" s="32" t="str">
        <f>VLOOKUP(D344,'Active Employees'!$B$2:$B$498,1,false)</f>
        <v>#N/A</v>
      </c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</row>
    <row r="345" hidden="1">
      <c r="A345" s="37" t="s">
        <v>1570</v>
      </c>
      <c r="B345" s="31" t="s">
        <v>1547</v>
      </c>
      <c r="C345" s="31" t="s">
        <v>1576</v>
      </c>
      <c r="D345" s="31" t="s">
        <v>907</v>
      </c>
      <c r="E345" s="31" t="s">
        <v>1803</v>
      </c>
      <c r="F345" s="31" t="s">
        <v>1640</v>
      </c>
      <c r="G345" s="31" t="s">
        <v>1528</v>
      </c>
      <c r="H345" s="32" t="s">
        <v>1469</v>
      </c>
      <c r="I345" s="31"/>
      <c r="J345" s="31"/>
      <c r="K345" s="31"/>
      <c r="L345" s="32" t="str">
        <f>VLOOKUP(D345,'Active Employees'!$B$2:$B$498,1,false)</f>
        <v>djordje.lukic@docker.com</v>
      </c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</row>
    <row r="346" hidden="1">
      <c r="A346" s="37" t="s">
        <v>1570</v>
      </c>
      <c r="B346" s="31" t="s">
        <v>1547</v>
      </c>
      <c r="C346" s="31" t="s">
        <v>1577</v>
      </c>
      <c r="D346" s="31" t="s">
        <v>624</v>
      </c>
      <c r="E346" s="31" t="s">
        <v>1804</v>
      </c>
      <c r="F346" s="31" t="s">
        <v>1709</v>
      </c>
      <c r="G346" s="31" t="s">
        <v>1612</v>
      </c>
      <c r="H346" s="32" t="s">
        <v>1469</v>
      </c>
      <c r="I346" s="31"/>
      <c r="J346" s="31"/>
      <c r="K346" s="31"/>
      <c r="L346" s="32" t="str">
        <f>VLOOKUP(D346,'Active Employees'!$B$2:$B$498,1,false)</f>
        <v>dorin.geman@docker.com</v>
      </c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</row>
    <row r="347" hidden="1">
      <c r="A347" s="37" t="s">
        <v>1570</v>
      </c>
      <c r="B347" s="31" t="s">
        <v>1547</v>
      </c>
      <c r="C347" s="31" t="s">
        <v>1593</v>
      </c>
      <c r="D347" s="31" t="s">
        <v>971</v>
      </c>
      <c r="E347" s="31" t="s">
        <v>1805</v>
      </c>
      <c r="F347" s="31" t="s">
        <v>1640</v>
      </c>
      <c r="G347" s="31" t="s">
        <v>1528</v>
      </c>
      <c r="H347" s="32" t="s">
        <v>1469</v>
      </c>
      <c r="I347" s="31"/>
      <c r="J347" s="31"/>
      <c r="K347" s="31"/>
      <c r="L347" s="32" t="str">
        <f>VLOOKUP(D347,'Active Employees'!$B$2:$B$498,1,false)</f>
        <v>eddu.melendez@docker.com</v>
      </c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</row>
    <row r="348" hidden="1">
      <c r="A348" s="37" t="s">
        <v>1570</v>
      </c>
      <c r="B348" s="31" t="s">
        <v>1547</v>
      </c>
      <c r="C348" s="31" t="s">
        <v>1577</v>
      </c>
      <c r="D348" s="31" t="s">
        <v>335</v>
      </c>
      <c r="E348" s="31" t="s">
        <v>1806</v>
      </c>
      <c r="F348" s="31" t="s">
        <v>1709</v>
      </c>
      <c r="G348" s="31" t="s">
        <v>1612</v>
      </c>
      <c r="H348" s="32" t="s">
        <v>1469</v>
      </c>
      <c r="I348" s="31"/>
      <c r="J348" s="31"/>
      <c r="K348" s="31"/>
      <c r="L348" s="32" t="str">
        <f>VLOOKUP(D348,'Active Employees'!$B$2:$B$498,1,false)</f>
        <v>emily.casey@docker.com</v>
      </c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</row>
    <row r="349" hidden="1">
      <c r="A349" s="37" t="s">
        <v>1570</v>
      </c>
      <c r="B349" s="31" t="s">
        <v>1547</v>
      </c>
      <c r="C349" s="31" t="s">
        <v>1594</v>
      </c>
      <c r="D349" s="31" t="s">
        <v>335</v>
      </c>
      <c r="E349" s="31" t="s">
        <v>1806</v>
      </c>
      <c r="F349" s="31" t="s">
        <v>1807</v>
      </c>
      <c r="G349" s="31" t="s">
        <v>1612</v>
      </c>
      <c r="H349" s="32" t="s">
        <v>1469</v>
      </c>
      <c r="I349" s="31"/>
      <c r="J349" s="31"/>
      <c r="K349" s="31"/>
      <c r="L349" s="32" t="str">
        <f>VLOOKUP(D349,'Active Employees'!$B$2:$B$498,1,false)</f>
        <v>emily.casey@docker.com</v>
      </c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</row>
    <row r="350" hidden="1">
      <c r="A350" s="37" t="s">
        <v>1522</v>
      </c>
      <c r="B350" s="31" t="s">
        <v>1547</v>
      </c>
      <c r="C350" s="31" t="s">
        <v>1566</v>
      </c>
      <c r="D350" s="31" t="s">
        <v>1684</v>
      </c>
      <c r="E350" s="31" t="s">
        <v>1685</v>
      </c>
      <c r="F350" s="31" t="s">
        <v>1686</v>
      </c>
      <c r="G350" s="31" t="s">
        <v>1687</v>
      </c>
      <c r="H350" s="32" t="s">
        <v>1469</v>
      </c>
      <c r="I350" s="31"/>
      <c r="J350" s="31"/>
      <c r="K350" s="31"/>
      <c r="L350" s="32" t="str">
        <f>VLOOKUP(D350,'Active Employees'!$B$2:$B$498,1,false)</f>
        <v>#N/A</v>
      </c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</row>
    <row r="351" hidden="1">
      <c r="A351" s="37" t="s">
        <v>1522</v>
      </c>
      <c r="B351" s="31" t="s">
        <v>1547</v>
      </c>
      <c r="C351" s="31" t="s">
        <v>1566</v>
      </c>
      <c r="D351" s="31" t="s">
        <v>1688</v>
      </c>
      <c r="E351" s="31" t="s">
        <v>1689</v>
      </c>
      <c r="F351" s="31" t="s">
        <v>1686</v>
      </c>
      <c r="G351" s="31" t="s">
        <v>1687</v>
      </c>
      <c r="H351" s="32" t="s">
        <v>1469</v>
      </c>
      <c r="I351" s="31"/>
      <c r="J351" s="31"/>
      <c r="K351" s="31"/>
      <c r="L351" s="32" t="str">
        <f>VLOOKUP(D351,'Active Employees'!$B$2:$B$498,1,false)</f>
        <v>#N/A</v>
      </c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</row>
    <row r="352" hidden="1">
      <c r="A352" s="37" t="s">
        <v>1522</v>
      </c>
      <c r="B352" s="31" t="s">
        <v>1547</v>
      </c>
      <c r="C352" s="31" t="s">
        <v>1566</v>
      </c>
      <c r="D352" s="31" t="s">
        <v>1808</v>
      </c>
      <c r="E352" s="31" t="s">
        <v>1809</v>
      </c>
      <c r="F352" s="31" t="s">
        <v>1640</v>
      </c>
      <c r="G352" s="31" t="s">
        <v>1687</v>
      </c>
      <c r="H352" s="32" t="s">
        <v>1469</v>
      </c>
      <c r="I352" s="31"/>
      <c r="J352" s="31"/>
      <c r="K352" s="31"/>
      <c r="L352" s="32" t="str">
        <f>VLOOKUP(D352,'Active Employees'!$B$2:$B$498,1,false)</f>
        <v>#N/A</v>
      </c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</row>
    <row r="353">
      <c r="A353" s="37" t="s">
        <v>1570</v>
      </c>
      <c r="B353" s="31" t="s">
        <v>1547</v>
      </c>
      <c r="C353" s="31" t="s">
        <v>1594</v>
      </c>
      <c r="D353" s="31" t="s">
        <v>335</v>
      </c>
      <c r="E353" s="31" t="s">
        <v>1806</v>
      </c>
      <c r="F353" s="31" t="s">
        <v>1810</v>
      </c>
      <c r="G353" s="31" t="s">
        <v>1612</v>
      </c>
      <c r="H353" s="32" t="s">
        <v>1469</v>
      </c>
      <c r="I353" s="31"/>
      <c r="J353" s="31"/>
      <c r="K353" s="31"/>
      <c r="L353" s="32" t="str">
        <f>VLOOKUP(D353,'Active Employees'!$B$2:$B$498,1,false)</f>
        <v>emily.casey@docker.com</v>
      </c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</row>
    <row r="354" hidden="1">
      <c r="A354" s="37" t="s">
        <v>1522</v>
      </c>
      <c r="B354" s="31" t="s">
        <v>1547</v>
      </c>
      <c r="C354" s="31" t="s">
        <v>1566</v>
      </c>
      <c r="D354" s="31" t="s">
        <v>1811</v>
      </c>
      <c r="E354" s="31" t="s">
        <v>1812</v>
      </c>
      <c r="F354" s="31" t="s">
        <v>1640</v>
      </c>
      <c r="G354" s="31" t="s">
        <v>1687</v>
      </c>
      <c r="H354" s="32" t="s">
        <v>1469</v>
      </c>
      <c r="I354" s="31"/>
      <c r="J354" s="31"/>
      <c r="K354" s="31"/>
      <c r="L354" s="32" t="str">
        <f>VLOOKUP(D354,'Active Employees'!$B$2:$B$498,1,false)</f>
        <v>#N/A</v>
      </c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</row>
    <row r="355" hidden="1">
      <c r="A355" s="37" t="s">
        <v>1522</v>
      </c>
      <c r="B355" s="31" t="s">
        <v>1547</v>
      </c>
      <c r="C355" s="31" t="s">
        <v>1566</v>
      </c>
      <c r="D355" s="31" t="s">
        <v>1813</v>
      </c>
      <c r="E355" s="31" t="s">
        <v>1814</v>
      </c>
      <c r="F355" s="31" t="s">
        <v>1640</v>
      </c>
      <c r="G355" s="31" t="s">
        <v>1687</v>
      </c>
      <c r="H355" s="32" t="s">
        <v>1469</v>
      </c>
      <c r="I355" s="31"/>
      <c r="J355" s="31"/>
      <c r="K355" s="31"/>
      <c r="L355" s="32" t="str">
        <f>VLOOKUP(D355,'Active Employees'!$B$2:$B$498,1,false)</f>
        <v>#N/A</v>
      </c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</row>
    <row r="356" hidden="1">
      <c r="A356" s="37" t="s">
        <v>1522</v>
      </c>
      <c r="B356" s="31" t="s">
        <v>1547</v>
      </c>
      <c r="C356" s="31" t="s">
        <v>1566</v>
      </c>
      <c r="D356" s="31" t="s">
        <v>1813</v>
      </c>
      <c r="E356" s="31" t="s">
        <v>1814</v>
      </c>
      <c r="F356" s="31" t="s">
        <v>1549</v>
      </c>
      <c r="G356" s="31" t="s">
        <v>1687</v>
      </c>
      <c r="H356" s="32" t="s">
        <v>1469</v>
      </c>
      <c r="I356" s="31"/>
      <c r="J356" s="31"/>
      <c r="K356" s="31"/>
      <c r="L356" s="32" t="str">
        <f>VLOOKUP(D356,'Active Employees'!$B$2:$B$498,1,false)</f>
        <v>#N/A</v>
      </c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</row>
    <row r="357" hidden="1">
      <c r="A357" s="37" t="s">
        <v>1522</v>
      </c>
      <c r="B357" s="31" t="s">
        <v>1547</v>
      </c>
      <c r="C357" s="31" t="s">
        <v>1566</v>
      </c>
      <c r="D357" s="31" t="s">
        <v>1813</v>
      </c>
      <c r="E357" s="31" t="s">
        <v>1814</v>
      </c>
      <c r="F357" s="31" t="s">
        <v>1640</v>
      </c>
      <c r="G357" s="31" t="s">
        <v>1687</v>
      </c>
      <c r="H357" s="32" t="s">
        <v>1469</v>
      </c>
      <c r="I357" s="31"/>
      <c r="J357" s="31"/>
      <c r="K357" s="31"/>
      <c r="L357" s="32" t="str">
        <f>VLOOKUP(D357,'Active Employees'!$B$2:$B$498,1,false)</f>
        <v>#N/A</v>
      </c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</row>
    <row r="358" hidden="1">
      <c r="A358" s="37" t="s">
        <v>1522</v>
      </c>
      <c r="B358" s="31" t="s">
        <v>1547</v>
      </c>
      <c r="C358" s="31" t="s">
        <v>1566</v>
      </c>
      <c r="D358" s="31" t="s">
        <v>1815</v>
      </c>
      <c r="E358" s="31" t="s">
        <v>1816</v>
      </c>
      <c r="F358" s="31" t="s">
        <v>1640</v>
      </c>
      <c r="G358" s="31" t="s">
        <v>1687</v>
      </c>
      <c r="H358" s="32" t="s">
        <v>1469</v>
      </c>
      <c r="I358" s="31"/>
      <c r="J358" s="31"/>
      <c r="K358" s="31"/>
      <c r="L358" s="32" t="str">
        <f>VLOOKUP(D358,'Active Employees'!$B$2:$B$498,1,false)</f>
        <v>#N/A</v>
      </c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</row>
    <row r="359" hidden="1">
      <c r="A359" s="37" t="s">
        <v>1522</v>
      </c>
      <c r="B359" s="31" t="s">
        <v>1547</v>
      </c>
      <c r="C359" s="31" t="s">
        <v>1566</v>
      </c>
      <c r="D359" s="31" t="s">
        <v>1817</v>
      </c>
      <c r="E359" s="31" t="s">
        <v>1818</v>
      </c>
      <c r="F359" s="31" t="s">
        <v>1640</v>
      </c>
      <c r="G359" s="31" t="s">
        <v>1687</v>
      </c>
      <c r="H359" s="32" t="s">
        <v>1469</v>
      </c>
      <c r="I359" s="31"/>
      <c r="J359" s="31"/>
      <c r="K359" s="31"/>
      <c r="L359" s="32" t="str">
        <f>VLOOKUP(D359,'Active Employees'!$B$2:$B$498,1,false)</f>
        <v>#N/A</v>
      </c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</row>
    <row r="360" hidden="1">
      <c r="A360" s="37" t="s">
        <v>1522</v>
      </c>
      <c r="B360" s="31" t="s">
        <v>1547</v>
      </c>
      <c r="C360" s="31" t="s">
        <v>1566</v>
      </c>
      <c r="D360" s="31" t="s">
        <v>1817</v>
      </c>
      <c r="E360" s="31" t="s">
        <v>1818</v>
      </c>
      <c r="F360" s="31" t="s">
        <v>1640</v>
      </c>
      <c r="G360" s="31" t="s">
        <v>1687</v>
      </c>
      <c r="H360" s="32" t="s">
        <v>1469</v>
      </c>
      <c r="I360" s="31"/>
      <c r="J360" s="31"/>
      <c r="K360" s="31"/>
      <c r="L360" s="32" t="str">
        <f>VLOOKUP(D360,'Active Employees'!$B$2:$B$498,1,false)</f>
        <v>#N/A</v>
      </c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</row>
    <row r="361" hidden="1">
      <c r="A361" s="37" t="s">
        <v>1522</v>
      </c>
      <c r="B361" s="31" t="s">
        <v>1547</v>
      </c>
      <c r="C361" s="31" t="s">
        <v>1565</v>
      </c>
      <c r="D361" s="31" t="s">
        <v>1819</v>
      </c>
      <c r="E361" s="31" t="s">
        <v>1820</v>
      </c>
      <c r="F361" s="31" t="s">
        <v>1637</v>
      </c>
      <c r="G361" s="31" t="s">
        <v>1612</v>
      </c>
      <c r="H361" s="32" t="s">
        <v>1469</v>
      </c>
      <c r="I361" s="31"/>
      <c r="J361" s="31"/>
      <c r="K361" s="31"/>
      <c r="L361" s="32" t="str">
        <f>VLOOKUP(D361,'Active Employees'!$B$2:$B$498,1,false)</f>
        <v>#N/A</v>
      </c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</row>
    <row r="362">
      <c r="A362" s="37" t="s">
        <v>1522</v>
      </c>
      <c r="B362" s="31" t="s">
        <v>1523</v>
      </c>
      <c r="C362" s="31" t="s">
        <v>1524</v>
      </c>
      <c r="D362" s="31" t="s">
        <v>1821</v>
      </c>
      <c r="E362" s="31" t="s">
        <v>1822</v>
      </c>
      <c r="F362" s="31" t="s">
        <v>1557</v>
      </c>
      <c r="G362" s="31" t="s">
        <v>1528</v>
      </c>
      <c r="H362" s="32" t="s">
        <v>1469</v>
      </c>
      <c r="I362" s="31"/>
      <c r="J362" s="31"/>
      <c r="K362" s="31"/>
      <c r="L362" s="32" t="str">
        <f>VLOOKUP(D362,'Active Employees'!$B$2:$B$498,1,false)</f>
        <v>#N/A</v>
      </c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</row>
    <row r="363">
      <c r="A363" s="37" t="s">
        <v>1522</v>
      </c>
      <c r="B363" s="31" t="s">
        <v>1523</v>
      </c>
      <c r="C363" s="31" t="s">
        <v>1524</v>
      </c>
      <c r="D363" s="31" t="s">
        <v>1821</v>
      </c>
      <c r="E363" s="31" t="s">
        <v>1822</v>
      </c>
      <c r="F363" s="31" t="s">
        <v>1599</v>
      </c>
      <c r="G363" s="31" t="s">
        <v>1528</v>
      </c>
      <c r="H363" s="32" t="s">
        <v>1469</v>
      </c>
      <c r="I363" s="31"/>
      <c r="J363" s="31"/>
      <c r="K363" s="31"/>
      <c r="L363" s="32" t="str">
        <f>VLOOKUP(D363,'Active Employees'!$B$2:$B$498,1,false)</f>
        <v>#N/A</v>
      </c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</row>
    <row r="364">
      <c r="A364" s="37" t="s">
        <v>1522</v>
      </c>
      <c r="B364" s="31" t="s">
        <v>1523</v>
      </c>
      <c r="C364" s="31" t="s">
        <v>1524</v>
      </c>
      <c r="D364" s="31" t="s">
        <v>1821</v>
      </c>
      <c r="E364" s="31" t="s">
        <v>1822</v>
      </c>
      <c r="F364" s="31" t="s">
        <v>1600</v>
      </c>
      <c r="G364" s="31" t="s">
        <v>1528</v>
      </c>
      <c r="H364" s="32" t="s">
        <v>1469</v>
      </c>
      <c r="I364" s="31"/>
      <c r="J364" s="31"/>
      <c r="K364" s="31"/>
      <c r="L364" s="32" t="str">
        <f>VLOOKUP(D364,'Active Employees'!$B$2:$B$498,1,false)</f>
        <v>#N/A</v>
      </c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</row>
    <row r="365">
      <c r="A365" s="37" t="s">
        <v>1522</v>
      </c>
      <c r="B365" s="31" t="s">
        <v>1523</v>
      </c>
      <c r="C365" s="31" t="s">
        <v>1524</v>
      </c>
      <c r="D365" s="31" t="s">
        <v>1821</v>
      </c>
      <c r="E365" s="31" t="s">
        <v>1822</v>
      </c>
      <c r="F365" s="31" t="s">
        <v>1604</v>
      </c>
      <c r="G365" s="31" t="s">
        <v>1528</v>
      </c>
      <c r="H365" s="32" t="s">
        <v>1469</v>
      </c>
      <c r="I365" s="31"/>
      <c r="J365" s="31"/>
      <c r="K365" s="31"/>
      <c r="L365" s="32" t="str">
        <f>VLOOKUP(D365,'Active Employees'!$B$2:$B$498,1,false)</f>
        <v>#N/A</v>
      </c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</row>
    <row r="366">
      <c r="A366" s="37" t="s">
        <v>1522</v>
      </c>
      <c r="B366" s="31" t="s">
        <v>1523</v>
      </c>
      <c r="C366" s="31" t="s">
        <v>1524</v>
      </c>
      <c r="D366" s="31" t="s">
        <v>1821</v>
      </c>
      <c r="E366" s="31" t="s">
        <v>1822</v>
      </c>
      <c r="F366" s="31" t="s">
        <v>1605</v>
      </c>
      <c r="G366" s="31" t="s">
        <v>1528</v>
      </c>
      <c r="H366" s="32" t="s">
        <v>1469</v>
      </c>
      <c r="I366" s="31"/>
      <c r="J366" s="31"/>
      <c r="K366" s="31"/>
      <c r="L366" s="32" t="str">
        <f>VLOOKUP(D366,'Active Employees'!$B$2:$B$498,1,false)</f>
        <v>#N/A</v>
      </c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</row>
    <row r="367" hidden="1">
      <c r="A367" s="37" t="s">
        <v>1522</v>
      </c>
      <c r="B367" s="31" t="s">
        <v>1547</v>
      </c>
      <c r="C367" s="31" t="s">
        <v>1565</v>
      </c>
      <c r="D367" s="31" t="s">
        <v>1823</v>
      </c>
      <c r="E367" s="31" t="s">
        <v>1824</v>
      </c>
      <c r="F367" s="31" t="s">
        <v>1637</v>
      </c>
      <c r="G367" s="31" t="s">
        <v>1612</v>
      </c>
      <c r="H367" s="32" t="s">
        <v>1469</v>
      </c>
      <c r="I367" s="31"/>
      <c r="J367" s="31"/>
      <c r="K367" s="31"/>
      <c r="L367" s="32" t="str">
        <f>VLOOKUP(D367,'Active Employees'!$B$2:$B$498,1,false)</f>
        <v>#N/A</v>
      </c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</row>
    <row r="368">
      <c r="A368" s="37" t="s">
        <v>1522</v>
      </c>
      <c r="B368" s="31" t="s">
        <v>1523</v>
      </c>
      <c r="C368" s="31" t="s">
        <v>1524</v>
      </c>
      <c r="D368" s="31" t="s">
        <v>1825</v>
      </c>
      <c r="E368" s="31" t="s">
        <v>1490</v>
      </c>
      <c r="F368" s="31" t="s">
        <v>1541</v>
      </c>
      <c r="G368" s="31" t="s">
        <v>1528</v>
      </c>
      <c r="H368" s="32" t="s">
        <v>1469</v>
      </c>
      <c r="I368" s="31"/>
      <c r="J368" s="31"/>
      <c r="K368" s="31"/>
      <c r="L368" s="32" t="str">
        <f>VLOOKUP(D368,'Active Employees'!$B$2:$B$498,1,false)</f>
        <v>#N/A</v>
      </c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</row>
    <row r="369">
      <c r="A369" s="37" t="s">
        <v>1522</v>
      </c>
      <c r="B369" s="31" t="s">
        <v>1547</v>
      </c>
      <c r="C369" s="31" t="s">
        <v>1548</v>
      </c>
      <c r="D369" s="31" t="s">
        <v>1825</v>
      </c>
      <c r="E369" s="31" t="s">
        <v>1490</v>
      </c>
      <c r="F369" s="31" t="s">
        <v>1481</v>
      </c>
      <c r="G369" s="31" t="s">
        <v>1528</v>
      </c>
      <c r="H369" s="32" t="s">
        <v>1469</v>
      </c>
      <c r="I369" s="31"/>
      <c r="J369" s="31"/>
      <c r="K369" s="31"/>
      <c r="L369" s="32" t="str">
        <f>VLOOKUP(D369,'Active Employees'!$B$2:$B$498,1,false)</f>
        <v>#N/A</v>
      </c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</row>
    <row r="370">
      <c r="A370" s="37" t="s">
        <v>1522</v>
      </c>
      <c r="B370" s="31" t="s">
        <v>1547</v>
      </c>
      <c r="C370" s="31" t="s">
        <v>1548</v>
      </c>
      <c r="D370" s="31" t="s">
        <v>1825</v>
      </c>
      <c r="E370" s="31" t="s">
        <v>1490</v>
      </c>
      <c r="F370" s="31" t="s">
        <v>1549</v>
      </c>
      <c r="G370" s="31" t="s">
        <v>1528</v>
      </c>
      <c r="H370" s="32" t="s">
        <v>1469</v>
      </c>
      <c r="I370" s="31"/>
      <c r="J370" s="31"/>
      <c r="K370" s="31"/>
      <c r="L370" s="32" t="str">
        <f>VLOOKUP(D370,'Active Employees'!$B$2:$B$498,1,false)</f>
        <v>#N/A</v>
      </c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</row>
    <row r="371">
      <c r="A371" s="37" t="s">
        <v>1522</v>
      </c>
      <c r="B371" s="31" t="s">
        <v>1547</v>
      </c>
      <c r="C371" s="31" t="s">
        <v>1558</v>
      </c>
      <c r="D371" s="31" t="s">
        <v>1825</v>
      </c>
      <c r="E371" s="31" t="s">
        <v>1490</v>
      </c>
      <c r="F371" s="31" t="s">
        <v>1549</v>
      </c>
      <c r="G371" s="31" t="s">
        <v>1528</v>
      </c>
      <c r="H371" s="32" t="s">
        <v>1469</v>
      </c>
      <c r="I371" s="31"/>
      <c r="J371" s="31"/>
      <c r="K371" s="31"/>
      <c r="L371" s="32" t="str">
        <f>VLOOKUP(D371,'Active Employees'!$B$2:$B$498,1,false)</f>
        <v>#N/A</v>
      </c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</row>
    <row r="372">
      <c r="A372" s="37" t="s">
        <v>1522</v>
      </c>
      <c r="B372" s="31" t="s">
        <v>1547</v>
      </c>
      <c r="C372" s="31" t="s">
        <v>1559</v>
      </c>
      <c r="D372" s="31" t="s">
        <v>1825</v>
      </c>
      <c r="E372" s="31" t="s">
        <v>1490</v>
      </c>
      <c r="F372" s="31" t="s">
        <v>1549</v>
      </c>
      <c r="G372" s="31" t="s">
        <v>1528</v>
      </c>
      <c r="H372" s="32" t="s">
        <v>1469</v>
      </c>
      <c r="I372" s="31"/>
      <c r="J372" s="31"/>
      <c r="K372" s="31"/>
      <c r="L372" s="32" t="str">
        <f>VLOOKUP(D372,'Active Employees'!$B$2:$B$498,1,false)</f>
        <v>#N/A</v>
      </c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</row>
    <row r="373">
      <c r="A373" s="37" t="s">
        <v>1522</v>
      </c>
      <c r="B373" s="31" t="s">
        <v>1547</v>
      </c>
      <c r="C373" s="31" t="s">
        <v>1559</v>
      </c>
      <c r="D373" s="31" t="s">
        <v>1825</v>
      </c>
      <c r="E373" s="31" t="s">
        <v>1490</v>
      </c>
      <c r="F373" s="31" t="s">
        <v>1549</v>
      </c>
      <c r="G373" s="31" t="s">
        <v>1528</v>
      </c>
      <c r="H373" s="32" t="s">
        <v>1469</v>
      </c>
      <c r="I373" s="31"/>
      <c r="J373" s="31"/>
      <c r="K373" s="31"/>
      <c r="L373" s="32" t="str">
        <f>VLOOKUP(D373,'Active Employees'!$B$2:$B$498,1,false)</f>
        <v>#N/A</v>
      </c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</row>
    <row r="374">
      <c r="A374" s="37" t="s">
        <v>1522</v>
      </c>
      <c r="B374" s="31" t="s">
        <v>1547</v>
      </c>
      <c r="C374" s="31" t="s">
        <v>1565</v>
      </c>
      <c r="D374" s="31" t="s">
        <v>1825</v>
      </c>
      <c r="E374" s="31" t="s">
        <v>1490</v>
      </c>
      <c r="F374" s="31" t="s">
        <v>1549</v>
      </c>
      <c r="G374" s="31" t="s">
        <v>1528</v>
      </c>
      <c r="H374" s="32" t="s">
        <v>1469</v>
      </c>
      <c r="I374" s="31"/>
      <c r="J374" s="31"/>
      <c r="K374" s="31"/>
      <c r="L374" s="32" t="str">
        <f>VLOOKUP(D374,'Active Employees'!$B$2:$B$498,1,false)</f>
        <v>#N/A</v>
      </c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</row>
    <row r="375">
      <c r="A375" s="37" t="s">
        <v>1522</v>
      </c>
      <c r="B375" s="31" t="s">
        <v>1547</v>
      </c>
      <c r="C375" s="31" t="s">
        <v>600</v>
      </c>
      <c r="D375" s="31" t="s">
        <v>1825</v>
      </c>
      <c r="E375" s="31" t="s">
        <v>1490</v>
      </c>
      <c r="F375" s="31" t="s">
        <v>1549</v>
      </c>
      <c r="G375" s="31" t="s">
        <v>1528</v>
      </c>
      <c r="H375" s="32" t="s">
        <v>1469</v>
      </c>
      <c r="I375" s="31"/>
      <c r="J375" s="31"/>
      <c r="K375" s="31"/>
      <c r="L375" s="32" t="str">
        <f>VLOOKUP(D375,'Active Employees'!$B$2:$B$498,1,false)</f>
        <v>#N/A</v>
      </c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</row>
    <row r="376">
      <c r="A376" s="37" t="s">
        <v>1522</v>
      </c>
      <c r="B376" s="31" t="s">
        <v>1547</v>
      </c>
      <c r="C376" s="31" t="s">
        <v>1566</v>
      </c>
      <c r="D376" s="31" t="s">
        <v>1825</v>
      </c>
      <c r="E376" s="31" t="s">
        <v>1490</v>
      </c>
      <c r="F376" s="31" t="s">
        <v>1549</v>
      </c>
      <c r="G376" s="31" t="s">
        <v>1528</v>
      </c>
      <c r="H376" s="32" t="s">
        <v>1469</v>
      </c>
      <c r="I376" s="31"/>
      <c r="J376" s="31"/>
      <c r="K376" s="31"/>
      <c r="L376" s="32" t="str">
        <f>VLOOKUP(D376,'Active Employees'!$B$2:$B$498,1,false)</f>
        <v>#N/A</v>
      </c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</row>
    <row r="377">
      <c r="A377" s="37" t="s">
        <v>1522</v>
      </c>
      <c r="B377" s="31" t="s">
        <v>1547</v>
      </c>
      <c r="C377" s="31" t="s">
        <v>1567</v>
      </c>
      <c r="D377" s="31" t="s">
        <v>1825</v>
      </c>
      <c r="E377" s="31" t="s">
        <v>1490</v>
      </c>
      <c r="F377" s="31" t="s">
        <v>1549</v>
      </c>
      <c r="G377" s="31" t="s">
        <v>1528</v>
      </c>
      <c r="H377" s="32" t="s">
        <v>1469</v>
      </c>
      <c r="I377" s="31"/>
      <c r="J377" s="31"/>
      <c r="K377" s="31"/>
      <c r="L377" s="32" t="str">
        <f>VLOOKUP(D377,'Active Employees'!$B$2:$B$498,1,false)</f>
        <v>#N/A</v>
      </c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</row>
    <row r="378">
      <c r="A378" s="37" t="s">
        <v>1522</v>
      </c>
      <c r="B378" s="31" t="s">
        <v>1568</v>
      </c>
      <c r="C378" s="31" t="s">
        <v>1569</v>
      </c>
      <c r="D378" s="31" t="s">
        <v>1825</v>
      </c>
      <c r="E378" s="31" t="s">
        <v>1490</v>
      </c>
      <c r="F378" s="31" t="s">
        <v>1549</v>
      </c>
      <c r="G378" s="31" t="s">
        <v>1528</v>
      </c>
      <c r="H378" s="32" t="s">
        <v>1469</v>
      </c>
      <c r="I378" s="31"/>
      <c r="J378" s="31"/>
      <c r="K378" s="31"/>
      <c r="L378" s="32" t="str">
        <f>VLOOKUP(D378,'Active Employees'!$B$2:$B$498,1,false)</f>
        <v>#N/A</v>
      </c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</row>
    <row r="379">
      <c r="A379" s="37" t="s">
        <v>1570</v>
      </c>
      <c r="B379" s="31" t="s">
        <v>1523</v>
      </c>
      <c r="C379" s="31" t="s">
        <v>1524</v>
      </c>
      <c r="D379" s="31" t="s">
        <v>967</v>
      </c>
      <c r="E379" s="31" t="s">
        <v>1490</v>
      </c>
      <c r="F379" s="31" t="s">
        <v>1541</v>
      </c>
      <c r="G379" s="31" t="s">
        <v>1528</v>
      </c>
      <c r="H379" s="32" t="s">
        <v>1469</v>
      </c>
      <c r="I379" s="31"/>
      <c r="J379" s="31"/>
      <c r="K379" s="31"/>
      <c r="L379" s="32" t="str">
        <f>VLOOKUP(D379,'Active Employees'!$B$2:$B$498,1,false)</f>
        <v>fiona.mcshane@docker.com</v>
      </c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</row>
    <row r="380" hidden="1">
      <c r="A380" s="37" t="s">
        <v>1570</v>
      </c>
      <c r="B380" s="31" t="s">
        <v>1547</v>
      </c>
      <c r="C380" s="31" t="s">
        <v>1577</v>
      </c>
      <c r="D380" s="31" t="s">
        <v>416</v>
      </c>
      <c r="E380" s="31" t="s">
        <v>1826</v>
      </c>
      <c r="F380" s="31" t="s">
        <v>1709</v>
      </c>
      <c r="G380" s="31" t="s">
        <v>1612</v>
      </c>
      <c r="H380" s="32" t="s">
        <v>1469</v>
      </c>
      <c r="I380" s="31"/>
      <c r="J380" s="31"/>
      <c r="K380" s="31"/>
      <c r="L380" s="32" t="str">
        <f>VLOOKUP(D380,'Active Employees'!$B$2:$B$498,1,false)</f>
        <v>francesco.corti@docker.com</v>
      </c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</row>
    <row r="381" hidden="1">
      <c r="A381" s="37" t="s">
        <v>1522</v>
      </c>
      <c r="B381" s="31" t="s">
        <v>1547</v>
      </c>
      <c r="C381" s="31" t="s">
        <v>1566</v>
      </c>
      <c r="D381" s="31" t="s">
        <v>1827</v>
      </c>
      <c r="E381" s="31" t="s">
        <v>1828</v>
      </c>
      <c r="F381" s="31" t="s">
        <v>1611</v>
      </c>
      <c r="G381" s="31" t="s">
        <v>1612</v>
      </c>
      <c r="H381" s="32" t="s">
        <v>1469</v>
      </c>
      <c r="I381" s="31"/>
      <c r="J381" s="31"/>
      <c r="K381" s="31"/>
      <c r="L381" s="32" t="str">
        <f>VLOOKUP(D381,'Active Employees'!$B$2:$B$498,1,false)</f>
        <v>#N/A</v>
      </c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</row>
    <row r="382" hidden="1">
      <c r="A382" s="37" t="s">
        <v>1570</v>
      </c>
      <c r="B382" s="31" t="s">
        <v>1547</v>
      </c>
      <c r="C382" s="31" t="s">
        <v>1578</v>
      </c>
      <c r="D382" s="31" t="s">
        <v>604</v>
      </c>
      <c r="E382" s="31" t="s">
        <v>1829</v>
      </c>
      <c r="F382" s="31" t="s">
        <v>1654</v>
      </c>
      <c r="G382" s="31" t="s">
        <v>1612</v>
      </c>
      <c r="H382" s="32" t="s">
        <v>1469</v>
      </c>
      <c r="I382" s="31"/>
      <c r="J382" s="31"/>
      <c r="K382" s="31"/>
      <c r="L382" s="32" t="str">
        <f>VLOOKUP(D382,'Active Employees'!$B$2:$B$498,1,false)</f>
        <v>georgii.gabolaev@docker.com</v>
      </c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</row>
    <row r="383">
      <c r="A383" s="37" t="s">
        <v>1570</v>
      </c>
      <c r="B383" s="31" t="s">
        <v>1547</v>
      </c>
      <c r="C383" s="31" t="s">
        <v>1579</v>
      </c>
      <c r="D383" s="31" t="s">
        <v>604</v>
      </c>
      <c r="E383" s="31" t="s">
        <v>1829</v>
      </c>
      <c r="F383" s="31" t="s">
        <v>1768</v>
      </c>
      <c r="G383" s="31" t="s">
        <v>1612</v>
      </c>
      <c r="H383" s="32" t="s">
        <v>1469</v>
      </c>
      <c r="I383" s="31"/>
      <c r="J383" s="31"/>
      <c r="K383" s="31"/>
      <c r="L383" s="32" t="str">
        <f>VLOOKUP(D383,'Active Employees'!$B$2:$B$498,1,false)</f>
        <v>georgii.gabolaev@docker.com</v>
      </c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</row>
    <row r="384" hidden="1">
      <c r="A384" s="37" t="s">
        <v>1522</v>
      </c>
      <c r="B384" s="31" t="s">
        <v>1547</v>
      </c>
      <c r="C384" s="31" t="s">
        <v>1558</v>
      </c>
      <c r="D384" s="31" t="s">
        <v>1830</v>
      </c>
      <c r="E384" s="31" t="s">
        <v>1831</v>
      </c>
      <c r="F384" s="31" t="s">
        <v>1630</v>
      </c>
      <c r="G384" s="31" t="s">
        <v>1612</v>
      </c>
      <c r="H384" s="32" t="s">
        <v>1469</v>
      </c>
      <c r="I384" s="31"/>
      <c r="J384" s="31"/>
      <c r="K384" s="31"/>
      <c r="L384" s="32" t="str">
        <f>VLOOKUP(D384,'Active Employees'!$B$2:$B$498,1,false)</f>
        <v>#N/A</v>
      </c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</row>
    <row r="385">
      <c r="A385" s="37" t="s">
        <v>1522</v>
      </c>
      <c r="B385" s="31" t="s">
        <v>1547</v>
      </c>
      <c r="C385" s="31" t="s">
        <v>1565</v>
      </c>
      <c r="D385" s="31" t="s">
        <v>1830</v>
      </c>
      <c r="E385" s="31" t="s">
        <v>1831</v>
      </c>
      <c r="F385" s="31" t="s">
        <v>1634</v>
      </c>
      <c r="G385" s="31" t="s">
        <v>1612</v>
      </c>
      <c r="H385" s="32" t="s">
        <v>1469</v>
      </c>
      <c r="I385" s="31"/>
      <c r="J385" s="31"/>
      <c r="K385" s="31"/>
      <c r="L385" s="32" t="str">
        <f>VLOOKUP(D385,'Active Employees'!$B$2:$B$498,1,false)</f>
        <v>#N/A</v>
      </c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</row>
    <row r="386" hidden="1">
      <c r="A386" s="37" t="s">
        <v>1522</v>
      </c>
      <c r="B386" s="31" t="s">
        <v>1547</v>
      </c>
      <c r="C386" s="31" t="s">
        <v>1565</v>
      </c>
      <c r="D386" s="31" t="s">
        <v>1830</v>
      </c>
      <c r="E386" s="31" t="s">
        <v>1831</v>
      </c>
      <c r="F386" s="31" t="s">
        <v>1630</v>
      </c>
      <c r="G386" s="31" t="s">
        <v>1612</v>
      </c>
      <c r="H386" s="32" t="s">
        <v>1469</v>
      </c>
      <c r="I386" s="31"/>
      <c r="J386" s="31"/>
      <c r="K386" s="31"/>
      <c r="L386" s="32" t="str">
        <f>VLOOKUP(D386,'Active Employees'!$B$2:$B$498,1,false)</f>
        <v>#N/A</v>
      </c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</row>
    <row r="387" hidden="1">
      <c r="A387" s="37" t="s">
        <v>1570</v>
      </c>
      <c r="B387" s="31" t="s">
        <v>1547</v>
      </c>
      <c r="C387" s="31" t="s">
        <v>1578</v>
      </c>
      <c r="D387" s="31" t="s">
        <v>1344</v>
      </c>
      <c r="E387" s="31" t="s">
        <v>1832</v>
      </c>
      <c r="F387" s="31" t="s">
        <v>1654</v>
      </c>
      <c r="G387" s="31" t="s">
        <v>1612</v>
      </c>
      <c r="H387" s="32" t="s">
        <v>1469</v>
      </c>
      <c r="I387" s="31"/>
      <c r="J387" s="31"/>
      <c r="K387" s="31"/>
      <c r="L387" s="32" t="str">
        <f>VLOOKUP(D387,'Active Employees'!$B$2:$B$498,1,false)</f>
        <v>guillaume.tardif@docker.com</v>
      </c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</row>
    <row r="388" hidden="1">
      <c r="A388" s="37" t="s">
        <v>1522</v>
      </c>
      <c r="B388" s="31" t="s">
        <v>1547</v>
      </c>
      <c r="C388" s="31" t="s">
        <v>1567</v>
      </c>
      <c r="D388" s="31" t="s">
        <v>1684</v>
      </c>
      <c r="E388" s="31" t="s">
        <v>1685</v>
      </c>
      <c r="F388" s="31" t="s">
        <v>1686</v>
      </c>
      <c r="G388" s="31" t="s">
        <v>1687</v>
      </c>
      <c r="H388" s="32" t="s">
        <v>1469</v>
      </c>
      <c r="I388" s="31"/>
      <c r="J388" s="31"/>
      <c r="K388" s="31"/>
      <c r="L388" s="32" t="str">
        <f>VLOOKUP(D388,'Active Employees'!$B$2:$B$498,1,false)</f>
        <v>#N/A</v>
      </c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</row>
    <row r="389" hidden="1">
      <c r="A389" s="37" t="s">
        <v>1522</v>
      </c>
      <c r="B389" s="31" t="s">
        <v>1547</v>
      </c>
      <c r="C389" s="31" t="s">
        <v>1567</v>
      </c>
      <c r="D389" s="31" t="s">
        <v>1688</v>
      </c>
      <c r="E389" s="31" t="s">
        <v>1689</v>
      </c>
      <c r="F389" s="31" t="s">
        <v>1686</v>
      </c>
      <c r="G389" s="31" t="s">
        <v>1687</v>
      </c>
      <c r="H389" s="32" t="s">
        <v>1469</v>
      </c>
      <c r="I389" s="31"/>
      <c r="J389" s="31"/>
      <c r="K389" s="31"/>
      <c r="L389" s="32" t="str">
        <f>VLOOKUP(D389,'Active Employees'!$B$2:$B$498,1,false)</f>
        <v>#N/A</v>
      </c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</row>
    <row r="390" hidden="1">
      <c r="A390" s="37" t="s">
        <v>1522</v>
      </c>
      <c r="B390" s="31" t="s">
        <v>1547</v>
      </c>
      <c r="C390" s="31" t="s">
        <v>1559</v>
      </c>
      <c r="D390" s="31" t="s">
        <v>1833</v>
      </c>
      <c r="E390" s="31" t="s">
        <v>1834</v>
      </c>
      <c r="F390" s="31" t="s">
        <v>1718</v>
      </c>
      <c r="G390" s="31" t="s">
        <v>1612</v>
      </c>
      <c r="H390" s="32" t="s">
        <v>1469</v>
      </c>
      <c r="I390" s="31"/>
      <c r="J390" s="31"/>
      <c r="K390" s="31"/>
      <c r="L390" s="32" t="str">
        <f>VLOOKUP(D390,'Active Employees'!$B$2:$B$498,1,false)</f>
        <v>#N/A</v>
      </c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</row>
    <row r="391">
      <c r="A391" s="37" t="s">
        <v>1522</v>
      </c>
      <c r="B391" s="31" t="s">
        <v>1547</v>
      </c>
      <c r="C391" s="31" t="s">
        <v>1559</v>
      </c>
      <c r="D391" s="31" t="s">
        <v>1833</v>
      </c>
      <c r="E391" s="31" t="s">
        <v>1834</v>
      </c>
      <c r="F391" s="31" t="s">
        <v>1719</v>
      </c>
      <c r="G391" s="31" t="s">
        <v>1612</v>
      </c>
      <c r="H391" s="32" t="s">
        <v>1469</v>
      </c>
      <c r="I391" s="31"/>
      <c r="J391" s="31"/>
      <c r="K391" s="31"/>
      <c r="L391" s="32" t="str">
        <f>VLOOKUP(D391,'Active Employees'!$B$2:$B$498,1,false)</f>
        <v>#N/A</v>
      </c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</row>
    <row r="392" hidden="1">
      <c r="A392" s="37" t="s">
        <v>1522</v>
      </c>
      <c r="B392" s="31" t="s">
        <v>1547</v>
      </c>
      <c r="C392" s="31" t="s">
        <v>1565</v>
      </c>
      <c r="D392" s="31" t="s">
        <v>1835</v>
      </c>
      <c r="E392" s="31" t="s">
        <v>1836</v>
      </c>
      <c r="F392" s="31" t="s">
        <v>1640</v>
      </c>
      <c r="G392" s="31" t="s">
        <v>1528</v>
      </c>
      <c r="H392" s="32" t="s">
        <v>1469</v>
      </c>
      <c r="I392" s="31"/>
      <c r="J392" s="31"/>
      <c r="K392" s="31"/>
      <c r="L392" s="32" t="str">
        <f>VLOOKUP(D392,'Active Employees'!$B$2:$B$498,1,false)</f>
        <v>#N/A</v>
      </c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</row>
    <row r="393" hidden="1">
      <c r="A393" s="37" t="s">
        <v>1570</v>
      </c>
      <c r="B393" s="31" t="s">
        <v>1547</v>
      </c>
      <c r="C393" s="31" t="s">
        <v>1577</v>
      </c>
      <c r="D393" s="31" t="s">
        <v>897</v>
      </c>
      <c r="E393" s="31" t="s">
        <v>1837</v>
      </c>
      <c r="F393" s="31" t="s">
        <v>1709</v>
      </c>
      <c r="G393" s="31" t="s">
        <v>1612</v>
      </c>
      <c r="H393" s="32" t="s">
        <v>1469</v>
      </c>
      <c r="I393" s="31"/>
      <c r="J393" s="31"/>
      <c r="K393" s="31"/>
      <c r="L393" s="32" t="str">
        <f>VLOOKUP(D393,'Active Employees'!$B$2:$B$498,1,false)</f>
        <v>ignacio.lopezluna@docker.com</v>
      </c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</row>
    <row r="394" hidden="1">
      <c r="A394" s="37" t="s">
        <v>1570</v>
      </c>
      <c r="B394" s="31" t="s">
        <v>1547</v>
      </c>
      <c r="C394" s="31" t="s">
        <v>1594</v>
      </c>
      <c r="D394" s="31" t="s">
        <v>897</v>
      </c>
      <c r="E394" s="31" t="s">
        <v>1837</v>
      </c>
      <c r="F394" s="31" t="s">
        <v>1807</v>
      </c>
      <c r="G394" s="31" t="s">
        <v>1612</v>
      </c>
      <c r="H394" s="32" t="s">
        <v>1469</v>
      </c>
      <c r="I394" s="31"/>
      <c r="J394" s="31"/>
      <c r="K394" s="31"/>
      <c r="L394" s="32" t="str">
        <f>VLOOKUP(D394,'Active Employees'!$B$2:$B$498,1,false)</f>
        <v>ignacio.lopezluna@docker.com</v>
      </c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</row>
    <row r="395">
      <c r="A395" s="37" t="s">
        <v>1570</v>
      </c>
      <c r="B395" s="31" t="s">
        <v>1547</v>
      </c>
      <c r="C395" s="31" t="s">
        <v>1594</v>
      </c>
      <c r="D395" s="31" t="s">
        <v>897</v>
      </c>
      <c r="E395" s="31" t="s">
        <v>1837</v>
      </c>
      <c r="F395" s="31" t="s">
        <v>1810</v>
      </c>
      <c r="G395" s="31" t="s">
        <v>1612</v>
      </c>
      <c r="H395" s="32" t="s">
        <v>1469</v>
      </c>
      <c r="I395" s="31"/>
      <c r="J395" s="31"/>
      <c r="K395" s="31"/>
      <c r="L395" s="32" t="str">
        <f>VLOOKUP(D395,'Active Employees'!$B$2:$B$498,1,false)</f>
        <v>ignacio.lopezluna@docker.com</v>
      </c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</row>
    <row r="396" hidden="1">
      <c r="A396" s="37" t="s">
        <v>1522</v>
      </c>
      <c r="B396" s="31" t="s">
        <v>1547</v>
      </c>
      <c r="C396" s="31" t="s">
        <v>1559</v>
      </c>
      <c r="D396" s="31" t="s">
        <v>1838</v>
      </c>
      <c r="E396" s="31" t="s">
        <v>1839</v>
      </c>
      <c r="F396" s="31" t="s">
        <v>1718</v>
      </c>
      <c r="G396" s="31" t="s">
        <v>1612</v>
      </c>
      <c r="H396" s="32" t="s">
        <v>1469</v>
      </c>
      <c r="I396" s="31"/>
      <c r="J396" s="31"/>
      <c r="K396" s="31"/>
      <c r="L396" s="32" t="str">
        <f>VLOOKUP(D396,'Active Employees'!$B$2:$B$498,1,false)</f>
        <v>#N/A</v>
      </c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</row>
    <row r="397">
      <c r="A397" s="37" t="s">
        <v>1522</v>
      </c>
      <c r="B397" s="31" t="s">
        <v>1547</v>
      </c>
      <c r="C397" s="31" t="s">
        <v>1559</v>
      </c>
      <c r="D397" s="31" t="s">
        <v>1838</v>
      </c>
      <c r="E397" s="31" t="s">
        <v>1839</v>
      </c>
      <c r="F397" s="31" t="s">
        <v>1719</v>
      </c>
      <c r="G397" s="31" t="s">
        <v>1612</v>
      </c>
      <c r="H397" s="32" t="s">
        <v>1469</v>
      </c>
      <c r="I397" s="31"/>
      <c r="J397" s="31"/>
      <c r="K397" s="31"/>
      <c r="L397" s="32" t="str">
        <f>VLOOKUP(D397,'Active Employees'!$B$2:$B$498,1,false)</f>
        <v>#N/A</v>
      </c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</row>
    <row r="398" hidden="1">
      <c r="A398" s="37" t="s">
        <v>1570</v>
      </c>
      <c r="B398" s="31" t="s">
        <v>1523</v>
      </c>
      <c r="C398" s="31" t="s">
        <v>1524</v>
      </c>
      <c r="D398" s="31" t="s">
        <v>1840</v>
      </c>
      <c r="E398" s="31" t="s">
        <v>1841</v>
      </c>
      <c r="F398" s="31" t="s">
        <v>1842</v>
      </c>
      <c r="G398" s="31" t="s">
        <v>1528</v>
      </c>
      <c r="H398" s="32" t="s">
        <v>1469</v>
      </c>
      <c r="I398" s="31"/>
      <c r="J398" s="31"/>
      <c r="K398" s="31"/>
      <c r="L398" s="32" t="str">
        <f>VLOOKUP(D398,'Active Employees'!$B$2:$B$498,1,false)</f>
        <v>#N/A</v>
      </c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</row>
    <row r="399" hidden="1">
      <c r="A399" s="37" t="s">
        <v>1570</v>
      </c>
      <c r="B399" s="31" t="s">
        <v>1547</v>
      </c>
      <c r="C399" s="31" t="s">
        <v>1577</v>
      </c>
      <c r="D399" s="31" t="s">
        <v>736</v>
      </c>
      <c r="E399" s="31" t="s">
        <v>1843</v>
      </c>
      <c r="F399" s="31" t="s">
        <v>1709</v>
      </c>
      <c r="G399" s="31" t="s">
        <v>1612</v>
      </c>
      <c r="H399" s="32" t="s">
        <v>1469</v>
      </c>
      <c r="I399" s="31"/>
      <c r="J399" s="31"/>
      <c r="K399" s="31"/>
      <c r="L399" s="32" t="str">
        <f>VLOOKUP(D399,'Active Employees'!$B$2:$B$498,1,false)</f>
        <v>jacob.howard@docker.com</v>
      </c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</row>
    <row r="400" hidden="1">
      <c r="A400" s="37" t="s">
        <v>1570</v>
      </c>
      <c r="B400" s="31" t="s">
        <v>1523</v>
      </c>
      <c r="C400" s="31" t="s">
        <v>1524</v>
      </c>
      <c r="D400" s="31" t="s">
        <v>1701</v>
      </c>
      <c r="E400" s="31" t="s">
        <v>1702</v>
      </c>
      <c r="F400" s="31" t="s">
        <v>1541</v>
      </c>
      <c r="G400" s="31" t="s">
        <v>1528</v>
      </c>
      <c r="H400" s="32" t="s">
        <v>1469</v>
      </c>
      <c r="I400" s="31"/>
      <c r="J400" s="31"/>
      <c r="K400" s="31"/>
      <c r="L400" s="32" t="str">
        <f>VLOOKUP(D400,'Active Employees'!$B$2:$B$498,1,false)</f>
        <v>#N/A</v>
      </c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</row>
    <row r="401" hidden="1">
      <c r="A401" s="37" t="s">
        <v>1570</v>
      </c>
      <c r="B401" s="31" t="s">
        <v>1523</v>
      </c>
      <c r="C401" s="31" t="s">
        <v>1524</v>
      </c>
      <c r="D401" s="31" t="s">
        <v>1844</v>
      </c>
      <c r="E401" s="31" t="s">
        <v>1526</v>
      </c>
      <c r="F401" s="31" t="s">
        <v>1541</v>
      </c>
      <c r="G401" s="31" t="s">
        <v>1528</v>
      </c>
      <c r="H401" s="32" t="s">
        <v>1469</v>
      </c>
      <c r="I401" s="31"/>
      <c r="J401" s="31"/>
      <c r="K401" s="31"/>
      <c r="L401" s="32" t="str">
        <f>VLOOKUP(D401,'Active Employees'!$B$2:$B$498,1,false)</f>
        <v>#N/A</v>
      </c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</row>
    <row r="402">
      <c r="A402" s="37" t="s">
        <v>1522</v>
      </c>
      <c r="B402" s="31" t="s">
        <v>1523</v>
      </c>
      <c r="C402" s="31" t="s">
        <v>1524</v>
      </c>
      <c r="D402" s="31" t="s">
        <v>1845</v>
      </c>
      <c r="E402" s="31" t="s">
        <v>207</v>
      </c>
      <c r="F402" s="31" t="s">
        <v>1564</v>
      </c>
      <c r="G402" s="31" t="s">
        <v>1528</v>
      </c>
      <c r="H402" s="32" t="s">
        <v>1469</v>
      </c>
      <c r="I402" s="31"/>
      <c r="J402" s="31"/>
      <c r="K402" s="31"/>
      <c r="L402" s="32" t="str">
        <f>VLOOKUP(D402,'Active Employees'!$B$2:$B$498,1,false)</f>
        <v>#N/A</v>
      </c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</row>
    <row r="403">
      <c r="A403" s="37" t="s">
        <v>1522</v>
      </c>
      <c r="B403" s="31" t="s">
        <v>1523</v>
      </c>
      <c r="C403" s="31" t="s">
        <v>1524</v>
      </c>
      <c r="D403" s="31" t="s">
        <v>1845</v>
      </c>
      <c r="E403" s="31" t="s">
        <v>207</v>
      </c>
      <c r="F403" s="31" t="s">
        <v>1541</v>
      </c>
      <c r="G403" s="31" t="s">
        <v>1528</v>
      </c>
      <c r="H403" s="32" t="s">
        <v>1469</v>
      </c>
      <c r="I403" s="31"/>
      <c r="J403" s="31"/>
      <c r="K403" s="31"/>
      <c r="L403" s="32" t="str">
        <f>VLOOKUP(D403,'Active Employees'!$B$2:$B$498,1,false)</f>
        <v>#N/A</v>
      </c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</row>
    <row r="404">
      <c r="A404" s="37" t="s">
        <v>1522</v>
      </c>
      <c r="B404" s="31" t="s">
        <v>1547</v>
      </c>
      <c r="C404" s="31" t="s">
        <v>1548</v>
      </c>
      <c r="D404" s="31" t="s">
        <v>1845</v>
      </c>
      <c r="E404" s="31" t="s">
        <v>207</v>
      </c>
      <c r="F404" s="31" t="s">
        <v>1549</v>
      </c>
      <c r="G404" s="31" t="s">
        <v>1528</v>
      </c>
      <c r="H404" s="32" t="s">
        <v>1469</v>
      </c>
      <c r="I404" s="31"/>
      <c r="J404" s="31"/>
      <c r="K404" s="31"/>
      <c r="L404" s="32" t="str">
        <f>VLOOKUP(D404,'Active Employees'!$B$2:$B$498,1,false)</f>
        <v>#N/A</v>
      </c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</row>
    <row r="405">
      <c r="A405" s="37" t="s">
        <v>1522</v>
      </c>
      <c r="B405" s="31" t="s">
        <v>1547</v>
      </c>
      <c r="C405" s="31" t="s">
        <v>1558</v>
      </c>
      <c r="D405" s="31" t="s">
        <v>1845</v>
      </c>
      <c r="E405" s="31" t="s">
        <v>207</v>
      </c>
      <c r="F405" s="31" t="s">
        <v>1683</v>
      </c>
      <c r="G405" s="31" t="s">
        <v>1612</v>
      </c>
      <c r="H405" s="32" t="s">
        <v>1469</v>
      </c>
      <c r="I405" s="31"/>
      <c r="J405" s="31"/>
      <c r="K405" s="31"/>
      <c r="L405" s="32" t="str">
        <f>VLOOKUP(D405,'Active Employees'!$B$2:$B$498,1,false)</f>
        <v>#N/A</v>
      </c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</row>
    <row r="406">
      <c r="A406" s="37" t="s">
        <v>1522</v>
      </c>
      <c r="B406" s="31" t="s">
        <v>1547</v>
      </c>
      <c r="C406" s="31" t="s">
        <v>1558</v>
      </c>
      <c r="D406" s="31" t="s">
        <v>1845</v>
      </c>
      <c r="E406" s="31" t="s">
        <v>207</v>
      </c>
      <c r="F406" s="31" t="s">
        <v>1549</v>
      </c>
      <c r="G406" s="31" t="s">
        <v>1528</v>
      </c>
      <c r="H406" s="32" t="s">
        <v>1469</v>
      </c>
      <c r="I406" s="31"/>
      <c r="J406" s="31"/>
      <c r="K406" s="31"/>
      <c r="L406" s="32" t="str">
        <f>VLOOKUP(D406,'Active Employees'!$B$2:$B$498,1,false)</f>
        <v>#N/A</v>
      </c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</row>
    <row r="407">
      <c r="A407" s="37" t="s">
        <v>1522</v>
      </c>
      <c r="B407" s="31" t="s">
        <v>1547</v>
      </c>
      <c r="C407" s="31" t="s">
        <v>1559</v>
      </c>
      <c r="D407" s="31" t="s">
        <v>1845</v>
      </c>
      <c r="E407" s="31" t="s">
        <v>207</v>
      </c>
      <c r="F407" s="31" t="s">
        <v>1481</v>
      </c>
      <c r="G407" s="31" t="s">
        <v>1528</v>
      </c>
      <c r="H407" s="32" t="s">
        <v>1469</v>
      </c>
      <c r="I407" s="31"/>
      <c r="J407" s="31"/>
      <c r="K407" s="31"/>
      <c r="L407" s="32" t="str">
        <f>VLOOKUP(D407,'Active Employees'!$B$2:$B$498,1,false)</f>
        <v>#N/A</v>
      </c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</row>
    <row r="408">
      <c r="A408" s="37" t="s">
        <v>1522</v>
      </c>
      <c r="B408" s="31" t="s">
        <v>1547</v>
      </c>
      <c r="C408" s="31" t="s">
        <v>1559</v>
      </c>
      <c r="D408" s="31" t="s">
        <v>1845</v>
      </c>
      <c r="E408" s="31" t="s">
        <v>207</v>
      </c>
      <c r="F408" s="31" t="s">
        <v>1549</v>
      </c>
      <c r="G408" s="31" t="s">
        <v>1528</v>
      </c>
      <c r="H408" s="32" t="s">
        <v>1469</v>
      </c>
      <c r="I408" s="31"/>
      <c r="J408" s="31"/>
      <c r="K408" s="31"/>
      <c r="L408" s="32" t="str">
        <f>VLOOKUP(D408,'Active Employees'!$B$2:$B$498,1,false)</f>
        <v>#N/A</v>
      </c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</row>
    <row r="409">
      <c r="A409" s="37" t="s">
        <v>1522</v>
      </c>
      <c r="B409" s="31" t="s">
        <v>1547</v>
      </c>
      <c r="C409" s="31" t="s">
        <v>1559</v>
      </c>
      <c r="D409" s="31" t="s">
        <v>1845</v>
      </c>
      <c r="E409" s="31" t="s">
        <v>207</v>
      </c>
      <c r="F409" s="31" t="s">
        <v>1481</v>
      </c>
      <c r="G409" s="31" t="s">
        <v>1528</v>
      </c>
      <c r="H409" s="32" t="s">
        <v>1469</v>
      </c>
      <c r="I409" s="31"/>
      <c r="J409" s="31"/>
      <c r="K409" s="31"/>
      <c r="L409" s="32" t="str">
        <f>VLOOKUP(D409,'Active Employees'!$B$2:$B$498,1,false)</f>
        <v>#N/A</v>
      </c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</row>
    <row r="410">
      <c r="A410" s="37" t="s">
        <v>1522</v>
      </c>
      <c r="B410" s="31" t="s">
        <v>1547</v>
      </c>
      <c r="C410" s="31" t="s">
        <v>1559</v>
      </c>
      <c r="D410" s="31" t="s">
        <v>1845</v>
      </c>
      <c r="E410" s="31" t="s">
        <v>207</v>
      </c>
      <c r="F410" s="31" t="s">
        <v>1549</v>
      </c>
      <c r="G410" s="31" t="s">
        <v>1528</v>
      </c>
      <c r="H410" s="32" t="s">
        <v>1469</v>
      </c>
      <c r="I410" s="31"/>
      <c r="J410" s="31"/>
      <c r="K410" s="31"/>
      <c r="L410" s="32" t="str">
        <f>VLOOKUP(D410,'Active Employees'!$B$2:$B$498,1,false)</f>
        <v>#N/A</v>
      </c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</row>
    <row r="411">
      <c r="A411" s="37" t="s">
        <v>1522</v>
      </c>
      <c r="B411" s="31" t="s">
        <v>1547</v>
      </c>
      <c r="C411" s="31" t="s">
        <v>1565</v>
      </c>
      <c r="D411" s="31" t="s">
        <v>1845</v>
      </c>
      <c r="E411" s="31" t="s">
        <v>207</v>
      </c>
      <c r="F411" s="31" t="s">
        <v>1683</v>
      </c>
      <c r="G411" s="31" t="s">
        <v>1612</v>
      </c>
      <c r="H411" s="32" t="s">
        <v>1469</v>
      </c>
      <c r="I411" s="31"/>
      <c r="J411" s="31"/>
      <c r="K411" s="31"/>
      <c r="L411" s="32" t="str">
        <f>VLOOKUP(D411,'Active Employees'!$B$2:$B$498,1,false)</f>
        <v>#N/A</v>
      </c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</row>
    <row r="412">
      <c r="A412" s="37" t="s">
        <v>1522</v>
      </c>
      <c r="B412" s="31" t="s">
        <v>1547</v>
      </c>
      <c r="C412" s="31" t="s">
        <v>1565</v>
      </c>
      <c r="D412" s="31" t="s">
        <v>1845</v>
      </c>
      <c r="E412" s="31" t="s">
        <v>207</v>
      </c>
      <c r="F412" s="31" t="s">
        <v>1549</v>
      </c>
      <c r="G412" s="31" t="s">
        <v>1528</v>
      </c>
      <c r="H412" s="32" t="s">
        <v>1469</v>
      </c>
      <c r="I412" s="31"/>
      <c r="J412" s="31"/>
      <c r="K412" s="31"/>
      <c r="L412" s="32" t="str">
        <f>VLOOKUP(D412,'Active Employees'!$B$2:$B$498,1,false)</f>
        <v>#N/A</v>
      </c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</row>
    <row r="413">
      <c r="A413" s="37" t="s">
        <v>1522</v>
      </c>
      <c r="B413" s="31" t="s">
        <v>1547</v>
      </c>
      <c r="C413" s="31" t="s">
        <v>600</v>
      </c>
      <c r="D413" s="31" t="s">
        <v>1845</v>
      </c>
      <c r="E413" s="31" t="s">
        <v>207</v>
      </c>
      <c r="F413" s="31" t="s">
        <v>1481</v>
      </c>
      <c r="G413" s="31" t="s">
        <v>1528</v>
      </c>
      <c r="H413" s="32" t="s">
        <v>1469</v>
      </c>
      <c r="I413" s="31"/>
      <c r="J413" s="31"/>
      <c r="K413" s="31"/>
      <c r="L413" s="32" t="str">
        <f>VLOOKUP(D413,'Active Employees'!$B$2:$B$498,1,false)</f>
        <v>#N/A</v>
      </c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</row>
    <row r="414">
      <c r="A414" s="37" t="s">
        <v>1522</v>
      </c>
      <c r="B414" s="31" t="s">
        <v>1547</v>
      </c>
      <c r="C414" s="31" t="s">
        <v>600</v>
      </c>
      <c r="D414" s="31" t="s">
        <v>1845</v>
      </c>
      <c r="E414" s="31" t="s">
        <v>207</v>
      </c>
      <c r="F414" s="31" t="s">
        <v>1549</v>
      </c>
      <c r="G414" s="31" t="s">
        <v>1528</v>
      </c>
      <c r="H414" s="32" t="s">
        <v>1469</v>
      </c>
      <c r="I414" s="31"/>
      <c r="J414" s="31"/>
      <c r="K414" s="31"/>
      <c r="L414" s="32" t="str">
        <f>VLOOKUP(D414,'Active Employees'!$B$2:$B$498,1,false)</f>
        <v>#N/A</v>
      </c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</row>
    <row r="415" hidden="1">
      <c r="A415" s="37" t="s">
        <v>1570</v>
      </c>
      <c r="B415" s="31" t="s">
        <v>1523</v>
      </c>
      <c r="C415" s="31" t="s">
        <v>1524</v>
      </c>
      <c r="D415" s="31" t="s">
        <v>1525</v>
      </c>
      <c r="E415" s="31" t="s">
        <v>1526</v>
      </c>
      <c r="F415" s="31" t="s">
        <v>1541</v>
      </c>
      <c r="G415" s="31" t="s">
        <v>1528</v>
      </c>
      <c r="H415" s="32" t="s">
        <v>1469</v>
      </c>
      <c r="I415" s="31"/>
      <c r="J415" s="31"/>
      <c r="K415" s="31"/>
      <c r="L415" s="32" t="str">
        <f>VLOOKUP(D415,'Active Employees'!$B$2:$B$498,1,false)</f>
        <v>#N/A</v>
      </c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</row>
    <row r="416">
      <c r="A416" s="37" t="s">
        <v>1522</v>
      </c>
      <c r="B416" s="31" t="s">
        <v>1547</v>
      </c>
      <c r="C416" s="31" t="s">
        <v>1566</v>
      </c>
      <c r="D416" s="31" t="s">
        <v>1845</v>
      </c>
      <c r="E416" s="31" t="s">
        <v>207</v>
      </c>
      <c r="F416" s="31" t="s">
        <v>1683</v>
      </c>
      <c r="G416" s="31" t="s">
        <v>1612</v>
      </c>
      <c r="H416" s="32" t="s">
        <v>1469</v>
      </c>
      <c r="I416" s="31"/>
      <c r="J416" s="31"/>
      <c r="K416" s="31"/>
      <c r="L416" s="32" t="str">
        <f>VLOOKUP(D416,'Active Employees'!$B$2:$B$498,1,false)</f>
        <v>#N/A</v>
      </c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</row>
    <row r="417">
      <c r="A417" s="37" t="s">
        <v>1522</v>
      </c>
      <c r="B417" s="31" t="s">
        <v>1547</v>
      </c>
      <c r="C417" s="31" t="s">
        <v>1566</v>
      </c>
      <c r="D417" s="31" t="s">
        <v>1845</v>
      </c>
      <c r="E417" s="31" t="s">
        <v>207</v>
      </c>
      <c r="F417" s="31" t="s">
        <v>1549</v>
      </c>
      <c r="G417" s="31" t="s">
        <v>1528</v>
      </c>
      <c r="H417" s="32" t="s">
        <v>1469</v>
      </c>
      <c r="I417" s="31"/>
      <c r="J417" s="31"/>
      <c r="K417" s="31"/>
      <c r="L417" s="32" t="str">
        <f>VLOOKUP(D417,'Active Employees'!$B$2:$B$498,1,false)</f>
        <v>#N/A</v>
      </c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</row>
    <row r="418" hidden="1">
      <c r="A418" s="37" t="s">
        <v>1570</v>
      </c>
      <c r="B418" s="31" t="s">
        <v>1523</v>
      </c>
      <c r="C418" s="31" t="s">
        <v>1524</v>
      </c>
      <c r="D418" s="31" t="s">
        <v>1701</v>
      </c>
      <c r="E418" s="31" t="s">
        <v>1702</v>
      </c>
      <c r="F418" s="31" t="s">
        <v>1564</v>
      </c>
      <c r="G418" s="31" t="s">
        <v>1528</v>
      </c>
      <c r="H418" s="32" t="s">
        <v>1469</v>
      </c>
      <c r="I418" s="31"/>
      <c r="J418" s="31"/>
      <c r="K418" s="31"/>
      <c r="L418" s="32" t="str">
        <f>VLOOKUP(D418,'Active Employees'!$B$2:$B$498,1,false)</f>
        <v>#N/A</v>
      </c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</row>
    <row r="419">
      <c r="A419" s="37" t="s">
        <v>1522</v>
      </c>
      <c r="B419" s="31" t="s">
        <v>1547</v>
      </c>
      <c r="C419" s="31" t="s">
        <v>1567</v>
      </c>
      <c r="D419" s="31" t="s">
        <v>1845</v>
      </c>
      <c r="E419" s="31" t="s">
        <v>207</v>
      </c>
      <c r="F419" s="31" t="s">
        <v>1683</v>
      </c>
      <c r="G419" s="31" t="s">
        <v>1612</v>
      </c>
      <c r="H419" s="32" t="s">
        <v>1469</v>
      </c>
      <c r="I419" s="31"/>
      <c r="J419" s="31"/>
      <c r="K419" s="31"/>
      <c r="L419" s="32" t="str">
        <f>VLOOKUP(D419,'Active Employees'!$B$2:$B$498,1,false)</f>
        <v>#N/A</v>
      </c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</row>
    <row r="420">
      <c r="A420" s="37" t="s">
        <v>1522</v>
      </c>
      <c r="B420" s="31" t="s">
        <v>1547</v>
      </c>
      <c r="C420" s="31" t="s">
        <v>1567</v>
      </c>
      <c r="D420" s="31" t="s">
        <v>1845</v>
      </c>
      <c r="E420" s="31" t="s">
        <v>207</v>
      </c>
      <c r="F420" s="31" t="s">
        <v>1549</v>
      </c>
      <c r="G420" s="31" t="s">
        <v>1528</v>
      </c>
      <c r="H420" s="32" t="s">
        <v>1469</v>
      </c>
      <c r="I420" s="31"/>
      <c r="J420" s="31"/>
      <c r="K420" s="31"/>
      <c r="L420" s="32" t="str">
        <f>VLOOKUP(D420,'Active Employees'!$B$2:$B$498,1,false)</f>
        <v>#N/A</v>
      </c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</row>
    <row r="421">
      <c r="A421" s="37" t="s">
        <v>1522</v>
      </c>
      <c r="B421" s="31" t="s">
        <v>1568</v>
      </c>
      <c r="C421" s="31" t="s">
        <v>1569</v>
      </c>
      <c r="D421" s="31" t="s">
        <v>1845</v>
      </c>
      <c r="E421" s="31" t="s">
        <v>207</v>
      </c>
      <c r="F421" s="31" t="s">
        <v>1549</v>
      </c>
      <c r="G421" s="31" t="s">
        <v>1528</v>
      </c>
      <c r="H421" s="32" t="s">
        <v>1469</v>
      </c>
      <c r="I421" s="31"/>
      <c r="J421" s="31"/>
      <c r="K421" s="31"/>
      <c r="L421" s="32" t="str">
        <f>VLOOKUP(D421,'Active Employees'!$B$2:$B$498,1,false)</f>
        <v>#N/A</v>
      </c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</row>
    <row r="422">
      <c r="A422" s="37" t="s">
        <v>1570</v>
      </c>
      <c r="B422" s="31" t="s">
        <v>1523</v>
      </c>
      <c r="C422" s="31" t="s">
        <v>1524</v>
      </c>
      <c r="D422" s="31" t="s">
        <v>267</v>
      </c>
      <c r="E422" s="31" t="s">
        <v>207</v>
      </c>
      <c r="F422" s="31" t="s">
        <v>1541</v>
      </c>
      <c r="G422" s="31" t="s">
        <v>1528</v>
      </c>
      <c r="H422" s="32" t="s">
        <v>1469</v>
      </c>
      <c r="I422" s="31"/>
      <c r="J422" s="31"/>
      <c r="K422" s="31"/>
      <c r="L422" s="32" t="str">
        <f>VLOOKUP(D422,'Active Employees'!$B$2:$B$498,1,false)</f>
        <v>james.braden@docker.com</v>
      </c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</row>
    <row r="423">
      <c r="A423" s="37" t="s">
        <v>1570</v>
      </c>
      <c r="B423" s="31" t="s">
        <v>1523</v>
      </c>
      <c r="C423" s="31" t="s">
        <v>1524</v>
      </c>
      <c r="D423" s="31" t="s">
        <v>267</v>
      </c>
      <c r="E423" s="31" t="s">
        <v>207</v>
      </c>
      <c r="F423" s="31" t="s">
        <v>1699</v>
      </c>
      <c r="G423" s="31" t="s">
        <v>1612</v>
      </c>
      <c r="H423" s="32" t="s">
        <v>1469</v>
      </c>
      <c r="I423" s="31"/>
      <c r="J423" s="31"/>
      <c r="K423" s="31"/>
      <c r="L423" s="32" t="str">
        <f>VLOOKUP(D423,'Active Employees'!$B$2:$B$498,1,false)</f>
        <v>james.braden@docker.com</v>
      </c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</row>
    <row r="424">
      <c r="A424" s="37" t="s">
        <v>1570</v>
      </c>
      <c r="B424" s="31" t="s">
        <v>1547</v>
      </c>
      <c r="C424" s="31" t="s">
        <v>1576</v>
      </c>
      <c r="D424" s="31" t="s">
        <v>267</v>
      </c>
      <c r="E424" s="31" t="s">
        <v>207</v>
      </c>
      <c r="F424" s="31" t="s">
        <v>1481</v>
      </c>
      <c r="G424" s="31" t="s">
        <v>1528</v>
      </c>
      <c r="H424" s="32" t="s">
        <v>1469</v>
      </c>
      <c r="I424" s="31"/>
      <c r="J424" s="31"/>
      <c r="K424" s="31"/>
      <c r="L424" s="32" t="str">
        <f>VLOOKUP(D424,'Active Employees'!$B$2:$B$498,1,false)</f>
        <v>james.braden@docker.com</v>
      </c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</row>
    <row r="425">
      <c r="A425" s="37" t="s">
        <v>1570</v>
      </c>
      <c r="B425" s="31" t="s">
        <v>1547</v>
      </c>
      <c r="C425" s="31" t="s">
        <v>1576</v>
      </c>
      <c r="D425" s="31" t="s">
        <v>267</v>
      </c>
      <c r="E425" s="31" t="s">
        <v>207</v>
      </c>
      <c r="F425" s="31" t="s">
        <v>1549</v>
      </c>
      <c r="G425" s="31" t="s">
        <v>1528</v>
      </c>
      <c r="H425" s="32" t="s">
        <v>1469</v>
      </c>
      <c r="I425" s="31"/>
      <c r="J425" s="31"/>
      <c r="K425" s="31"/>
      <c r="L425" s="32" t="str">
        <f>VLOOKUP(D425,'Active Employees'!$B$2:$B$498,1,false)</f>
        <v>james.braden@docker.com</v>
      </c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</row>
    <row r="426" hidden="1">
      <c r="A426" s="37" t="s">
        <v>1570</v>
      </c>
      <c r="B426" s="31" t="s">
        <v>1547</v>
      </c>
      <c r="C426" s="31" t="s">
        <v>1576</v>
      </c>
      <c r="D426" s="31" t="s">
        <v>1701</v>
      </c>
      <c r="E426" s="31" t="s">
        <v>1702</v>
      </c>
      <c r="F426" s="31" t="s">
        <v>1549</v>
      </c>
      <c r="G426" s="31" t="s">
        <v>1528</v>
      </c>
      <c r="H426" s="32" t="s">
        <v>1469</v>
      </c>
      <c r="I426" s="31"/>
      <c r="J426" s="31"/>
      <c r="K426" s="31"/>
      <c r="L426" s="32" t="str">
        <f>VLOOKUP(D426,'Active Employees'!$B$2:$B$498,1,false)</f>
        <v>#N/A</v>
      </c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</row>
    <row r="427">
      <c r="A427" s="37" t="s">
        <v>1570</v>
      </c>
      <c r="B427" s="31" t="s">
        <v>1547</v>
      </c>
      <c r="C427" s="31" t="s">
        <v>1577</v>
      </c>
      <c r="D427" s="31" t="s">
        <v>267</v>
      </c>
      <c r="E427" s="31" t="s">
        <v>207</v>
      </c>
      <c r="F427" s="31" t="s">
        <v>1481</v>
      </c>
      <c r="G427" s="31" t="s">
        <v>1528</v>
      </c>
      <c r="H427" s="32" t="s">
        <v>1469</v>
      </c>
      <c r="I427" s="31"/>
      <c r="J427" s="31"/>
      <c r="K427" s="31"/>
      <c r="L427" s="32" t="str">
        <f>VLOOKUP(D427,'Active Employees'!$B$2:$B$498,1,false)</f>
        <v>james.braden@docker.com</v>
      </c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</row>
    <row r="428">
      <c r="A428" s="37" t="s">
        <v>1570</v>
      </c>
      <c r="B428" s="31" t="s">
        <v>1547</v>
      </c>
      <c r="C428" s="31" t="s">
        <v>1577</v>
      </c>
      <c r="D428" s="31" t="s">
        <v>267</v>
      </c>
      <c r="E428" s="31" t="s">
        <v>207</v>
      </c>
      <c r="F428" s="31" t="s">
        <v>1549</v>
      </c>
      <c r="G428" s="31" t="s">
        <v>1528</v>
      </c>
      <c r="H428" s="32" t="s">
        <v>1469</v>
      </c>
      <c r="I428" s="31"/>
      <c r="J428" s="31"/>
      <c r="K428" s="31"/>
      <c r="L428" s="32" t="str">
        <f>VLOOKUP(D428,'Active Employees'!$B$2:$B$498,1,false)</f>
        <v>james.braden@docker.com</v>
      </c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</row>
    <row r="429">
      <c r="A429" s="37" t="s">
        <v>1570</v>
      </c>
      <c r="B429" s="31" t="s">
        <v>1547</v>
      </c>
      <c r="C429" s="31" t="s">
        <v>1578</v>
      </c>
      <c r="D429" s="31" t="s">
        <v>267</v>
      </c>
      <c r="E429" s="31" t="s">
        <v>207</v>
      </c>
      <c r="F429" s="31" t="s">
        <v>1700</v>
      </c>
      <c r="G429" s="31" t="s">
        <v>1612</v>
      </c>
      <c r="H429" s="32" t="s">
        <v>1469</v>
      </c>
      <c r="I429" s="31"/>
      <c r="J429" s="31"/>
      <c r="K429" s="31"/>
      <c r="L429" s="32" t="str">
        <f>VLOOKUP(D429,'Active Employees'!$B$2:$B$498,1,false)</f>
        <v>james.braden@docker.com</v>
      </c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</row>
    <row r="430">
      <c r="A430" s="37" t="s">
        <v>1570</v>
      </c>
      <c r="B430" s="31" t="s">
        <v>1547</v>
      </c>
      <c r="C430" s="31" t="s">
        <v>1578</v>
      </c>
      <c r="D430" s="31" t="s">
        <v>267</v>
      </c>
      <c r="E430" s="31" t="s">
        <v>207</v>
      </c>
      <c r="F430" s="31" t="s">
        <v>1549</v>
      </c>
      <c r="G430" s="31" t="s">
        <v>1528</v>
      </c>
      <c r="H430" s="32" t="s">
        <v>1469</v>
      </c>
      <c r="I430" s="31"/>
      <c r="J430" s="31"/>
      <c r="K430" s="31"/>
      <c r="L430" s="32" t="str">
        <f>VLOOKUP(D430,'Active Employees'!$B$2:$B$498,1,false)</f>
        <v>james.braden@docker.com</v>
      </c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</row>
    <row r="431">
      <c r="A431" s="37" t="s">
        <v>1570</v>
      </c>
      <c r="B431" s="31" t="s">
        <v>1547</v>
      </c>
      <c r="C431" s="31" t="s">
        <v>1579</v>
      </c>
      <c r="D431" s="31" t="s">
        <v>267</v>
      </c>
      <c r="E431" s="31" t="s">
        <v>207</v>
      </c>
      <c r="F431" s="31" t="s">
        <v>1700</v>
      </c>
      <c r="G431" s="31" t="s">
        <v>1612</v>
      </c>
      <c r="H431" s="32" t="s">
        <v>1469</v>
      </c>
      <c r="I431" s="31"/>
      <c r="J431" s="31"/>
      <c r="K431" s="31"/>
      <c r="L431" s="32" t="str">
        <f>VLOOKUP(D431,'Active Employees'!$B$2:$B$498,1,false)</f>
        <v>james.braden@docker.com</v>
      </c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</row>
    <row r="432">
      <c r="A432" s="37" t="s">
        <v>1570</v>
      </c>
      <c r="B432" s="31" t="s">
        <v>1547</v>
      </c>
      <c r="C432" s="31" t="s">
        <v>1579</v>
      </c>
      <c r="D432" s="31" t="s">
        <v>267</v>
      </c>
      <c r="E432" s="31" t="s">
        <v>207</v>
      </c>
      <c r="F432" s="31" t="s">
        <v>1549</v>
      </c>
      <c r="G432" s="31" t="s">
        <v>1528</v>
      </c>
      <c r="H432" s="32" t="s">
        <v>1469</v>
      </c>
      <c r="I432" s="31"/>
      <c r="J432" s="31"/>
      <c r="K432" s="31"/>
      <c r="L432" s="32" t="str">
        <f>VLOOKUP(D432,'Active Employees'!$B$2:$B$498,1,false)</f>
        <v>james.braden@docker.com</v>
      </c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</row>
    <row r="433">
      <c r="A433" s="37" t="s">
        <v>1570</v>
      </c>
      <c r="B433" s="31" t="s">
        <v>1547</v>
      </c>
      <c r="C433" s="31" t="s">
        <v>1584</v>
      </c>
      <c r="D433" s="31" t="s">
        <v>267</v>
      </c>
      <c r="E433" s="31" t="s">
        <v>207</v>
      </c>
      <c r="F433" s="31" t="s">
        <v>1481</v>
      </c>
      <c r="G433" s="31" t="s">
        <v>1528</v>
      </c>
      <c r="H433" s="32" t="s">
        <v>1469</v>
      </c>
      <c r="I433" s="31"/>
      <c r="J433" s="31"/>
      <c r="K433" s="31"/>
      <c r="L433" s="32" t="str">
        <f>VLOOKUP(D433,'Active Employees'!$B$2:$B$498,1,false)</f>
        <v>james.braden@docker.com</v>
      </c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</row>
    <row r="434">
      <c r="A434" s="37" t="s">
        <v>1570</v>
      </c>
      <c r="B434" s="31" t="s">
        <v>1547</v>
      </c>
      <c r="C434" s="31" t="s">
        <v>1584</v>
      </c>
      <c r="D434" s="31" t="s">
        <v>267</v>
      </c>
      <c r="E434" s="31" t="s">
        <v>207</v>
      </c>
      <c r="F434" s="31" t="s">
        <v>1549</v>
      </c>
      <c r="G434" s="31" t="s">
        <v>1528</v>
      </c>
      <c r="H434" s="32" t="s">
        <v>1469</v>
      </c>
      <c r="I434" s="31"/>
      <c r="J434" s="31"/>
      <c r="K434" s="31"/>
      <c r="L434" s="32" t="str">
        <f>VLOOKUP(D434,'Active Employees'!$B$2:$B$498,1,false)</f>
        <v>james.braden@docker.com</v>
      </c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</row>
    <row r="435">
      <c r="A435" s="37" t="s">
        <v>1570</v>
      </c>
      <c r="B435" s="31" t="s">
        <v>1547</v>
      </c>
      <c r="C435" s="31" t="s">
        <v>1588</v>
      </c>
      <c r="D435" s="31" t="s">
        <v>267</v>
      </c>
      <c r="E435" s="31" t="s">
        <v>207</v>
      </c>
      <c r="F435" s="31" t="s">
        <v>1481</v>
      </c>
      <c r="G435" s="31" t="s">
        <v>1528</v>
      </c>
      <c r="H435" s="32" t="s">
        <v>1469</v>
      </c>
      <c r="I435" s="31"/>
      <c r="J435" s="31"/>
      <c r="K435" s="31"/>
      <c r="L435" s="32" t="str">
        <f>VLOOKUP(D435,'Active Employees'!$B$2:$B$498,1,false)</f>
        <v>james.braden@docker.com</v>
      </c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</row>
    <row r="436">
      <c r="A436" s="37" t="s">
        <v>1570</v>
      </c>
      <c r="B436" s="31" t="s">
        <v>1547</v>
      </c>
      <c r="C436" s="31" t="s">
        <v>1588</v>
      </c>
      <c r="D436" s="31" t="s">
        <v>267</v>
      </c>
      <c r="E436" s="31" t="s">
        <v>207</v>
      </c>
      <c r="F436" s="31" t="s">
        <v>1549</v>
      </c>
      <c r="G436" s="31" t="s">
        <v>1528</v>
      </c>
      <c r="H436" s="32" t="s">
        <v>1469</v>
      </c>
      <c r="I436" s="31"/>
      <c r="J436" s="31"/>
      <c r="K436" s="31"/>
      <c r="L436" s="32" t="str">
        <f>VLOOKUP(D436,'Active Employees'!$B$2:$B$498,1,false)</f>
        <v>james.braden@docker.com</v>
      </c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</row>
    <row r="437">
      <c r="A437" s="37" t="s">
        <v>1570</v>
      </c>
      <c r="B437" s="31" t="s">
        <v>1547</v>
      </c>
      <c r="C437" s="31" t="s">
        <v>1589</v>
      </c>
      <c r="D437" s="31" t="s">
        <v>267</v>
      </c>
      <c r="E437" s="31" t="s">
        <v>207</v>
      </c>
      <c r="F437" s="31" t="s">
        <v>1481</v>
      </c>
      <c r="G437" s="31" t="s">
        <v>1528</v>
      </c>
      <c r="H437" s="32" t="s">
        <v>1469</v>
      </c>
      <c r="I437" s="31"/>
      <c r="J437" s="31"/>
      <c r="K437" s="31"/>
      <c r="L437" s="32" t="str">
        <f>VLOOKUP(D437,'Active Employees'!$B$2:$B$498,1,false)</f>
        <v>james.braden@docker.com</v>
      </c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</row>
    <row r="438">
      <c r="A438" s="37" t="s">
        <v>1570</v>
      </c>
      <c r="B438" s="31" t="s">
        <v>1547</v>
      </c>
      <c r="C438" s="31" t="s">
        <v>1589</v>
      </c>
      <c r="D438" s="31" t="s">
        <v>267</v>
      </c>
      <c r="E438" s="31" t="s">
        <v>207</v>
      </c>
      <c r="F438" s="31" t="s">
        <v>1549</v>
      </c>
      <c r="G438" s="31" t="s">
        <v>1528</v>
      </c>
      <c r="H438" s="32" t="s">
        <v>1469</v>
      </c>
      <c r="I438" s="31"/>
      <c r="J438" s="31"/>
      <c r="K438" s="31"/>
      <c r="L438" s="32" t="str">
        <f>VLOOKUP(D438,'Active Employees'!$B$2:$B$498,1,false)</f>
        <v>james.braden@docker.com</v>
      </c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</row>
    <row r="439">
      <c r="A439" s="37" t="s">
        <v>1570</v>
      </c>
      <c r="B439" s="31" t="s">
        <v>1547</v>
      </c>
      <c r="C439" s="31" t="s">
        <v>1590</v>
      </c>
      <c r="D439" s="31" t="s">
        <v>267</v>
      </c>
      <c r="E439" s="31" t="s">
        <v>207</v>
      </c>
      <c r="F439" s="31" t="s">
        <v>1481</v>
      </c>
      <c r="G439" s="31" t="s">
        <v>1528</v>
      </c>
      <c r="H439" s="32" t="s">
        <v>1469</v>
      </c>
      <c r="I439" s="31"/>
      <c r="J439" s="31"/>
      <c r="K439" s="31"/>
      <c r="L439" s="32" t="str">
        <f>VLOOKUP(D439,'Active Employees'!$B$2:$B$498,1,false)</f>
        <v>james.braden@docker.com</v>
      </c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</row>
    <row r="440">
      <c r="A440" s="37" t="s">
        <v>1570</v>
      </c>
      <c r="B440" s="31" t="s">
        <v>1547</v>
      </c>
      <c r="C440" s="31" t="s">
        <v>1590</v>
      </c>
      <c r="D440" s="31" t="s">
        <v>267</v>
      </c>
      <c r="E440" s="31" t="s">
        <v>207</v>
      </c>
      <c r="F440" s="31" t="s">
        <v>1549</v>
      </c>
      <c r="G440" s="31" t="s">
        <v>1528</v>
      </c>
      <c r="H440" s="32" t="s">
        <v>1469</v>
      </c>
      <c r="I440" s="31"/>
      <c r="J440" s="31"/>
      <c r="K440" s="31"/>
      <c r="L440" s="32" t="str">
        <f>VLOOKUP(D440,'Active Employees'!$B$2:$B$498,1,false)</f>
        <v>james.braden@docker.com</v>
      </c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</row>
    <row r="441">
      <c r="A441" s="37" t="s">
        <v>1570</v>
      </c>
      <c r="B441" s="31" t="s">
        <v>1547</v>
      </c>
      <c r="C441" s="31" t="s">
        <v>1591</v>
      </c>
      <c r="D441" s="31" t="s">
        <v>267</v>
      </c>
      <c r="E441" s="31" t="s">
        <v>207</v>
      </c>
      <c r="F441" s="31" t="s">
        <v>1700</v>
      </c>
      <c r="G441" s="31" t="s">
        <v>1612</v>
      </c>
      <c r="H441" s="32" t="s">
        <v>1469</v>
      </c>
      <c r="I441" s="31"/>
      <c r="J441" s="31"/>
      <c r="K441" s="31"/>
      <c r="L441" s="32" t="str">
        <f>VLOOKUP(D441,'Active Employees'!$B$2:$B$498,1,false)</f>
        <v>james.braden@docker.com</v>
      </c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</row>
    <row r="442" hidden="1">
      <c r="A442" s="37" t="s">
        <v>1570</v>
      </c>
      <c r="B442" s="31" t="s">
        <v>1547</v>
      </c>
      <c r="C442" s="31" t="s">
        <v>1577</v>
      </c>
      <c r="D442" s="31" t="s">
        <v>1701</v>
      </c>
      <c r="E442" s="31" t="s">
        <v>1702</v>
      </c>
      <c r="F442" s="31" t="s">
        <v>1549</v>
      </c>
      <c r="G442" s="31" t="s">
        <v>1528</v>
      </c>
      <c r="H442" s="31"/>
      <c r="I442" s="31"/>
      <c r="J442" s="31"/>
      <c r="K442" s="31"/>
      <c r="L442" s="32" t="str">
        <f>VLOOKUP(D442,'Active Employees'!$B$2:$B$498,1,false)</f>
        <v>#N/A</v>
      </c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</row>
    <row r="443">
      <c r="A443" s="37" t="s">
        <v>1570</v>
      </c>
      <c r="B443" s="31" t="s">
        <v>1547</v>
      </c>
      <c r="C443" s="31" t="s">
        <v>1591</v>
      </c>
      <c r="D443" s="31" t="s">
        <v>267</v>
      </c>
      <c r="E443" s="31" t="s">
        <v>207</v>
      </c>
      <c r="F443" s="31" t="s">
        <v>1549</v>
      </c>
      <c r="G443" s="31" t="s">
        <v>1528</v>
      </c>
      <c r="H443" s="32" t="s">
        <v>1469</v>
      </c>
      <c r="I443" s="31"/>
      <c r="J443" s="31"/>
      <c r="K443" s="31"/>
      <c r="L443" s="32" t="str">
        <f>VLOOKUP(D443,'Active Employees'!$B$2:$B$498,1,false)</f>
        <v>james.braden@docker.com</v>
      </c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</row>
    <row r="444">
      <c r="A444" s="37" t="s">
        <v>1570</v>
      </c>
      <c r="B444" s="31" t="s">
        <v>1547</v>
      </c>
      <c r="C444" s="31" t="s">
        <v>1592</v>
      </c>
      <c r="D444" s="31" t="s">
        <v>267</v>
      </c>
      <c r="E444" s="31" t="s">
        <v>207</v>
      </c>
      <c r="F444" s="31" t="s">
        <v>1700</v>
      </c>
      <c r="G444" s="31" t="s">
        <v>1612</v>
      </c>
      <c r="H444" s="32" t="s">
        <v>1469</v>
      </c>
      <c r="I444" s="31"/>
      <c r="J444" s="31"/>
      <c r="K444" s="31"/>
      <c r="L444" s="32" t="str">
        <f>VLOOKUP(D444,'Active Employees'!$B$2:$B$498,1,false)</f>
        <v>james.braden@docker.com</v>
      </c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</row>
    <row r="445">
      <c r="A445" s="37" t="s">
        <v>1570</v>
      </c>
      <c r="B445" s="31" t="s">
        <v>1547</v>
      </c>
      <c r="C445" s="31" t="s">
        <v>1592</v>
      </c>
      <c r="D445" s="31" t="s">
        <v>267</v>
      </c>
      <c r="E445" s="31" t="s">
        <v>207</v>
      </c>
      <c r="F445" s="31" t="s">
        <v>1549</v>
      </c>
      <c r="G445" s="31" t="s">
        <v>1528</v>
      </c>
      <c r="H445" s="32" t="s">
        <v>1469</v>
      </c>
      <c r="I445" s="31"/>
      <c r="J445" s="31"/>
      <c r="K445" s="31"/>
      <c r="L445" s="32" t="str">
        <f>VLOOKUP(D445,'Active Employees'!$B$2:$B$498,1,false)</f>
        <v>james.braden@docker.com</v>
      </c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</row>
    <row r="446">
      <c r="A446" s="37" t="s">
        <v>1570</v>
      </c>
      <c r="B446" s="31" t="s">
        <v>1547</v>
      </c>
      <c r="C446" s="31" t="s">
        <v>600</v>
      </c>
      <c r="D446" s="31" t="s">
        <v>267</v>
      </c>
      <c r="E446" s="31" t="s">
        <v>207</v>
      </c>
      <c r="F446" s="31" t="s">
        <v>1481</v>
      </c>
      <c r="G446" s="31" t="s">
        <v>1528</v>
      </c>
      <c r="H446" s="32" t="s">
        <v>1469</v>
      </c>
      <c r="I446" s="31"/>
      <c r="J446" s="31"/>
      <c r="K446" s="31"/>
      <c r="L446" s="32" t="str">
        <f>VLOOKUP(D446,'Active Employees'!$B$2:$B$498,1,false)</f>
        <v>james.braden@docker.com</v>
      </c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</row>
    <row r="447">
      <c r="A447" s="37" t="s">
        <v>1570</v>
      </c>
      <c r="B447" s="31" t="s">
        <v>1547</v>
      </c>
      <c r="C447" s="31" t="s">
        <v>600</v>
      </c>
      <c r="D447" s="31" t="s">
        <v>267</v>
      </c>
      <c r="E447" s="31" t="s">
        <v>207</v>
      </c>
      <c r="F447" s="31" t="s">
        <v>1549</v>
      </c>
      <c r="G447" s="31" t="s">
        <v>1528</v>
      </c>
      <c r="H447" s="32" t="s">
        <v>1469</v>
      </c>
      <c r="I447" s="31"/>
      <c r="J447" s="31"/>
      <c r="K447" s="31"/>
      <c r="L447" s="32" t="str">
        <f>VLOOKUP(D447,'Active Employees'!$B$2:$B$498,1,false)</f>
        <v>james.braden@docker.com</v>
      </c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</row>
    <row r="448">
      <c r="A448" s="37" t="s">
        <v>1570</v>
      </c>
      <c r="B448" s="31" t="s">
        <v>1547</v>
      </c>
      <c r="C448" s="31" t="s">
        <v>1593</v>
      </c>
      <c r="D448" s="31" t="s">
        <v>267</v>
      </c>
      <c r="E448" s="31" t="s">
        <v>207</v>
      </c>
      <c r="F448" s="31" t="s">
        <v>1481</v>
      </c>
      <c r="G448" s="31" t="s">
        <v>1528</v>
      </c>
      <c r="H448" s="32" t="s">
        <v>1469</v>
      </c>
      <c r="I448" s="31"/>
      <c r="J448" s="31"/>
      <c r="K448" s="31"/>
      <c r="L448" s="32" t="str">
        <f>VLOOKUP(D448,'Active Employees'!$B$2:$B$498,1,false)</f>
        <v>james.braden@docker.com</v>
      </c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</row>
    <row r="449">
      <c r="A449" s="37" t="s">
        <v>1570</v>
      </c>
      <c r="B449" s="31" t="s">
        <v>1547</v>
      </c>
      <c r="C449" s="31" t="s">
        <v>1593</v>
      </c>
      <c r="D449" s="31" t="s">
        <v>267</v>
      </c>
      <c r="E449" s="31" t="s">
        <v>207</v>
      </c>
      <c r="F449" s="31" t="s">
        <v>1704</v>
      </c>
      <c r="G449" s="31" t="s">
        <v>1612</v>
      </c>
      <c r="H449" s="32" t="s">
        <v>1469</v>
      </c>
      <c r="I449" s="31"/>
      <c r="J449" s="31"/>
      <c r="K449" s="31"/>
      <c r="L449" s="32" t="str">
        <f>VLOOKUP(D449,'Active Employees'!$B$2:$B$498,1,false)</f>
        <v>james.braden@docker.com</v>
      </c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</row>
    <row r="450">
      <c r="A450" s="37" t="s">
        <v>1570</v>
      </c>
      <c r="B450" s="31" t="s">
        <v>1547</v>
      </c>
      <c r="C450" s="31" t="s">
        <v>1593</v>
      </c>
      <c r="D450" s="31" t="s">
        <v>267</v>
      </c>
      <c r="E450" s="31" t="s">
        <v>207</v>
      </c>
      <c r="F450" s="31" t="s">
        <v>1549</v>
      </c>
      <c r="G450" s="31" t="s">
        <v>1528</v>
      </c>
      <c r="H450" s="32" t="s">
        <v>1469</v>
      </c>
      <c r="I450" s="31"/>
      <c r="J450" s="31"/>
      <c r="K450" s="31"/>
      <c r="L450" s="32" t="str">
        <f>VLOOKUP(D450,'Active Employees'!$B$2:$B$498,1,false)</f>
        <v>james.braden@docker.com</v>
      </c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</row>
    <row r="451">
      <c r="A451" s="37" t="s">
        <v>1570</v>
      </c>
      <c r="B451" s="31" t="s">
        <v>1547</v>
      </c>
      <c r="C451" s="31" t="s">
        <v>1594</v>
      </c>
      <c r="D451" s="31" t="s">
        <v>267</v>
      </c>
      <c r="E451" s="31" t="s">
        <v>207</v>
      </c>
      <c r="F451" s="31" t="s">
        <v>1481</v>
      </c>
      <c r="G451" s="31" t="s">
        <v>1528</v>
      </c>
      <c r="H451" s="32" t="s">
        <v>1469</v>
      </c>
      <c r="I451" s="31"/>
      <c r="J451" s="31"/>
      <c r="K451" s="31"/>
      <c r="L451" s="32" t="str">
        <f>VLOOKUP(D451,'Active Employees'!$B$2:$B$498,1,false)</f>
        <v>james.braden@docker.com</v>
      </c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</row>
    <row r="452">
      <c r="A452" s="37" t="s">
        <v>1570</v>
      </c>
      <c r="B452" s="31" t="s">
        <v>1547</v>
      </c>
      <c r="C452" s="31" t="s">
        <v>1594</v>
      </c>
      <c r="D452" s="31" t="s">
        <v>267</v>
      </c>
      <c r="E452" s="31" t="s">
        <v>207</v>
      </c>
      <c r="F452" s="31" t="s">
        <v>1549</v>
      </c>
      <c r="G452" s="31" t="s">
        <v>1528</v>
      </c>
      <c r="H452" s="32" t="s">
        <v>1469</v>
      </c>
      <c r="I452" s="31"/>
      <c r="J452" s="31"/>
      <c r="K452" s="31"/>
      <c r="L452" s="32" t="str">
        <f>VLOOKUP(D452,'Active Employees'!$B$2:$B$498,1,false)</f>
        <v>james.braden@docker.com</v>
      </c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</row>
    <row r="453">
      <c r="A453" s="37" t="s">
        <v>1570</v>
      </c>
      <c r="B453" s="31" t="s">
        <v>1568</v>
      </c>
      <c r="C453" s="31" t="s">
        <v>1569</v>
      </c>
      <c r="D453" s="31" t="s">
        <v>267</v>
      </c>
      <c r="E453" s="31" t="s">
        <v>207</v>
      </c>
      <c r="F453" s="31" t="s">
        <v>1549</v>
      </c>
      <c r="G453" s="31" t="s">
        <v>1528</v>
      </c>
      <c r="H453" s="32" t="s">
        <v>1469</v>
      </c>
      <c r="I453" s="31"/>
      <c r="J453" s="31"/>
      <c r="K453" s="31"/>
      <c r="L453" s="32" t="str">
        <f>VLOOKUP(D453,'Active Employees'!$B$2:$B$498,1,false)</f>
        <v>james.braden@docker.com</v>
      </c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</row>
    <row r="454" hidden="1">
      <c r="A454" s="37" t="s">
        <v>1570</v>
      </c>
      <c r="B454" s="31" t="s">
        <v>1547</v>
      </c>
      <c r="C454" s="31" t="s">
        <v>1578</v>
      </c>
      <c r="D454" s="31" t="s">
        <v>1846</v>
      </c>
      <c r="E454" s="31" t="s">
        <v>1847</v>
      </c>
      <c r="F454" s="31" t="s">
        <v>1640</v>
      </c>
      <c r="G454" s="31" t="s">
        <v>1687</v>
      </c>
      <c r="H454" s="31"/>
      <c r="I454" s="31"/>
      <c r="J454" s="31"/>
      <c r="K454" s="31"/>
      <c r="L454" s="32" t="str">
        <f>VLOOKUP(D454,'Active Employees'!$B$2:$B$498,1,false)</f>
        <v>#N/A</v>
      </c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</row>
    <row r="455" hidden="1">
      <c r="A455" s="37" t="s">
        <v>1570</v>
      </c>
      <c r="B455" s="31" t="s">
        <v>1547</v>
      </c>
      <c r="C455" s="31" t="s">
        <v>1578</v>
      </c>
      <c r="D455" s="31" t="s">
        <v>1848</v>
      </c>
      <c r="E455" s="31" t="s">
        <v>1849</v>
      </c>
      <c r="F455" s="31" t="s">
        <v>1481</v>
      </c>
      <c r="G455" s="31" t="s">
        <v>1528</v>
      </c>
      <c r="H455" s="31"/>
      <c r="I455" s="31"/>
      <c r="J455" s="31"/>
      <c r="K455" s="31"/>
      <c r="L455" s="32" t="str">
        <f>VLOOKUP(D455,'Active Employees'!$B$2:$B$498,1,false)</f>
        <v>#N/A</v>
      </c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</row>
    <row r="456" hidden="1">
      <c r="A456" s="37" t="s">
        <v>1570</v>
      </c>
      <c r="B456" s="31" t="s">
        <v>1547</v>
      </c>
      <c r="C456" s="31" t="s">
        <v>1578</v>
      </c>
      <c r="D456" s="31" t="s">
        <v>1848</v>
      </c>
      <c r="E456" s="31" t="s">
        <v>1849</v>
      </c>
      <c r="F456" s="31" t="s">
        <v>1481</v>
      </c>
      <c r="G456" s="31" t="s">
        <v>1528</v>
      </c>
      <c r="H456" s="31"/>
      <c r="I456" s="31"/>
      <c r="J456" s="31"/>
      <c r="K456" s="31"/>
      <c r="L456" s="32" t="str">
        <f>VLOOKUP(D456,'Active Employees'!$B$2:$B$498,1,false)</f>
        <v>#N/A</v>
      </c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</row>
    <row r="457" hidden="1">
      <c r="A457" s="37" t="s">
        <v>1570</v>
      </c>
      <c r="B457" s="31" t="s">
        <v>1547</v>
      </c>
      <c r="C457" s="31" t="s">
        <v>1578</v>
      </c>
      <c r="D457" s="31" t="s">
        <v>1850</v>
      </c>
      <c r="E457" s="31" t="s">
        <v>1851</v>
      </c>
      <c r="F457" s="31" t="s">
        <v>1481</v>
      </c>
      <c r="G457" s="31" t="s">
        <v>1528</v>
      </c>
      <c r="H457" s="31"/>
      <c r="I457" s="31"/>
      <c r="J457" s="31"/>
      <c r="K457" s="31"/>
      <c r="L457" s="32" t="str">
        <f>VLOOKUP(D457,'Active Employees'!$B$2:$B$498,1,false)</f>
        <v>#N/A</v>
      </c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</row>
    <row r="458" hidden="1">
      <c r="A458" s="37" t="s">
        <v>1570</v>
      </c>
      <c r="B458" s="31" t="s">
        <v>1547</v>
      </c>
      <c r="C458" s="31" t="s">
        <v>1578</v>
      </c>
      <c r="D458" s="31" t="s">
        <v>1850</v>
      </c>
      <c r="E458" s="31" t="s">
        <v>1851</v>
      </c>
      <c r="F458" s="31" t="s">
        <v>1640</v>
      </c>
      <c r="G458" s="31" t="s">
        <v>1528</v>
      </c>
      <c r="H458" s="31"/>
      <c r="I458" s="31"/>
      <c r="J458" s="31"/>
      <c r="K458" s="31"/>
      <c r="L458" s="32" t="str">
        <f>VLOOKUP(D458,'Active Employees'!$B$2:$B$498,1,false)</f>
        <v>#N/A</v>
      </c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</row>
    <row r="459">
      <c r="A459" s="37" t="s">
        <v>1570</v>
      </c>
      <c r="B459" s="31" t="s">
        <v>1568</v>
      </c>
      <c r="C459" s="31" t="s">
        <v>1595</v>
      </c>
      <c r="D459" s="31" t="s">
        <v>267</v>
      </c>
      <c r="E459" s="31" t="s">
        <v>207</v>
      </c>
      <c r="F459" s="31" t="s">
        <v>1549</v>
      </c>
      <c r="G459" s="31" t="s">
        <v>1528</v>
      </c>
      <c r="H459" s="32" t="s">
        <v>1469</v>
      </c>
      <c r="I459" s="31"/>
      <c r="J459" s="31"/>
      <c r="K459" s="31"/>
      <c r="L459" s="32" t="str">
        <f>VLOOKUP(D459,'Active Employees'!$B$2:$B$498,1,false)</f>
        <v>james.braden@docker.com</v>
      </c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</row>
    <row r="460" hidden="1">
      <c r="A460" s="37" t="s">
        <v>1570</v>
      </c>
      <c r="B460" s="31" t="s">
        <v>1547</v>
      </c>
      <c r="C460" s="31" t="s">
        <v>1578</v>
      </c>
      <c r="D460" s="31" t="s">
        <v>1850</v>
      </c>
      <c r="E460" s="31" t="s">
        <v>1851</v>
      </c>
      <c r="F460" s="31" t="s">
        <v>1640</v>
      </c>
      <c r="G460" s="31" t="s">
        <v>1528</v>
      </c>
      <c r="H460" s="31"/>
      <c r="I460" s="31"/>
      <c r="J460" s="31"/>
      <c r="K460" s="31"/>
      <c r="L460" s="32" t="str">
        <f>VLOOKUP(D460,'Active Employees'!$B$2:$B$498,1,false)</f>
        <v>#N/A</v>
      </c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</row>
    <row r="461" hidden="1">
      <c r="A461" s="37" t="s">
        <v>1522</v>
      </c>
      <c r="B461" s="31" t="s">
        <v>1547</v>
      </c>
      <c r="C461" s="31" t="s">
        <v>1565</v>
      </c>
      <c r="D461" s="31" t="s">
        <v>1852</v>
      </c>
      <c r="E461" s="31" t="s">
        <v>1853</v>
      </c>
      <c r="F461" s="31" t="s">
        <v>1640</v>
      </c>
      <c r="G461" s="31" t="s">
        <v>1528</v>
      </c>
      <c r="H461" s="32" t="s">
        <v>1469</v>
      </c>
      <c r="I461" s="31"/>
      <c r="J461" s="31"/>
      <c r="K461" s="31"/>
      <c r="L461" s="32" t="str">
        <f>VLOOKUP(D461,'Active Employees'!$B$2:$B$498,1,false)</f>
        <v>#N/A</v>
      </c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</row>
    <row r="462" hidden="1">
      <c r="A462" s="37" t="s">
        <v>1522</v>
      </c>
      <c r="B462" s="31" t="s">
        <v>1547</v>
      </c>
      <c r="C462" s="31" t="s">
        <v>1566</v>
      </c>
      <c r="D462" s="31" t="s">
        <v>1854</v>
      </c>
      <c r="E462" s="31" t="s">
        <v>1855</v>
      </c>
      <c r="F462" s="31" t="s">
        <v>1611</v>
      </c>
      <c r="G462" s="31" t="s">
        <v>1612</v>
      </c>
      <c r="H462" s="32" t="s">
        <v>1469</v>
      </c>
      <c r="I462" s="31"/>
      <c r="J462" s="31"/>
      <c r="K462" s="31"/>
      <c r="L462" s="32" t="str">
        <f>VLOOKUP(D462,'Active Employees'!$B$2:$B$498,1,false)</f>
        <v>#N/A</v>
      </c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</row>
    <row r="463">
      <c r="A463" s="37" t="s">
        <v>1570</v>
      </c>
      <c r="B463" s="31" t="s">
        <v>1523</v>
      </c>
      <c r="C463" s="31" t="s">
        <v>1524</v>
      </c>
      <c r="D463" s="31" t="s">
        <v>619</v>
      </c>
      <c r="E463" s="31" t="s">
        <v>1856</v>
      </c>
      <c r="F463" s="31" t="s">
        <v>1699</v>
      </c>
      <c r="G463" s="31" t="s">
        <v>1612</v>
      </c>
      <c r="H463" s="32" t="s">
        <v>1469</v>
      </c>
      <c r="I463" s="31"/>
      <c r="J463" s="31"/>
      <c r="K463" s="31"/>
      <c r="L463" s="32" t="str">
        <f>VLOOKUP(D463,'Active Employees'!$B$2:$B$498,1,false)</f>
        <v>javier.garcia@docker.com</v>
      </c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</row>
    <row r="464">
      <c r="A464" s="37" t="s">
        <v>1570</v>
      </c>
      <c r="B464" s="31" t="s">
        <v>1547</v>
      </c>
      <c r="C464" s="31" t="s">
        <v>1593</v>
      </c>
      <c r="D464" s="31" t="s">
        <v>619</v>
      </c>
      <c r="E464" s="31" t="s">
        <v>1856</v>
      </c>
      <c r="F464" s="31" t="s">
        <v>1704</v>
      </c>
      <c r="G464" s="31" t="s">
        <v>1612</v>
      </c>
      <c r="H464" s="32" t="s">
        <v>1469</v>
      </c>
      <c r="I464" s="31"/>
      <c r="J464" s="31"/>
      <c r="K464" s="31"/>
      <c r="L464" s="32" t="str">
        <f>VLOOKUP(D464,'Active Employees'!$B$2:$B$498,1,false)</f>
        <v>javier.garcia@docker.com</v>
      </c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</row>
    <row r="465">
      <c r="A465" s="37" t="s">
        <v>1522</v>
      </c>
      <c r="B465" s="31" t="s">
        <v>1523</v>
      </c>
      <c r="C465" s="31" t="s">
        <v>1524</v>
      </c>
      <c r="D465" s="31" t="s">
        <v>1857</v>
      </c>
      <c r="E465" s="31" t="s">
        <v>410</v>
      </c>
      <c r="F465" s="31" t="s">
        <v>1600</v>
      </c>
      <c r="G465" s="31" t="s">
        <v>1528</v>
      </c>
      <c r="H465" s="32" t="s">
        <v>1469</v>
      </c>
      <c r="I465" s="31"/>
      <c r="J465" s="31"/>
      <c r="K465" s="31"/>
      <c r="L465" s="32" t="str">
        <f>VLOOKUP(D465,'Active Employees'!$B$2:$B$498,1,false)</f>
        <v>#N/A</v>
      </c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</row>
    <row r="466" hidden="1">
      <c r="A466" s="37" t="s">
        <v>1522</v>
      </c>
      <c r="B466" s="31" t="s">
        <v>1547</v>
      </c>
      <c r="C466" s="31" t="s">
        <v>1558</v>
      </c>
      <c r="D466" s="31" t="s">
        <v>1857</v>
      </c>
      <c r="E466" s="31" t="s">
        <v>410</v>
      </c>
      <c r="F466" s="31" t="s">
        <v>1630</v>
      </c>
      <c r="G466" s="31" t="s">
        <v>1612</v>
      </c>
      <c r="H466" s="32" t="s">
        <v>1469</v>
      </c>
      <c r="I466" s="31"/>
      <c r="J466" s="31"/>
      <c r="K466" s="31"/>
      <c r="L466" s="32" t="str">
        <f>VLOOKUP(D466,'Active Employees'!$B$2:$B$498,1,false)</f>
        <v>#N/A</v>
      </c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</row>
    <row r="467" hidden="1">
      <c r="A467" s="37" t="s">
        <v>1522</v>
      </c>
      <c r="B467" s="31" t="s">
        <v>1547</v>
      </c>
      <c r="C467" s="31" t="s">
        <v>1565</v>
      </c>
      <c r="D467" s="31" t="s">
        <v>1857</v>
      </c>
      <c r="E467" s="31" t="s">
        <v>410</v>
      </c>
      <c r="F467" s="31" t="s">
        <v>1640</v>
      </c>
      <c r="G467" s="31" t="s">
        <v>1528</v>
      </c>
      <c r="H467" s="32" t="s">
        <v>1469</v>
      </c>
      <c r="I467" s="31"/>
      <c r="J467" s="31"/>
      <c r="K467" s="31"/>
      <c r="L467" s="32" t="str">
        <f>VLOOKUP(D467,'Active Employees'!$B$2:$B$498,1,false)</f>
        <v>#N/A</v>
      </c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</row>
    <row r="468">
      <c r="A468" s="37" t="s">
        <v>1522</v>
      </c>
      <c r="B468" s="31" t="s">
        <v>1547</v>
      </c>
      <c r="C468" s="31" t="s">
        <v>1565</v>
      </c>
      <c r="D468" s="31" t="s">
        <v>1857</v>
      </c>
      <c r="E468" s="31" t="s">
        <v>410</v>
      </c>
      <c r="F468" s="31" t="s">
        <v>1634</v>
      </c>
      <c r="G468" s="31" t="s">
        <v>1612</v>
      </c>
      <c r="H468" s="32" t="s">
        <v>1469</v>
      </c>
      <c r="I468" s="31"/>
      <c r="J468" s="31"/>
      <c r="K468" s="31"/>
      <c r="L468" s="32" t="str">
        <f>VLOOKUP(D468,'Active Employees'!$B$2:$B$498,1,false)</f>
        <v>#N/A</v>
      </c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</row>
    <row r="469" hidden="1">
      <c r="A469" s="37" t="s">
        <v>1522</v>
      </c>
      <c r="B469" s="31" t="s">
        <v>1547</v>
      </c>
      <c r="C469" s="31" t="s">
        <v>1565</v>
      </c>
      <c r="D469" s="31" t="s">
        <v>1857</v>
      </c>
      <c r="E469" s="31" t="s">
        <v>410</v>
      </c>
      <c r="F469" s="31" t="s">
        <v>1630</v>
      </c>
      <c r="G469" s="31" t="s">
        <v>1612</v>
      </c>
      <c r="H469" s="32" t="s">
        <v>1469</v>
      </c>
      <c r="I469" s="31"/>
      <c r="J469" s="31"/>
      <c r="K469" s="31"/>
      <c r="L469" s="32" t="str">
        <f>VLOOKUP(D469,'Active Employees'!$B$2:$B$498,1,false)</f>
        <v>#N/A</v>
      </c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</row>
    <row r="470" hidden="1">
      <c r="A470" s="37" t="s">
        <v>1570</v>
      </c>
      <c r="B470" s="31" t="s">
        <v>1547</v>
      </c>
      <c r="C470" s="31" t="s">
        <v>1576</v>
      </c>
      <c r="D470" s="31" t="s">
        <v>460</v>
      </c>
      <c r="E470" s="31" t="s">
        <v>410</v>
      </c>
      <c r="F470" s="31" t="s">
        <v>1640</v>
      </c>
      <c r="G470" s="31" t="s">
        <v>1528</v>
      </c>
      <c r="H470" s="32" t="s">
        <v>1469</v>
      </c>
      <c r="I470" s="31"/>
      <c r="J470" s="31"/>
      <c r="K470" s="31"/>
      <c r="L470" s="32" t="str">
        <f>VLOOKUP(D470,'Active Employees'!$B$2:$B$498,1,false)</f>
        <v>jeanlaurent@docker.com</v>
      </c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</row>
    <row r="471" hidden="1">
      <c r="A471" s="37" t="s">
        <v>1522</v>
      </c>
      <c r="B471" s="31" t="s">
        <v>1547</v>
      </c>
      <c r="C471" s="31" t="s">
        <v>1565</v>
      </c>
      <c r="D471" s="31" t="s">
        <v>1858</v>
      </c>
      <c r="E471" s="31" t="s">
        <v>1859</v>
      </c>
      <c r="F471" s="31" t="s">
        <v>1640</v>
      </c>
      <c r="G471" s="31" t="s">
        <v>1528</v>
      </c>
      <c r="H471" s="32" t="s">
        <v>1469</v>
      </c>
      <c r="I471" s="31"/>
      <c r="J471" s="31"/>
      <c r="K471" s="31"/>
      <c r="L471" s="32" t="str">
        <f>VLOOKUP(D471,'Active Employees'!$B$2:$B$498,1,false)</f>
        <v>#N/A</v>
      </c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</row>
    <row r="472">
      <c r="A472" s="37" t="s">
        <v>1522</v>
      </c>
      <c r="B472" s="31" t="s">
        <v>1523</v>
      </c>
      <c r="C472" s="31" t="s">
        <v>1524</v>
      </c>
      <c r="D472" s="31" t="s">
        <v>1860</v>
      </c>
      <c r="E472" s="31" t="s">
        <v>1861</v>
      </c>
      <c r="F472" s="31" t="s">
        <v>1541</v>
      </c>
      <c r="G472" s="31" t="s">
        <v>1528</v>
      </c>
      <c r="H472" s="32" t="s">
        <v>1469</v>
      </c>
      <c r="I472" s="31"/>
      <c r="J472" s="31"/>
      <c r="K472" s="31"/>
      <c r="L472" s="32" t="str">
        <f>VLOOKUP(D472,'Active Employees'!$B$2:$B$498,1,false)</f>
        <v>#N/A</v>
      </c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</row>
    <row r="473">
      <c r="A473" s="37" t="s">
        <v>1522</v>
      </c>
      <c r="B473" s="31" t="s">
        <v>1547</v>
      </c>
      <c r="C473" s="31" t="s">
        <v>1548</v>
      </c>
      <c r="D473" s="31" t="s">
        <v>1860</v>
      </c>
      <c r="E473" s="31" t="s">
        <v>1861</v>
      </c>
      <c r="F473" s="31" t="s">
        <v>1481</v>
      </c>
      <c r="G473" s="31" t="s">
        <v>1528</v>
      </c>
      <c r="H473" s="32" t="s">
        <v>1469</v>
      </c>
      <c r="I473" s="31"/>
      <c r="J473" s="31"/>
      <c r="K473" s="31"/>
      <c r="L473" s="32" t="str">
        <f>VLOOKUP(D473,'Active Employees'!$B$2:$B$498,1,false)</f>
        <v>#N/A</v>
      </c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</row>
    <row r="474">
      <c r="A474" s="37" t="s">
        <v>1570</v>
      </c>
      <c r="B474" s="31" t="s">
        <v>1523</v>
      </c>
      <c r="C474" s="31" t="s">
        <v>1524</v>
      </c>
      <c r="D474" s="31" t="s">
        <v>1317</v>
      </c>
      <c r="E474" s="31" t="s">
        <v>1861</v>
      </c>
      <c r="F474" s="31" t="s">
        <v>1541</v>
      </c>
      <c r="G474" s="31" t="s">
        <v>1528</v>
      </c>
      <c r="H474" s="32" t="s">
        <v>1469</v>
      </c>
      <c r="I474" s="31"/>
      <c r="J474" s="31"/>
      <c r="K474" s="31"/>
      <c r="L474" s="32" t="str">
        <f>VLOOKUP(D474,'Active Employees'!$B$2:$B$498,1,false)</f>
        <v>jeffrey.strauss@docker.com</v>
      </c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</row>
    <row r="475">
      <c r="A475" s="37" t="s">
        <v>1522</v>
      </c>
      <c r="B475" s="31" t="s">
        <v>1523</v>
      </c>
      <c r="C475" s="31" t="s">
        <v>1524</v>
      </c>
      <c r="D475" s="31" t="s">
        <v>1862</v>
      </c>
      <c r="E475" s="31" t="s">
        <v>1863</v>
      </c>
      <c r="F475" s="31" t="s">
        <v>1564</v>
      </c>
      <c r="G475" s="31" t="s">
        <v>1528</v>
      </c>
      <c r="H475" s="32" t="s">
        <v>1469</v>
      </c>
      <c r="I475" s="31"/>
      <c r="J475" s="31"/>
      <c r="K475" s="31"/>
      <c r="L475" s="32" t="str">
        <f>VLOOKUP(D475,'Active Employees'!$B$2:$B$498,1,false)</f>
        <v>#N/A</v>
      </c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</row>
    <row r="476">
      <c r="A476" s="37" t="s">
        <v>1522</v>
      </c>
      <c r="B476" s="31" t="s">
        <v>1523</v>
      </c>
      <c r="C476" s="31" t="s">
        <v>1524</v>
      </c>
      <c r="D476" s="31" t="s">
        <v>1862</v>
      </c>
      <c r="E476" s="31" t="s">
        <v>1863</v>
      </c>
      <c r="F476" s="31" t="s">
        <v>1575</v>
      </c>
      <c r="G476" s="31" t="s">
        <v>1528</v>
      </c>
      <c r="H476" s="32" t="s">
        <v>1469</v>
      </c>
      <c r="I476" s="31"/>
      <c r="J476" s="31"/>
      <c r="K476" s="31"/>
      <c r="L476" s="32" t="str">
        <f>VLOOKUP(D476,'Active Employees'!$B$2:$B$498,1,false)</f>
        <v>#N/A</v>
      </c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</row>
    <row r="477" hidden="1">
      <c r="A477" s="37" t="s">
        <v>1570</v>
      </c>
      <c r="B477" s="31" t="s">
        <v>1547</v>
      </c>
      <c r="C477" s="31" t="s">
        <v>1584</v>
      </c>
      <c r="D477" s="31" t="s">
        <v>386</v>
      </c>
      <c r="E477" s="31" t="s">
        <v>1508</v>
      </c>
      <c r="F477" s="31" t="s">
        <v>1640</v>
      </c>
      <c r="G477" s="31" t="s">
        <v>1528</v>
      </c>
      <c r="H477" s="32" t="s">
        <v>1469</v>
      </c>
      <c r="I477" s="31"/>
      <c r="J477" s="31"/>
      <c r="K477" s="31"/>
      <c r="L477" s="32" t="str">
        <f>VLOOKUP(D477,'Active Employees'!$B$2:$B$498,1,false)</f>
        <v>jim.clark@docker.com</v>
      </c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</row>
    <row r="478" hidden="1">
      <c r="A478" s="37" t="s">
        <v>1522</v>
      </c>
      <c r="B478" s="31" t="s">
        <v>1547</v>
      </c>
      <c r="C478" s="31" t="s">
        <v>1566</v>
      </c>
      <c r="D478" s="31" t="s">
        <v>1864</v>
      </c>
      <c r="E478" s="31" t="s">
        <v>1865</v>
      </c>
      <c r="F478" s="31" t="s">
        <v>1611</v>
      </c>
      <c r="G478" s="31" t="s">
        <v>1612</v>
      </c>
      <c r="H478" s="32" t="s">
        <v>1469</v>
      </c>
      <c r="I478" s="31"/>
      <c r="J478" s="31"/>
      <c r="K478" s="31"/>
      <c r="L478" s="32" t="str">
        <f>VLOOKUP(D478,'Active Employees'!$B$2:$B$498,1,false)</f>
        <v>#N/A</v>
      </c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</row>
    <row r="479">
      <c r="A479" s="37" t="s">
        <v>1522</v>
      </c>
      <c r="B479" s="31" t="s">
        <v>1523</v>
      </c>
      <c r="C479" s="31" t="s">
        <v>1524</v>
      </c>
      <c r="D479" s="31" t="s">
        <v>1866</v>
      </c>
      <c r="E479" s="31" t="s">
        <v>1867</v>
      </c>
      <c r="F479" s="31" t="s">
        <v>1541</v>
      </c>
      <c r="G479" s="31" t="s">
        <v>1528</v>
      </c>
      <c r="H479" s="32" t="s">
        <v>1469</v>
      </c>
      <c r="I479" s="31"/>
      <c r="J479" s="31"/>
      <c r="K479" s="31"/>
      <c r="L479" s="32" t="str">
        <f>VLOOKUP(D479,'Active Employees'!$B$2:$B$498,1,false)</f>
        <v>#N/A</v>
      </c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</row>
    <row r="480">
      <c r="A480" s="37" t="s">
        <v>1522</v>
      </c>
      <c r="B480" s="31" t="s">
        <v>1523</v>
      </c>
      <c r="C480" s="31" t="s">
        <v>1524</v>
      </c>
      <c r="D480" s="31" t="s">
        <v>1866</v>
      </c>
      <c r="E480" s="31" t="s">
        <v>1867</v>
      </c>
      <c r="F480" s="31" t="s">
        <v>1600</v>
      </c>
      <c r="G480" s="31" t="s">
        <v>1528</v>
      </c>
      <c r="H480" s="32" t="s">
        <v>1469</v>
      </c>
      <c r="I480" s="31"/>
      <c r="J480" s="31"/>
      <c r="K480" s="31"/>
      <c r="L480" s="32" t="str">
        <f>VLOOKUP(D480,'Active Employees'!$B$2:$B$498,1,false)</f>
        <v>#N/A</v>
      </c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</row>
    <row r="481">
      <c r="A481" s="37" t="s">
        <v>1522</v>
      </c>
      <c r="B481" s="31" t="s">
        <v>1547</v>
      </c>
      <c r="C481" s="31" t="s">
        <v>1558</v>
      </c>
      <c r="D481" s="31" t="s">
        <v>1866</v>
      </c>
      <c r="E481" s="31" t="s">
        <v>1867</v>
      </c>
      <c r="F481" s="31" t="s">
        <v>1683</v>
      </c>
      <c r="G481" s="31" t="s">
        <v>1612</v>
      </c>
      <c r="H481" s="32" t="s">
        <v>1469</v>
      </c>
      <c r="I481" s="31"/>
      <c r="J481" s="31"/>
      <c r="K481" s="31"/>
      <c r="L481" s="32" t="str">
        <f>VLOOKUP(D481,'Active Employees'!$B$2:$B$498,1,false)</f>
        <v>#N/A</v>
      </c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</row>
    <row r="482">
      <c r="A482" s="37" t="s">
        <v>1522</v>
      </c>
      <c r="B482" s="31" t="s">
        <v>1547</v>
      </c>
      <c r="C482" s="31" t="s">
        <v>1565</v>
      </c>
      <c r="D482" s="31" t="s">
        <v>1866</v>
      </c>
      <c r="E482" s="31" t="s">
        <v>1867</v>
      </c>
      <c r="F482" s="31" t="s">
        <v>1683</v>
      </c>
      <c r="G482" s="31" t="s">
        <v>1612</v>
      </c>
      <c r="H482" s="32" t="s">
        <v>1469</v>
      </c>
      <c r="I482" s="31"/>
      <c r="J482" s="31"/>
      <c r="K482" s="31"/>
      <c r="L482" s="32" t="str">
        <f>VLOOKUP(D482,'Active Employees'!$B$2:$B$498,1,false)</f>
        <v>#N/A</v>
      </c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</row>
    <row r="483">
      <c r="A483" s="37" t="s">
        <v>1522</v>
      </c>
      <c r="B483" s="31" t="s">
        <v>1547</v>
      </c>
      <c r="C483" s="31" t="s">
        <v>1566</v>
      </c>
      <c r="D483" s="31" t="s">
        <v>1866</v>
      </c>
      <c r="E483" s="31" t="s">
        <v>1867</v>
      </c>
      <c r="F483" s="31" t="s">
        <v>1683</v>
      </c>
      <c r="G483" s="31" t="s">
        <v>1612</v>
      </c>
      <c r="H483" s="32" t="s">
        <v>1469</v>
      </c>
      <c r="I483" s="31"/>
      <c r="J483" s="31"/>
      <c r="K483" s="31"/>
      <c r="L483" s="32" t="str">
        <f>VLOOKUP(D483,'Active Employees'!$B$2:$B$498,1,false)</f>
        <v>#N/A</v>
      </c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</row>
    <row r="484">
      <c r="A484" s="37" t="s">
        <v>1522</v>
      </c>
      <c r="B484" s="31" t="s">
        <v>1547</v>
      </c>
      <c r="C484" s="31" t="s">
        <v>1567</v>
      </c>
      <c r="D484" s="31" t="s">
        <v>1866</v>
      </c>
      <c r="E484" s="31" t="s">
        <v>1867</v>
      </c>
      <c r="F484" s="31" t="s">
        <v>1683</v>
      </c>
      <c r="G484" s="31" t="s">
        <v>1612</v>
      </c>
      <c r="H484" s="32" t="s">
        <v>1469</v>
      </c>
      <c r="I484" s="31"/>
      <c r="J484" s="31"/>
      <c r="K484" s="31"/>
      <c r="L484" s="32" t="str">
        <f>VLOOKUP(D484,'Active Employees'!$B$2:$B$498,1,false)</f>
        <v>#N/A</v>
      </c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</row>
    <row r="485">
      <c r="A485" s="37" t="s">
        <v>1570</v>
      </c>
      <c r="B485" s="31" t="s">
        <v>1523</v>
      </c>
      <c r="C485" s="31" t="s">
        <v>1524</v>
      </c>
      <c r="D485" s="31" t="s">
        <v>495</v>
      </c>
      <c r="E485" s="31" t="s">
        <v>1867</v>
      </c>
      <c r="F485" s="31" t="s">
        <v>1699</v>
      </c>
      <c r="G485" s="31" t="s">
        <v>1612</v>
      </c>
      <c r="H485" s="32" t="s">
        <v>1469</v>
      </c>
      <c r="I485" s="31"/>
      <c r="J485" s="31"/>
      <c r="K485" s="31"/>
      <c r="L485" s="32" t="str">
        <f>VLOOKUP(D485,'Active Employees'!$B$2:$B$498,1,false)</f>
        <v>jonathan.dieu@docker.com</v>
      </c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</row>
    <row r="486">
      <c r="A486" s="37" t="s">
        <v>1570</v>
      </c>
      <c r="B486" s="31" t="s">
        <v>1547</v>
      </c>
      <c r="C486" s="31" t="s">
        <v>1578</v>
      </c>
      <c r="D486" s="31" t="s">
        <v>495</v>
      </c>
      <c r="E486" s="31" t="s">
        <v>1867</v>
      </c>
      <c r="F486" s="31" t="s">
        <v>1700</v>
      </c>
      <c r="G486" s="31" t="s">
        <v>1612</v>
      </c>
      <c r="H486" s="32" t="s">
        <v>1469</v>
      </c>
      <c r="I486" s="31"/>
      <c r="J486" s="31"/>
      <c r="K486" s="31"/>
      <c r="L486" s="32" t="str">
        <f>VLOOKUP(D486,'Active Employees'!$B$2:$B$498,1,false)</f>
        <v>jonathan.dieu@docker.com</v>
      </c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</row>
    <row r="487">
      <c r="A487" s="37" t="s">
        <v>1570</v>
      </c>
      <c r="B487" s="31" t="s">
        <v>1547</v>
      </c>
      <c r="C487" s="31" t="s">
        <v>1579</v>
      </c>
      <c r="D487" s="31" t="s">
        <v>495</v>
      </c>
      <c r="E487" s="31" t="s">
        <v>1867</v>
      </c>
      <c r="F487" s="31" t="s">
        <v>1700</v>
      </c>
      <c r="G487" s="31" t="s">
        <v>1612</v>
      </c>
      <c r="H487" s="32" t="s">
        <v>1469</v>
      </c>
      <c r="I487" s="31"/>
      <c r="J487" s="31"/>
      <c r="K487" s="31"/>
      <c r="L487" s="32" t="str">
        <f>VLOOKUP(D487,'Active Employees'!$B$2:$B$498,1,false)</f>
        <v>jonathan.dieu@docker.com</v>
      </c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</row>
    <row r="488">
      <c r="A488" s="37" t="s">
        <v>1570</v>
      </c>
      <c r="B488" s="31" t="s">
        <v>1547</v>
      </c>
      <c r="C488" s="31" t="s">
        <v>1591</v>
      </c>
      <c r="D488" s="31" t="s">
        <v>495</v>
      </c>
      <c r="E488" s="31" t="s">
        <v>1867</v>
      </c>
      <c r="F488" s="31" t="s">
        <v>1700</v>
      </c>
      <c r="G488" s="31" t="s">
        <v>1612</v>
      </c>
      <c r="H488" s="32" t="s">
        <v>1469</v>
      </c>
      <c r="I488" s="31"/>
      <c r="J488" s="31"/>
      <c r="K488" s="31"/>
      <c r="L488" s="32" t="str">
        <f>VLOOKUP(D488,'Active Employees'!$B$2:$B$498,1,false)</f>
        <v>jonathan.dieu@docker.com</v>
      </c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</row>
    <row r="489">
      <c r="A489" s="37" t="s">
        <v>1570</v>
      </c>
      <c r="B489" s="31" t="s">
        <v>1547</v>
      </c>
      <c r="C489" s="31" t="s">
        <v>1591</v>
      </c>
      <c r="D489" s="31" t="s">
        <v>495</v>
      </c>
      <c r="E489" s="31" t="s">
        <v>1867</v>
      </c>
      <c r="F489" s="31" t="s">
        <v>1703</v>
      </c>
      <c r="G489" s="31" t="s">
        <v>1612</v>
      </c>
      <c r="H489" s="32" t="s">
        <v>1469</v>
      </c>
      <c r="I489" s="31"/>
      <c r="J489" s="31"/>
      <c r="K489" s="31"/>
      <c r="L489" s="32" t="str">
        <f>VLOOKUP(D489,'Active Employees'!$B$2:$B$498,1,false)</f>
        <v>jonathan.dieu@docker.com</v>
      </c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</row>
    <row r="490">
      <c r="A490" s="37" t="s">
        <v>1570</v>
      </c>
      <c r="B490" s="31" t="s">
        <v>1547</v>
      </c>
      <c r="C490" s="31" t="s">
        <v>1592</v>
      </c>
      <c r="D490" s="31" t="s">
        <v>495</v>
      </c>
      <c r="E490" s="31" t="s">
        <v>1867</v>
      </c>
      <c r="F490" s="31" t="s">
        <v>1700</v>
      </c>
      <c r="G490" s="31" t="s">
        <v>1612</v>
      </c>
      <c r="H490" s="32" t="s">
        <v>1469</v>
      </c>
      <c r="I490" s="31"/>
      <c r="J490" s="31"/>
      <c r="K490" s="31"/>
      <c r="L490" s="32" t="str">
        <f>VLOOKUP(D490,'Active Employees'!$B$2:$B$498,1,false)</f>
        <v>jonathan.dieu@docker.com</v>
      </c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</row>
    <row r="491" hidden="1">
      <c r="A491" s="37" t="s">
        <v>1570</v>
      </c>
      <c r="B491" s="31" t="s">
        <v>1547</v>
      </c>
      <c r="C491" s="31" t="s">
        <v>1579</v>
      </c>
      <c r="D491" s="31" t="s">
        <v>1868</v>
      </c>
      <c r="E491" s="31" t="s">
        <v>1869</v>
      </c>
      <c r="F491" s="31" t="s">
        <v>1640</v>
      </c>
      <c r="G491" s="31" t="s">
        <v>1687</v>
      </c>
      <c r="H491" s="32" t="s">
        <v>1469</v>
      </c>
      <c r="I491" s="31"/>
      <c r="J491" s="31"/>
      <c r="K491" s="31"/>
      <c r="L491" s="32" t="str">
        <f>VLOOKUP(D491,'Active Employees'!$B$2:$B$498,1,false)</f>
        <v>#N/A</v>
      </c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</row>
    <row r="492" hidden="1">
      <c r="A492" s="37" t="s">
        <v>1570</v>
      </c>
      <c r="B492" s="31" t="s">
        <v>1547</v>
      </c>
      <c r="C492" s="31" t="s">
        <v>1579</v>
      </c>
      <c r="D492" s="31" t="s">
        <v>1870</v>
      </c>
      <c r="E492" s="31" t="s">
        <v>1871</v>
      </c>
      <c r="F492" s="31" t="s">
        <v>1640</v>
      </c>
      <c r="G492" s="31" t="s">
        <v>1687</v>
      </c>
      <c r="H492" s="32" t="s">
        <v>1469</v>
      </c>
      <c r="I492" s="31"/>
      <c r="J492" s="31"/>
      <c r="K492" s="31"/>
      <c r="L492" s="32" t="str">
        <f>VLOOKUP(D492,'Active Employees'!$B$2:$B$498,1,false)</f>
        <v>#N/A</v>
      </c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</row>
    <row r="493" hidden="1">
      <c r="A493" s="37" t="s">
        <v>1570</v>
      </c>
      <c r="B493" s="31" t="s">
        <v>1547</v>
      </c>
      <c r="C493" s="31" t="s">
        <v>1579</v>
      </c>
      <c r="D493" s="31" t="s">
        <v>1870</v>
      </c>
      <c r="E493" s="31" t="s">
        <v>1871</v>
      </c>
      <c r="F493" s="31" t="s">
        <v>1640</v>
      </c>
      <c r="G493" s="31" t="s">
        <v>1687</v>
      </c>
      <c r="H493" s="32" t="s">
        <v>1469</v>
      </c>
      <c r="I493" s="31"/>
      <c r="J493" s="31"/>
      <c r="K493" s="31"/>
      <c r="L493" s="32" t="str">
        <f>VLOOKUP(D493,'Active Employees'!$B$2:$B$498,1,false)</f>
        <v>#N/A</v>
      </c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</row>
    <row r="494">
      <c r="A494" s="37" t="s">
        <v>1570</v>
      </c>
      <c r="B494" s="31" t="s">
        <v>1547</v>
      </c>
      <c r="C494" s="31" t="s">
        <v>1592</v>
      </c>
      <c r="D494" s="31" t="s">
        <v>495</v>
      </c>
      <c r="E494" s="31" t="s">
        <v>1867</v>
      </c>
      <c r="F494" s="31" t="s">
        <v>1703</v>
      </c>
      <c r="G494" s="31" t="s">
        <v>1612</v>
      </c>
      <c r="H494" s="32" t="s">
        <v>1469</v>
      </c>
      <c r="I494" s="31"/>
      <c r="J494" s="31"/>
      <c r="K494" s="31"/>
      <c r="L494" s="32" t="str">
        <f>VLOOKUP(D494,'Active Employees'!$B$2:$B$498,1,false)</f>
        <v>jonathan.dieu@docker.com</v>
      </c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</row>
    <row r="495">
      <c r="A495" s="37" t="s">
        <v>1570</v>
      </c>
      <c r="B495" s="31" t="s">
        <v>1547</v>
      </c>
      <c r="C495" s="31" t="s">
        <v>1593</v>
      </c>
      <c r="D495" s="31" t="s">
        <v>495</v>
      </c>
      <c r="E495" s="31" t="s">
        <v>1867</v>
      </c>
      <c r="F495" s="31" t="s">
        <v>1704</v>
      </c>
      <c r="G495" s="31" t="s">
        <v>1612</v>
      </c>
      <c r="H495" s="32" t="s">
        <v>1469</v>
      </c>
      <c r="I495" s="31"/>
      <c r="J495" s="31"/>
      <c r="K495" s="31"/>
      <c r="L495" s="32" t="str">
        <f>VLOOKUP(D495,'Active Employees'!$B$2:$B$498,1,false)</f>
        <v>jonathan.dieu@docker.com</v>
      </c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</row>
    <row r="496" hidden="1">
      <c r="A496" s="37" t="s">
        <v>1522</v>
      </c>
      <c r="B496" s="31" t="s">
        <v>1547</v>
      </c>
      <c r="C496" s="31" t="s">
        <v>1565</v>
      </c>
      <c r="D496" s="31" t="s">
        <v>1872</v>
      </c>
      <c r="E496" s="31" t="s">
        <v>1873</v>
      </c>
      <c r="F496" s="31" t="s">
        <v>1640</v>
      </c>
      <c r="G496" s="31" t="s">
        <v>1528</v>
      </c>
      <c r="H496" s="32" t="s">
        <v>1469</v>
      </c>
      <c r="I496" s="31"/>
      <c r="J496" s="31"/>
      <c r="K496" s="31"/>
      <c r="L496" s="32" t="str">
        <f>VLOOKUP(D496,'Active Employees'!$B$2:$B$498,1,false)</f>
        <v>#N/A</v>
      </c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</row>
    <row r="497">
      <c r="A497" s="37" t="s">
        <v>1522</v>
      </c>
      <c r="B497" s="31" t="s">
        <v>1523</v>
      </c>
      <c r="C497" s="31" t="s">
        <v>1524</v>
      </c>
      <c r="D497" s="31" t="s">
        <v>1874</v>
      </c>
      <c r="E497" s="31" t="s">
        <v>1875</v>
      </c>
      <c r="F497" s="31" t="s">
        <v>1550</v>
      </c>
      <c r="G497" s="31" t="s">
        <v>1528</v>
      </c>
      <c r="H497" s="32" t="s">
        <v>1469</v>
      </c>
      <c r="I497" s="31"/>
      <c r="J497" s="31"/>
      <c r="K497" s="31"/>
      <c r="L497" s="32" t="str">
        <f>VLOOKUP(D497,'Active Employees'!$B$2:$B$498,1,false)</f>
        <v>#N/A</v>
      </c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</row>
    <row r="498">
      <c r="A498" s="37" t="s">
        <v>1522</v>
      </c>
      <c r="B498" s="31" t="s">
        <v>1523</v>
      </c>
      <c r="C498" s="31" t="s">
        <v>1524</v>
      </c>
      <c r="D498" s="31" t="s">
        <v>1874</v>
      </c>
      <c r="E498" s="31" t="s">
        <v>1875</v>
      </c>
      <c r="F498" s="31" t="s">
        <v>1585</v>
      </c>
      <c r="G498" s="31" t="s">
        <v>1528</v>
      </c>
      <c r="H498" s="32" t="s">
        <v>1469</v>
      </c>
      <c r="I498" s="31"/>
      <c r="J498" s="31"/>
      <c r="K498" s="31"/>
      <c r="L498" s="32" t="str">
        <f>VLOOKUP(D498,'Active Employees'!$B$2:$B$498,1,false)</f>
        <v>#N/A</v>
      </c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</row>
    <row r="499">
      <c r="A499" s="37" t="s">
        <v>1522</v>
      </c>
      <c r="B499" s="31" t="s">
        <v>1523</v>
      </c>
      <c r="C499" s="31" t="s">
        <v>1524</v>
      </c>
      <c r="D499" s="31" t="s">
        <v>1874</v>
      </c>
      <c r="E499" s="31" t="s">
        <v>1875</v>
      </c>
      <c r="F499" s="31" t="s">
        <v>1641</v>
      </c>
      <c r="G499" s="31" t="s">
        <v>1528</v>
      </c>
      <c r="H499" s="32" t="s">
        <v>1469</v>
      </c>
      <c r="I499" s="31"/>
      <c r="J499" s="31"/>
      <c r="K499" s="31"/>
      <c r="L499" s="32" t="str">
        <f>VLOOKUP(D499,'Active Employees'!$B$2:$B$498,1,false)</f>
        <v>#N/A</v>
      </c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</row>
    <row r="500" hidden="1">
      <c r="A500" s="37" t="s">
        <v>1522</v>
      </c>
      <c r="B500" s="31" t="s">
        <v>1547</v>
      </c>
      <c r="C500" s="31" t="s">
        <v>1558</v>
      </c>
      <c r="D500" s="31" t="s">
        <v>1874</v>
      </c>
      <c r="E500" s="31" t="s">
        <v>1875</v>
      </c>
      <c r="F500" s="31" t="s">
        <v>1630</v>
      </c>
      <c r="G500" s="31" t="s">
        <v>1612</v>
      </c>
      <c r="H500" s="32" t="s">
        <v>1469</v>
      </c>
      <c r="I500" s="31"/>
      <c r="J500" s="31"/>
      <c r="K500" s="31"/>
      <c r="L500" s="32" t="str">
        <f>VLOOKUP(D500,'Active Employees'!$B$2:$B$498,1,false)</f>
        <v>#N/A</v>
      </c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</row>
    <row r="501" hidden="1">
      <c r="A501" s="37" t="s">
        <v>1522</v>
      </c>
      <c r="B501" s="31" t="s">
        <v>1547</v>
      </c>
      <c r="C501" s="31" t="s">
        <v>1559</v>
      </c>
      <c r="D501" s="31" t="s">
        <v>1874</v>
      </c>
      <c r="E501" s="31" t="s">
        <v>1875</v>
      </c>
      <c r="F501" s="31" t="s">
        <v>1718</v>
      </c>
      <c r="G501" s="31" t="s">
        <v>1612</v>
      </c>
      <c r="H501" s="32" t="s">
        <v>1469</v>
      </c>
      <c r="I501" s="31"/>
      <c r="J501" s="31"/>
      <c r="K501" s="31"/>
      <c r="L501" s="32" t="str">
        <f>VLOOKUP(D501,'Active Employees'!$B$2:$B$498,1,false)</f>
        <v>#N/A</v>
      </c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</row>
    <row r="502">
      <c r="A502" s="37" t="s">
        <v>1522</v>
      </c>
      <c r="B502" s="31" t="s">
        <v>1547</v>
      </c>
      <c r="C502" s="31" t="s">
        <v>1559</v>
      </c>
      <c r="D502" s="31" t="s">
        <v>1874</v>
      </c>
      <c r="E502" s="31" t="s">
        <v>1875</v>
      </c>
      <c r="F502" s="31" t="s">
        <v>1719</v>
      </c>
      <c r="G502" s="31" t="s">
        <v>1612</v>
      </c>
      <c r="H502" s="32" t="s">
        <v>1469</v>
      </c>
      <c r="I502" s="31"/>
      <c r="J502" s="31"/>
      <c r="K502" s="31"/>
      <c r="L502" s="32" t="str">
        <f>VLOOKUP(D502,'Active Employees'!$B$2:$B$498,1,false)</f>
        <v>#N/A</v>
      </c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</row>
    <row r="503">
      <c r="A503" s="37" t="s">
        <v>1522</v>
      </c>
      <c r="B503" s="31" t="s">
        <v>1547</v>
      </c>
      <c r="C503" s="31" t="s">
        <v>1565</v>
      </c>
      <c r="D503" s="31" t="s">
        <v>1874</v>
      </c>
      <c r="E503" s="31" t="s">
        <v>1875</v>
      </c>
      <c r="F503" s="31" t="s">
        <v>1634</v>
      </c>
      <c r="G503" s="31" t="s">
        <v>1612</v>
      </c>
      <c r="H503" s="32" t="s">
        <v>1469</v>
      </c>
      <c r="I503" s="31"/>
      <c r="J503" s="31"/>
      <c r="K503" s="31"/>
      <c r="L503" s="32" t="str">
        <f>VLOOKUP(D503,'Active Employees'!$B$2:$B$498,1,false)</f>
        <v>#N/A</v>
      </c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</row>
    <row r="504" hidden="1">
      <c r="A504" s="37" t="s">
        <v>1522</v>
      </c>
      <c r="B504" s="31" t="s">
        <v>1547</v>
      </c>
      <c r="C504" s="31" t="s">
        <v>1565</v>
      </c>
      <c r="D504" s="31" t="s">
        <v>1874</v>
      </c>
      <c r="E504" s="31" t="s">
        <v>1875</v>
      </c>
      <c r="F504" s="31" t="s">
        <v>1630</v>
      </c>
      <c r="G504" s="31" t="s">
        <v>1612</v>
      </c>
      <c r="H504" s="32" t="s">
        <v>1469</v>
      </c>
      <c r="I504" s="31"/>
      <c r="J504" s="31"/>
      <c r="K504" s="31"/>
      <c r="L504" s="32" t="str">
        <f>VLOOKUP(D504,'Active Employees'!$B$2:$B$498,1,false)</f>
        <v>#N/A</v>
      </c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</row>
    <row r="505" hidden="1">
      <c r="A505" s="37" t="s">
        <v>1522</v>
      </c>
      <c r="B505" s="31" t="s">
        <v>1547</v>
      </c>
      <c r="C505" s="31" t="s">
        <v>1566</v>
      </c>
      <c r="D505" s="31" t="s">
        <v>1876</v>
      </c>
      <c r="E505" s="31" t="s">
        <v>1877</v>
      </c>
      <c r="F505" s="31" t="s">
        <v>1611</v>
      </c>
      <c r="G505" s="31" t="s">
        <v>1612</v>
      </c>
      <c r="H505" s="32" t="s">
        <v>1469</v>
      </c>
      <c r="I505" s="31"/>
      <c r="J505" s="31"/>
      <c r="K505" s="31"/>
      <c r="L505" s="32" t="str">
        <f>VLOOKUP(D505,'Active Employees'!$B$2:$B$498,1,false)</f>
        <v>#N/A</v>
      </c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</row>
    <row r="506" hidden="1">
      <c r="A506" s="37" t="s">
        <v>1570</v>
      </c>
      <c r="B506" s="31" t="s">
        <v>1547</v>
      </c>
      <c r="C506" s="31" t="s">
        <v>1577</v>
      </c>
      <c r="D506" s="31" t="s">
        <v>1431</v>
      </c>
      <c r="E506" s="31" t="s">
        <v>1878</v>
      </c>
      <c r="F506" s="31" t="s">
        <v>1709</v>
      </c>
      <c r="G506" s="31" t="s">
        <v>1612</v>
      </c>
      <c r="H506" s="32" t="s">
        <v>1469</v>
      </c>
      <c r="I506" s="31"/>
      <c r="J506" s="31"/>
      <c r="K506" s="31"/>
      <c r="L506" s="32" t="str">
        <f>VLOOKUP(D506,'Active Employees'!$B$2:$B$498,1,false)</f>
        <v>kevin.wittek@docker.com</v>
      </c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</row>
    <row r="507">
      <c r="A507" s="37" t="s">
        <v>1570</v>
      </c>
      <c r="B507" s="31" t="s">
        <v>1547</v>
      </c>
      <c r="C507" s="31" t="s">
        <v>1593</v>
      </c>
      <c r="D507" s="31" t="s">
        <v>1431</v>
      </c>
      <c r="E507" s="31" t="s">
        <v>1878</v>
      </c>
      <c r="F507" s="31" t="s">
        <v>1481</v>
      </c>
      <c r="G507" s="31" t="s">
        <v>1528</v>
      </c>
      <c r="H507" s="32" t="s">
        <v>1469</v>
      </c>
      <c r="I507" s="31"/>
      <c r="J507" s="31"/>
      <c r="K507" s="31"/>
      <c r="L507" s="32" t="str">
        <f>VLOOKUP(D507,'Active Employees'!$B$2:$B$498,1,false)</f>
        <v>kevin.wittek@docker.com</v>
      </c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</row>
    <row r="508" hidden="1">
      <c r="A508" s="37" t="s">
        <v>1570</v>
      </c>
      <c r="B508" s="31" t="s">
        <v>1547</v>
      </c>
      <c r="C508" s="31" t="s">
        <v>1579</v>
      </c>
      <c r="D508" s="31" t="s">
        <v>1868</v>
      </c>
      <c r="E508" s="31" t="s">
        <v>1869</v>
      </c>
      <c r="F508" s="31" t="s">
        <v>1549</v>
      </c>
      <c r="G508" s="31" t="s">
        <v>1687</v>
      </c>
      <c r="H508" s="32" t="s">
        <v>1469</v>
      </c>
      <c r="I508" s="31"/>
      <c r="J508" s="31"/>
      <c r="K508" s="31"/>
      <c r="L508" s="32" t="str">
        <f>VLOOKUP(D508,'Active Employees'!$B$2:$B$498,1,false)</f>
        <v>#N/A</v>
      </c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</row>
    <row r="509" hidden="1">
      <c r="A509" s="37" t="s">
        <v>1570</v>
      </c>
      <c r="B509" s="31" t="s">
        <v>1547</v>
      </c>
      <c r="C509" s="31" t="s">
        <v>1579</v>
      </c>
      <c r="D509" s="31" t="s">
        <v>1879</v>
      </c>
      <c r="E509" s="31" t="s">
        <v>1880</v>
      </c>
      <c r="F509" s="31" t="s">
        <v>1640</v>
      </c>
      <c r="G509" s="31" t="s">
        <v>1687</v>
      </c>
      <c r="H509" s="32" t="s">
        <v>1469</v>
      </c>
      <c r="I509" s="31"/>
      <c r="J509" s="31"/>
      <c r="K509" s="31"/>
      <c r="L509" s="32" t="str">
        <f>VLOOKUP(D509,'Active Employees'!$B$2:$B$498,1,false)</f>
        <v>#N/A</v>
      </c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</row>
    <row r="510" hidden="1">
      <c r="A510" s="37" t="s">
        <v>1570</v>
      </c>
      <c r="B510" s="31" t="s">
        <v>1547</v>
      </c>
      <c r="C510" s="31" t="s">
        <v>1593</v>
      </c>
      <c r="D510" s="31" t="s">
        <v>1431</v>
      </c>
      <c r="E510" s="31" t="s">
        <v>1878</v>
      </c>
      <c r="F510" s="31" t="s">
        <v>1640</v>
      </c>
      <c r="G510" s="31" t="s">
        <v>1528</v>
      </c>
      <c r="H510" s="32" t="s">
        <v>1469</v>
      </c>
      <c r="I510" s="31"/>
      <c r="J510" s="31"/>
      <c r="K510" s="31"/>
      <c r="L510" s="32" t="str">
        <f>VLOOKUP(D510,'Active Employees'!$B$2:$B$498,1,false)</f>
        <v>kevin.wittek@docker.com</v>
      </c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</row>
    <row r="511" hidden="1">
      <c r="A511" s="37" t="s">
        <v>1570</v>
      </c>
      <c r="B511" s="31" t="s">
        <v>1547</v>
      </c>
      <c r="C511" s="31" t="s">
        <v>1594</v>
      </c>
      <c r="D511" s="31" t="s">
        <v>975</v>
      </c>
      <c r="E511" s="31" t="s">
        <v>1881</v>
      </c>
      <c r="F511" s="31" t="s">
        <v>1807</v>
      </c>
      <c r="G511" s="31" t="s">
        <v>1612</v>
      </c>
      <c r="H511" s="32" t="s">
        <v>1469</v>
      </c>
      <c r="I511" s="31"/>
      <c r="J511" s="31"/>
      <c r="K511" s="31"/>
      <c r="L511" s="32" t="str">
        <f>VLOOKUP(D511,'Active Employees'!$B$2:$B$498,1,false)</f>
        <v>kirill.merkushev@docker.com</v>
      </c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</row>
    <row r="512">
      <c r="A512" s="37" t="s">
        <v>1570</v>
      </c>
      <c r="B512" s="31" t="s">
        <v>1547</v>
      </c>
      <c r="C512" s="31" t="s">
        <v>1594</v>
      </c>
      <c r="D512" s="31" t="s">
        <v>975</v>
      </c>
      <c r="E512" s="31" t="s">
        <v>1881</v>
      </c>
      <c r="F512" s="31" t="s">
        <v>1810</v>
      </c>
      <c r="G512" s="31" t="s">
        <v>1612</v>
      </c>
      <c r="H512" s="32" t="s">
        <v>1469</v>
      </c>
      <c r="I512" s="31"/>
      <c r="J512" s="31"/>
      <c r="K512" s="31"/>
      <c r="L512" s="32" t="str">
        <f>VLOOKUP(D512,'Active Employees'!$B$2:$B$498,1,false)</f>
        <v>kirill.merkushev@docker.com</v>
      </c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</row>
    <row r="513" hidden="1">
      <c r="A513" s="37" t="s">
        <v>1522</v>
      </c>
      <c r="B513" s="31" t="s">
        <v>1547</v>
      </c>
      <c r="C513" s="31" t="s">
        <v>1565</v>
      </c>
      <c r="D513" s="31" t="s">
        <v>1882</v>
      </c>
      <c r="E513" s="31" t="s">
        <v>1883</v>
      </c>
      <c r="F513" s="31" t="s">
        <v>1884</v>
      </c>
      <c r="G513" s="31" t="s">
        <v>1612</v>
      </c>
      <c r="H513" s="32" t="s">
        <v>1469</v>
      </c>
      <c r="I513" s="31"/>
      <c r="J513" s="31"/>
      <c r="K513" s="31"/>
      <c r="L513" s="32" t="str">
        <f>VLOOKUP(D513,'Active Employees'!$B$2:$B$498,1,false)</f>
        <v>#N/A</v>
      </c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</row>
    <row r="514" hidden="1">
      <c r="A514" s="37" t="s">
        <v>1570</v>
      </c>
      <c r="B514" s="31" t="s">
        <v>1547</v>
      </c>
      <c r="C514" s="31" t="s">
        <v>1578</v>
      </c>
      <c r="D514" s="31" t="s">
        <v>1380</v>
      </c>
      <c r="E514" s="31" t="s">
        <v>1883</v>
      </c>
      <c r="F514" s="31" t="s">
        <v>1734</v>
      </c>
      <c r="G514" s="31" t="s">
        <v>1612</v>
      </c>
      <c r="H514" s="32" t="s">
        <v>1469</v>
      </c>
      <c r="I514" s="31"/>
      <c r="J514" s="31"/>
      <c r="K514" s="31"/>
      <c r="L514" s="32" t="str">
        <f>VLOOKUP(D514,'Active Employees'!$B$2:$B$498,1,false)</f>
        <v>kyle.trantham@docker.com</v>
      </c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</row>
    <row r="515">
      <c r="A515" s="37" t="s">
        <v>1570</v>
      </c>
      <c r="B515" s="31" t="s">
        <v>1547</v>
      </c>
      <c r="C515" s="31" t="s">
        <v>1579</v>
      </c>
      <c r="D515" s="31" t="s">
        <v>1380</v>
      </c>
      <c r="E515" s="31" t="s">
        <v>1883</v>
      </c>
      <c r="F515" s="31" t="s">
        <v>1736</v>
      </c>
      <c r="G515" s="31" t="s">
        <v>1612</v>
      </c>
      <c r="H515" s="32" t="s">
        <v>1469</v>
      </c>
      <c r="I515" s="31"/>
      <c r="J515" s="31"/>
      <c r="K515" s="31"/>
      <c r="L515" s="32" t="str">
        <f>VLOOKUP(D515,'Active Employees'!$B$2:$B$498,1,false)</f>
        <v>kyle.trantham@docker.com</v>
      </c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</row>
    <row r="516" hidden="1">
      <c r="A516" s="37" t="s">
        <v>1570</v>
      </c>
      <c r="B516" s="31" t="s">
        <v>1547</v>
      </c>
      <c r="C516" s="31" t="s">
        <v>1579</v>
      </c>
      <c r="D516" s="31" t="s">
        <v>1380</v>
      </c>
      <c r="E516" s="31" t="s">
        <v>1883</v>
      </c>
      <c r="F516" s="31" t="s">
        <v>1734</v>
      </c>
      <c r="G516" s="31" t="s">
        <v>1612</v>
      </c>
      <c r="H516" s="32" t="s">
        <v>1469</v>
      </c>
      <c r="I516" s="31"/>
      <c r="J516" s="31"/>
      <c r="K516" s="31"/>
      <c r="L516" s="32" t="str">
        <f>VLOOKUP(D516,'Active Employees'!$B$2:$B$498,1,false)</f>
        <v>kyle.trantham@docker.com</v>
      </c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</row>
    <row r="517" hidden="1">
      <c r="A517" s="37" t="s">
        <v>1570</v>
      </c>
      <c r="B517" s="31" t="s">
        <v>1547</v>
      </c>
      <c r="C517" s="31" t="s">
        <v>1588</v>
      </c>
      <c r="D517" s="31" t="s">
        <v>1380</v>
      </c>
      <c r="E517" s="31" t="s">
        <v>1883</v>
      </c>
      <c r="F517" s="31" t="s">
        <v>1734</v>
      </c>
      <c r="G517" s="31" t="s">
        <v>1612</v>
      </c>
      <c r="H517" s="32" t="s">
        <v>1469</v>
      </c>
      <c r="I517" s="31"/>
      <c r="J517" s="31"/>
      <c r="K517" s="31"/>
      <c r="L517" s="32" t="str">
        <f>VLOOKUP(D517,'Active Employees'!$B$2:$B$498,1,false)</f>
        <v>kyle.trantham@docker.com</v>
      </c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</row>
    <row r="518" hidden="1">
      <c r="A518" s="37" t="s">
        <v>1570</v>
      </c>
      <c r="B518" s="31" t="s">
        <v>1547</v>
      </c>
      <c r="C518" s="31" t="s">
        <v>1589</v>
      </c>
      <c r="D518" s="31" t="s">
        <v>1380</v>
      </c>
      <c r="E518" s="31" t="s">
        <v>1883</v>
      </c>
      <c r="F518" s="31" t="s">
        <v>1734</v>
      </c>
      <c r="G518" s="31" t="s">
        <v>1612</v>
      </c>
      <c r="H518" s="32" t="s">
        <v>1469</v>
      </c>
      <c r="I518" s="31"/>
      <c r="J518" s="31"/>
      <c r="K518" s="31"/>
      <c r="L518" s="32" t="str">
        <f>VLOOKUP(D518,'Active Employees'!$B$2:$B$498,1,false)</f>
        <v>kyle.trantham@docker.com</v>
      </c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</row>
    <row r="519" hidden="1">
      <c r="A519" s="37" t="s">
        <v>1570</v>
      </c>
      <c r="B519" s="31" t="s">
        <v>1547</v>
      </c>
      <c r="C519" s="31" t="s">
        <v>1590</v>
      </c>
      <c r="D519" s="31" t="s">
        <v>1380</v>
      </c>
      <c r="E519" s="31" t="s">
        <v>1883</v>
      </c>
      <c r="F519" s="31" t="s">
        <v>1734</v>
      </c>
      <c r="G519" s="31" t="s">
        <v>1612</v>
      </c>
      <c r="H519" s="32" t="s">
        <v>1469</v>
      </c>
      <c r="I519" s="31"/>
      <c r="J519" s="31"/>
      <c r="K519" s="31"/>
      <c r="L519" s="32" t="str">
        <f>VLOOKUP(D519,'Active Employees'!$B$2:$B$498,1,false)</f>
        <v>kyle.trantham@docker.com</v>
      </c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</row>
    <row r="520">
      <c r="A520" s="37" t="s">
        <v>1570</v>
      </c>
      <c r="B520" s="31" t="s">
        <v>1547</v>
      </c>
      <c r="C520" s="31" t="s">
        <v>1591</v>
      </c>
      <c r="D520" s="31" t="s">
        <v>1380</v>
      </c>
      <c r="E520" s="31" t="s">
        <v>1883</v>
      </c>
      <c r="F520" s="31" t="s">
        <v>1736</v>
      </c>
      <c r="G520" s="31" t="s">
        <v>1612</v>
      </c>
      <c r="H520" s="32" t="s">
        <v>1469</v>
      </c>
      <c r="I520" s="31"/>
      <c r="J520" s="31"/>
      <c r="K520" s="31"/>
      <c r="L520" s="32" t="str">
        <f>VLOOKUP(D520,'Active Employees'!$B$2:$B$498,1,false)</f>
        <v>kyle.trantham@docker.com</v>
      </c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</row>
    <row r="521" hidden="1">
      <c r="A521" s="37" t="s">
        <v>1570</v>
      </c>
      <c r="B521" s="31" t="s">
        <v>1547</v>
      </c>
      <c r="C521" s="31" t="s">
        <v>1591</v>
      </c>
      <c r="D521" s="31" t="s">
        <v>1380</v>
      </c>
      <c r="E521" s="31" t="s">
        <v>1883</v>
      </c>
      <c r="F521" s="31" t="s">
        <v>1734</v>
      </c>
      <c r="G521" s="31" t="s">
        <v>1612</v>
      </c>
      <c r="H521" s="32" t="s">
        <v>1469</v>
      </c>
      <c r="I521" s="31"/>
      <c r="J521" s="31"/>
      <c r="K521" s="31"/>
      <c r="L521" s="32" t="str">
        <f>VLOOKUP(D521,'Active Employees'!$B$2:$B$498,1,false)</f>
        <v>kyle.trantham@docker.com</v>
      </c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</row>
    <row r="522">
      <c r="A522" s="37" t="s">
        <v>1570</v>
      </c>
      <c r="B522" s="31" t="s">
        <v>1547</v>
      </c>
      <c r="C522" s="31" t="s">
        <v>1592</v>
      </c>
      <c r="D522" s="31" t="s">
        <v>1380</v>
      </c>
      <c r="E522" s="31" t="s">
        <v>1883</v>
      </c>
      <c r="F522" s="31" t="s">
        <v>1736</v>
      </c>
      <c r="G522" s="31" t="s">
        <v>1612</v>
      </c>
      <c r="H522" s="32" t="s">
        <v>1469</v>
      </c>
      <c r="I522" s="31"/>
      <c r="J522" s="31"/>
      <c r="K522" s="31"/>
      <c r="L522" s="32" t="str">
        <f>VLOOKUP(D522,'Active Employees'!$B$2:$B$498,1,false)</f>
        <v>kyle.trantham@docker.com</v>
      </c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</row>
    <row r="523" hidden="1">
      <c r="A523" s="37" t="s">
        <v>1570</v>
      </c>
      <c r="B523" s="31" t="s">
        <v>1547</v>
      </c>
      <c r="C523" s="31" t="s">
        <v>1592</v>
      </c>
      <c r="D523" s="31" t="s">
        <v>1380</v>
      </c>
      <c r="E523" s="31" t="s">
        <v>1883</v>
      </c>
      <c r="F523" s="31" t="s">
        <v>1734</v>
      </c>
      <c r="G523" s="31" t="s">
        <v>1612</v>
      </c>
      <c r="H523" s="32" t="s">
        <v>1469</v>
      </c>
      <c r="I523" s="31"/>
      <c r="J523" s="31"/>
      <c r="K523" s="31"/>
      <c r="L523" s="32" t="str">
        <f>VLOOKUP(D523,'Active Employees'!$B$2:$B$498,1,false)</f>
        <v>kyle.trantham@docker.com</v>
      </c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</row>
    <row r="524">
      <c r="A524" s="37" t="s">
        <v>1570</v>
      </c>
      <c r="B524" s="31" t="s">
        <v>1547</v>
      </c>
      <c r="C524" s="31" t="s">
        <v>600</v>
      </c>
      <c r="D524" s="31" t="s">
        <v>1380</v>
      </c>
      <c r="E524" s="31" t="s">
        <v>1883</v>
      </c>
      <c r="F524" s="31" t="s">
        <v>1736</v>
      </c>
      <c r="G524" s="31" t="s">
        <v>1612</v>
      </c>
      <c r="H524" s="32" t="s">
        <v>1469</v>
      </c>
      <c r="I524" s="31"/>
      <c r="J524" s="31"/>
      <c r="K524" s="31"/>
      <c r="L524" s="32" t="str">
        <f>VLOOKUP(D524,'Active Employees'!$B$2:$B$498,1,false)</f>
        <v>kyle.trantham@docker.com</v>
      </c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</row>
    <row r="525" hidden="1">
      <c r="A525" s="37" t="s">
        <v>1570</v>
      </c>
      <c r="B525" s="31" t="s">
        <v>1547</v>
      </c>
      <c r="C525" s="31" t="s">
        <v>600</v>
      </c>
      <c r="D525" s="31" t="s">
        <v>1380</v>
      </c>
      <c r="E525" s="31" t="s">
        <v>1883</v>
      </c>
      <c r="F525" s="31" t="s">
        <v>1734</v>
      </c>
      <c r="G525" s="31" t="s">
        <v>1612</v>
      </c>
      <c r="H525" s="32" t="s">
        <v>1469</v>
      </c>
      <c r="I525" s="31"/>
      <c r="J525" s="31"/>
      <c r="K525" s="31"/>
      <c r="L525" s="32" t="str">
        <f>VLOOKUP(D525,'Active Employees'!$B$2:$B$498,1,false)</f>
        <v>kyle.trantham@docker.com</v>
      </c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</row>
    <row r="526" hidden="1">
      <c r="A526" s="37" t="s">
        <v>1570</v>
      </c>
      <c r="B526" s="31" t="s">
        <v>1547</v>
      </c>
      <c r="C526" s="31" t="s">
        <v>1593</v>
      </c>
      <c r="D526" s="31" t="s">
        <v>1380</v>
      </c>
      <c r="E526" s="31" t="s">
        <v>1883</v>
      </c>
      <c r="F526" s="31" t="s">
        <v>1734</v>
      </c>
      <c r="G526" s="31" t="s">
        <v>1612</v>
      </c>
      <c r="H526" s="32" t="s">
        <v>1469</v>
      </c>
      <c r="I526" s="31"/>
      <c r="J526" s="31"/>
      <c r="K526" s="31"/>
      <c r="L526" s="32" t="str">
        <f>VLOOKUP(D526,'Active Employees'!$B$2:$B$498,1,false)</f>
        <v>kyle.trantham@docker.com</v>
      </c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</row>
    <row r="527" hidden="1">
      <c r="A527" s="37" t="s">
        <v>1570</v>
      </c>
      <c r="B527" s="31" t="s">
        <v>1547</v>
      </c>
      <c r="C527" s="31" t="s">
        <v>1594</v>
      </c>
      <c r="D527" s="31" t="s">
        <v>1380</v>
      </c>
      <c r="E527" s="31" t="s">
        <v>1883</v>
      </c>
      <c r="F527" s="31" t="s">
        <v>1734</v>
      </c>
      <c r="G527" s="31" t="s">
        <v>1612</v>
      </c>
      <c r="H527" s="32" t="s">
        <v>1469</v>
      </c>
      <c r="I527" s="31"/>
      <c r="J527" s="31"/>
      <c r="K527" s="31"/>
      <c r="L527" s="32" t="str">
        <f>VLOOKUP(D527,'Active Employees'!$B$2:$B$498,1,false)</f>
        <v>kyle.trantham@docker.com</v>
      </c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</row>
    <row r="528" hidden="1">
      <c r="A528" s="37" t="s">
        <v>1522</v>
      </c>
      <c r="B528" s="31" t="s">
        <v>1547</v>
      </c>
      <c r="C528" s="31" t="s">
        <v>1565</v>
      </c>
      <c r="D528" s="31" t="s">
        <v>1885</v>
      </c>
      <c r="E528" s="31" t="s">
        <v>1886</v>
      </c>
      <c r="F528" s="31" t="s">
        <v>1651</v>
      </c>
      <c r="G528" s="31" t="s">
        <v>1612</v>
      </c>
      <c r="H528" s="32" t="s">
        <v>1469</v>
      </c>
      <c r="I528" s="31"/>
      <c r="J528" s="31"/>
      <c r="K528" s="31"/>
      <c r="L528" s="32" t="str">
        <f>VLOOKUP(D528,'Active Employees'!$B$2:$B$498,1,false)</f>
        <v>#N/A</v>
      </c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</row>
    <row r="529" hidden="1">
      <c r="A529" s="37" t="s">
        <v>1570</v>
      </c>
      <c r="B529" s="31" t="s">
        <v>1547</v>
      </c>
      <c r="C529" s="31" t="s">
        <v>1578</v>
      </c>
      <c r="D529" s="31" t="s">
        <v>1153</v>
      </c>
      <c r="E529" s="31" t="s">
        <v>1887</v>
      </c>
      <c r="F529" s="31" t="s">
        <v>1654</v>
      </c>
      <c r="G529" s="31" t="s">
        <v>1612</v>
      </c>
      <c r="H529" s="32" t="s">
        <v>1469</v>
      </c>
      <c r="I529" s="31"/>
      <c r="J529" s="31"/>
      <c r="K529" s="31"/>
      <c r="L529" s="32" t="str">
        <f>VLOOKUP(D529,'Active Employees'!$B$2:$B$498,1,false)</f>
        <v>lorena.rangel@docker.com</v>
      </c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</row>
    <row r="530">
      <c r="A530" s="37" t="s">
        <v>1570</v>
      </c>
      <c r="B530" s="31" t="s">
        <v>1547</v>
      </c>
      <c r="C530" s="31" t="s">
        <v>1579</v>
      </c>
      <c r="D530" s="31" t="s">
        <v>1153</v>
      </c>
      <c r="E530" s="31" t="s">
        <v>1887</v>
      </c>
      <c r="F530" s="31" t="s">
        <v>1768</v>
      </c>
      <c r="G530" s="31" t="s">
        <v>1612</v>
      </c>
      <c r="H530" s="32" t="s">
        <v>1469</v>
      </c>
      <c r="I530" s="31"/>
      <c r="J530" s="31"/>
      <c r="K530" s="31"/>
      <c r="L530" s="32" t="str">
        <f>VLOOKUP(D530,'Active Employees'!$B$2:$B$498,1,false)</f>
        <v>lorena.rangel@docker.com</v>
      </c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</row>
    <row r="531" hidden="1">
      <c r="A531" s="37" t="s">
        <v>1522</v>
      </c>
      <c r="B531" s="31" t="s">
        <v>1547</v>
      </c>
      <c r="C531" s="31" t="s">
        <v>1558</v>
      </c>
      <c r="D531" s="31" t="s">
        <v>1888</v>
      </c>
      <c r="E531" s="31" t="s">
        <v>1889</v>
      </c>
      <c r="F531" s="31" t="s">
        <v>1734</v>
      </c>
      <c r="G531" s="31" t="s">
        <v>1612</v>
      </c>
      <c r="H531" s="32" t="s">
        <v>1469</v>
      </c>
      <c r="I531" s="31"/>
      <c r="J531" s="31"/>
      <c r="K531" s="31"/>
      <c r="L531" s="32" t="str">
        <f>VLOOKUP(D531,'Active Employees'!$B$2:$B$498,1,false)</f>
        <v>#N/A</v>
      </c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</row>
    <row r="532">
      <c r="A532" s="37" t="s">
        <v>1522</v>
      </c>
      <c r="B532" s="31" t="s">
        <v>1547</v>
      </c>
      <c r="C532" s="31" t="s">
        <v>1558</v>
      </c>
      <c r="D532" s="31" t="s">
        <v>1888</v>
      </c>
      <c r="E532" s="31" t="s">
        <v>1889</v>
      </c>
      <c r="F532" s="31" t="s">
        <v>1736</v>
      </c>
      <c r="G532" s="31" t="s">
        <v>1612</v>
      </c>
      <c r="H532" s="32" t="s">
        <v>1469</v>
      </c>
      <c r="I532" s="31"/>
      <c r="J532" s="31"/>
      <c r="K532" s="31"/>
      <c r="L532" s="32" t="str">
        <f>VLOOKUP(D532,'Active Employees'!$B$2:$B$498,1,false)</f>
        <v>#N/A</v>
      </c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</row>
    <row r="533" hidden="1">
      <c r="A533" s="37" t="s">
        <v>1522</v>
      </c>
      <c r="B533" s="31" t="s">
        <v>1547</v>
      </c>
      <c r="C533" s="31" t="s">
        <v>1565</v>
      </c>
      <c r="D533" s="31" t="s">
        <v>1888</v>
      </c>
      <c r="E533" s="31" t="s">
        <v>1889</v>
      </c>
      <c r="F533" s="31" t="s">
        <v>1734</v>
      </c>
      <c r="G533" s="31" t="s">
        <v>1612</v>
      </c>
      <c r="H533" s="32" t="s">
        <v>1469</v>
      </c>
      <c r="I533" s="31"/>
      <c r="J533" s="31"/>
      <c r="K533" s="31"/>
      <c r="L533" s="32" t="str">
        <f>VLOOKUP(D533,'Active Employees'!$B$2:$B$498,1,false)</f>
        <v>#N/A</v>
      </c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</row>
    <row r="534">
      <c r="A534" s="37" t="s">
        <v>1522</v>
      </c>
      <c r="B534" s="31" t="s">
        <v>1547</v>
      </c>
      <c r="C534" s="31" t="s">
        <v>1565</v>
      </c>
      <c r="D534" s="31" t="s">
        <v>1888</v>
      </c>
      <c r="E534" s="31" t="s">
        <v>1889</v>
      </c>
      <c r="F534" s="31" t="s">
        <v>1736</v>
      </c>
      <c r="G534" s="31" t="s">
        <v>1612</v>
      </c>
      <c r="H534" s="32" t="s">
        <v>1469</v>
      </c>
      <c r="I534" s="31"/>
      <c r="J534" s="31"/>
      <c r="K534" s="31"/>
      <c r="L534" s="32" t="str">
        <f>VLOOKUP(D534,'Active Employees'!$B$2:$B$498,1,false)</f>
        <v>#N/A</v>
      </c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</row>
    <row r="535">
      <c r="A535" s="37" t="s">
        <v>1522</v>
      </c>
      <c r="B535" s="31" t="s">
        <v>1547</v>
      </c>
      <c r="C535" s="31" t="s">
        <v>600</v>
      </c>
      <c r="D535" s="31" t="s">
        <v>1888</v>
      </c>
      <c r="E535" s="31" t="s">
        <v>1889</v>
      </c>
      <c r="F535" s="31" t="s">
        <v>1736</v>
      </c>
      <c r="G535" s="31" t="s">
        <v>1612</v>
      </c>
      <c r="H535" s="32" t="s">
        <v>1469</v>
      </c>
      <c r="I535" s="31"/>
      <c r="J535" s="31"/>
      <c r="K535" s="31"/>
      <c r="L535" s="32" t="str">
        <f>VLOOKUP(D535,'Active Employees'!$B$2:$B$498,1,false)</f>
        <v>#N/A</v>
      </c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</row>
    <row r="536">
      <c r="A536" s="37" t="s">
        <v>1522</v>
      </c>
      <c r="B536" s="31" t="s">
        <v>1547</v>
      </c>
      <c r="C536" s="31" t="s">
        <v>1566</v>
      </c>
      <c r="D536" s="31" t="s">
        <v>1888</v>
      </c>
      <c r="E536" s="31" t="s">
        <v>1889</v>
      </c>
      <c r="F536" s="31" t="s">
        <v>1736</v>
      </c>
      <c r="G536" s="31" t="s">
        <v>1612</v>
      </c>
      <c r="H536" s="32" t="s">
        <v>1469</v>
      </c>
      <c r="I536" s="31"/>
      <c r="J536" s="31"/>
      <c r="K536" s="31"/>
      <c r="L536" s="32" t="str">
        <f>VLOOKUP(D536,'Active Employees'!$B$2:$B$498,1,false)</f>
        <v>#N/A</v>
      </c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</row>
    <row r="537" hidden="1">
      <c r="A537" s="37" t="s">
        <v>1522</v>
      </c>
      <c r="B537" s="31" t="s">
        <v>1547</v>
      </c>
      <c r="C537" s="31" t="s">
        <v>1566</v>
      </c>
      <c r="D537" s="31" t="s">
        <v>1888</v>
      </c>
      <c r="E537" s="31" t="s">
        <v>1889</v>
      </c>
      <c r="F537" s="31" t="s">
        <v>1734</v>
      </c>
      <c r="G537" s="31" t="s">
        <v>1612</v>
      </c>
      <c r="H537" s="32" t="s">
        <v>1469</v>
      </c>
      <c r="I537" s="31"/>
      <c r="J537" s="31"/>
      <c r="K537" s="31"/>
      <c r="L537" s="32" t="str">
        <f>VLOOKUP(D537,'Active Employees'!$B$2:$B$498,1,false)</f>
        <v>#N/A</v>
      </c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</row>
    <row r="538" hidden="1">
      <c r="A538" s="37" t="s">
        <v>1522</v>
      </c>
      <c r="B538" s="31" t="s">
        <v>1547</v>
      </c>
      <c r="C538" s="31" t="s">
        <v>1567</v>
      </c>
      <c r="D538" s="31" t="s">
        <v>1888</v>
      </c>
      <c r="E538" s="31" t="s">
        <v>1889</v>
      </c>
      <c r="F538" s="31" t="s">
        <v>1734</v>
      </c>
      <c r="G538" s="31" t="s">
        <v>1612</v>
      </c>
      <c r="H538" s="32" t="s">
        <v>1469</v>
      </c>
      <c r="I538" s="31"/>
      <c r="J538" s="31"/>
      <c r="K538" s="31"/>
      <c r="L538" s="32" t="str">
        <f>VLOOKUP(D538,'Active Employees'!$B$2:$B$498,1,false)</f>
        <v>#N/A</v>
      </c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</row>
    <row r="539">
      <c r="A539" s="37" t="s">
        <v>1522</v>
      </c>
      <c r="B539" s="31" t="s">
        <v>1547</v>
      </c>
      <c r="C539" s="31" t="s">
        <v>1567</v>
      </c>
      <c r="D539" s="31" t="s">
        <v>1888</v>
      </c>
      <c r="E539" s="31" t="s">
        <v>1889</v>
      </c>
      <c r="F539" s="31" t="s">
        <v>1736</v>
      </c>
      <c r="G539" s="31" t="s">
        <v>1612</v>
      </c>
      <c r="H539" s="32" t="s">
        <v>1469</v>
      </c>
      <c r="I539" s="31"/>
      <c r="J539" s="31"/>
      <c r="K539" s="31"/>
      <c r="L539" s="32" t="str">
        <f>VLOOKUP(D539,'Active Employees'!$B$2:$B$498,1,false)</f>
        <v>#N/A</v>
      </c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</row>
    <row r="540" hidden="1">
      <c r="A540" s="37" t="s">
        <v>1570</v>
      </c>
      <c r="B540" s="31" t="s">
        <v>1547</v>
      </c>
      <c r="C540" s="31" t="s">
        <v>1578</v>
      </c>
      <c r="D540" s="31" t="s">
        <v>673</v>
      </c>
      <c r="E540" s="31" t="s">
        <v>1889</v>
      </c>
      <c r="F540" s="31" t="s">
        <v>1734</v>
      </c>
      <c r="G540" s="31" t="s">
        <v>1612</v>
      </c>
      <c r="H540" s="32" t="s">
        <v>1469</v>
      </c>
      <c r="I540" s="31"/>
      <c r="J540" s="31"/>
      <c r="K540" s="31"/>
      <c r="L540" s="32" t="str">
        <f>VLOOKUP(D540,'Active Employees'!$B$2:$B$498,1,false)</f>
        <v>luca.guerra@docker.com</v>
      </c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</row>
    <row r="541">
      <c r="A541" s="37" t="s">
        <v>1570</v>
      </c>
      <c r="B541" s="31" t="s">
        <v>1547</v>
      </c>
      <c r="C541" s="31" t="s">
        <v>1579</v>
      </c>
      <c r="D541" s="31" t="s">
        <v>673</v>
      </c>
      <c r="E541" s="31" t="s">
        <v>1889</v>
      </c>
      <c r="F541" s="31" t="s">
        <v>1736</v>
      </c>
      <c r="G541" s="31" t="s">
        <v>1612</v>
      </c>
      <c r="H541" s="32" t="s">
        <v>1469</v>
      </c>
      <c r="I541" s="31"/>
      <c r="J541" s="31"/>
      <c r="K541" s="31"/>
      <c r="L541" s="32" t="str">
        <f>VLOOKUP(D541,'Active Employees'!$B$2:$B$498,1,false)</f>
        <v>luca.guerra@docker.com</v>
      </c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</row>
    <row r="542" hidden="1">
      <c r="A542" s="37" t="s">
        <v>1570</v>
      </c>
      <c r="B542" s="31" t="s">
        <v>1547</v>
      </c>
      <c r="C542" s="31" t="s">
        <v>1579</v>
      </c>
      <c r="D542" s="31" t="s">
        <v>673</v>
      </c>
      <c r="E542" s="31" t="s">
        <v>1889</v>
      </c>
      <c r="F542" s="31" t="s">
        <v>1734</v>
      </c>
      <c r="G542" s="31" t="s">
        <v>1612</v>
      </c>
      <c r="H542" s="32" t="s">
        <v>1469</v>
      </c>
      <c r="I542" s="31"/>
      <c r="J542" s="31"/>
      <c r="K542" s="31"/>
      <c r="L542" s="32" t="str">
        <f>VLOOKUP(D542,'Active Employees'!$B$2:$B$498,1,false)</f>
        <v>luca.guerra@docker.com</v>
      </c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</row>
    <row r="543" hidden="1">
      <c r="A543" s="37" t="s">
        <v>1570</v>
      </c>
      <c r="B543" s="31" t="s">
        <v>1547</v>
      </c>
      <c r="C543" s="31" t="s">
        <v>1588</v>
      </c>
      <c r="D543" s="31" t="s">
        <v>673</v>
      </c>
      <c r="E543" s="31" t="s">
        <v>1889</v>
      </c>
      <c r="F543" s="31" t="s">
        <v>1734</v>
      </c>
      <c r="G543" s="31" t="s">
        <v>1612</v>
      </c>
      <c r="H543" s="32" t="s">
        <v>1469</v>
      </c>
      <c r="I543" s="31"/>
      <c r="J543" s="31"/>
      <c r="K543" s="31"/>
      <c r="L543" s="32" t="str">
        <f>VLOOKUP(D543,'Active Employees'!$B$2:$B$498,1,false)</f>
        <v>luca.guerra@docker.com</v>
      </c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</row>
    <row r="544" hidden="1">
      <c r="A544" s="37" t="s">
        <v>1570</v>
      </c>
      <c r="B544" s="31" t="s">
        <v>1547</v>
      </c>
      <c r="C544" s="31" t="s">
        <v>1589</v>
      </c>
      <c r="D544" s="31" t="s">
        <v>673</v>
      </c>
      <c r="E544" s="31" t="s">
        <v>1889</v>
      </c>
      <c r="F544" s="31" t="s">
        <v>1734</v>
      </c>
      <c r="G544" s="31" t="s">
        <v>1612</v>
      </c>
      <c r="H544" s="32" t="s">
        <v>1469</v>
      </c>
      <c r="I544" s="31"/>
      <c r="J544" s="31"/>
      <c r="K544" s="31"/>
      <c r="L544" s="32" t="str">
        <f>VLOOKUP(D544,'Active Employees'!$B$2:$B$498,1,false)</f>
        <v>luca.guerra@docker.com</v>
      </c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</row>
    <row r="545" hidden="1">
      <c r="A545" s="37" t="s">
        <v>1570</v>
      </c>
      <c r="B545" s="31" t="s">
        <v>1547</v>
      </c>
      <c r="C545" s="31" t="s">
        <v>1590</v>
      </c>
      <c r="D545" s="31" t="s">
        <v>673</v>
      </c>
      <c r="E545" s="31" t="s">
        <v>1889</v>
      </c>
      <c r="F545" s="31" t="s">
        <v>1734</v>
      </c>
      <c r="G545" s="31" t="s">
        <v>1612</v>
      </c>
      <c r="H545" s="32" t="s">
        <v>1469</v>
      </c>
      <c r="I545" s="31"/>
      <c r="J545" s="31"/>
      <c r="K545" s="31"/>
      <c r="L545" s="32" t="str">
        <f>VLOOKUP(D545,'Active Employees'!$B$2:$B$498,1,false)</f>
        <v>luca.guerra@docker.com</v>
      </c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</row>
    <row r="546">
      <c r="A546" s="37" t="s">
        <v>1570</v>
      </c>
      <c r="B546" s="31" t="s">
        <v>1547</v>
      </c>
      <c r="C546" s="31" t="s">
        <v>1591</v>
      </c>
      <c r="D546" s="31" t="s">
        <v>673</v>
      </c>
      <c r="E546" s="31" t="s">
        <v>1889</v>
      </c>
      <c r="F546" s="31" t="s">
        <v>1736</v>
      </c>
      <c r="G546" s="31" t="s">
        <v>1612</v>
      </c>
      <c r="H546" s="32" t="s">
        <v>1469</v>
      </c>
      <c r="I546" s="31"/>
      <c r="J546" s="31"/>
      <c r="K546" s="31"/>
      <c r="L546" s="32" t="str">
        <f>VLOOKUP(D546,'Active Employees'!$B$2:$B$498,1,false)</f>
        <v>luca.guerra@docker.com</v>
      </c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</row>
    <row r="547" hidden="1">
      <c r="A547" s="37" t="s">
        <v>1570</v>
      </c>
      <c r="B547" s="31" t="s">
        <v>1547</v>
      </c>
      <c r="C547" s="31" t="s">
        <v>1591</v>
      </c>
      <c r="D547" s="31" t="s">
        <v>673</v>
      </c>
      <c r="E547" s="31" t="s">
        <v>1889</v>
      </c>
      <c r="F547" s="31" t="s">
        <v>1734</v>
      </c>
      <c r="G547" s="31" t="s">
        <v>1612</v>
      </c>
      <c r="H547" s="32" t="s">
        <v>1469</v>
      </c>
      <c r="I547" s="31"/>
      <c r="J547" s="31"/>
      <c r="K547" s="31"/>
      <c r="L547" s="32" t="str">
        <f>VLOOKUP(D547,'Active Employees'!$B$2:$B$498,1,false)</f>
        <v>luca.guerra@docker.com</v>
      </c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</row>
    <row r="548">
      <c r="A548" s="37" t="s">
        <v>1570</v>
      </c>
      <c r="B548" s="31" t="s">
        <v>1547</v>
      </c>
      <c r="C548" s="31" t="s">
        <v>1592</v>
      </c>
      <c r="D548" s="31" t="s">
        <v>673</v>
      </c>
      <c r="E548" s="31" t="s">
        <v>1889</v>
      </c>
      <c r="F548" s="31" t="s">
        <v>1736</v>
      </c>
      <c r="G548" s="31" t="s">
        <v>1612</v>
      </c>
      <c r="H548" s="32" t="s">
        <v>1469</v>
      </c>
      <c r="I548" s="31"/>
      <c r="J548" s="31"/>
      <c r="K548" s="31"/>
      <c r="L548" s="32" t="str">
        <f>VLOOKUP(D548,'Active Employees'!$B$2:$B$498,1,false)</f>
        <v>luca.guerra@docker.com</v>
      </c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</row>
    <row r="549" hidden="1">
      <c r="A549" s="37" t="s">
        <v>1570</v>
      </c>
      <c r="B549" s="31" t="s">
        <v>1547</v>
      </c>
      <c r="C549" s="31" t="s">
        <v>1592</v>
      </c>
      <c r="D549" s="31" t="s">
        <v>673</v>
      </c>
      <c r="E549" s="31" t="s">
        <v>1889</v>
      </c>
      <c r="F549" s="31" t="s">
        <v>1734</v>
      </c>
      <c r="G549" s="31" t="s">
        <v>1612</v>
      </c>
      <c r="H549" s="32" t="s">
        <v>1469</v>
      </c>
      <c r="I549" s="31"/>
      <c r="J549" s="31"/>
      <c r="K549" s="31"/>
      <c r="L549" s="32" t="str">
        <f>VLOOKUP(D549,'Active Employees'!$B$2:$B$498,1,false)</f>
        <v>luca.guerra@docker.com</v>
      </c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</row>
    <row r="550">
      <c r="A550" s="37" t="s">
        <v>1570</v>
      </c>
      <c r="B550" s="31" t="s">
        <v>1547</v>
      </c>
      <c r="C550" s="31" t="s">
        <v>600</v>
      </c>
      <c r="D550" s="31" t="s">
        <v>673</v>
      </c>
      <c r="E550" s="31" t="s">
        <v>1889</v>
      </c>
      <c r="F550" s="31" t="s">
        <v>1736</v>
      </c>
      <c r="G550" s="31" t="s">
        <v>1612</v>
      </c>
      <c r="H550" s="32" t="s">
        <v>1469</v>
      </c>
      <c r="I550" s="31"/>
      <c r="J550" s="31"/>
      <c r="K550" s="31"/>
      <c r="L550" s="32" t="str">
        <f>VLOOKUP(D550,'Active Employees'!$B$2:$B$498,1,false)</f>
        <v>luca.guerra@docker.com</v>
      </c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</row>
    <row r="551" hidden="1">
      <c r="A551" s="37" t="s">
        <v>1570</v>
      </c>
      <c r="B551" s="31" t="s">
        <v>1547</v>
      </c>
      <c r="C551" s="31" t="s">
        <v>600</v>
      </c>
      <c r="D551" s="31" t="s">
        <v>673</v>
      </c>
      <c r="E551" s="31" t="s">
        <v>1889</v>
      </c>
      <c r="F551" s="31" t="s">
        <v>1734</v>
      </c>
      <c r="G551" s="31" t="s">
        <v>1612</v>
      </c>
      <c r="H551" s="32" t="s">
        <v>1469</v>
      </c>
      <c r="I551" s="31"/>
      <c r="J551" s="31"/>
      <c r="K551" s="31"/>
      <c r="L551" s="32" t="str">
        <f>VLOOKUP(D551,'Active Employees'!$B$2:$B$498,1,false)</f>
        <v>luca.guerra@docker.com</v>
      </c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</row>
    <row r="552" hidden="1">
      <c r="A552" s="37" t="s">
        <v>1570</v>
      </c>
      <c r="B552" s="31" t="s">
        <v>1547</v>
      </c>
      <c r="C552" s="31" t="s">
        <v>1593</v>
      </c>
      <c r="D552" s="31" t="s">
        <v>673</v>
      </c>
      <c r="E552" s="31" t="s">
        <v>1889</v>
      </c>
      <c r="F552" s="31" t="s">
        <v>1734</v>
      </c>
      <c r="G552" s="31" t="s">
        <v>1612</v>
      </c>
      <c r="H552" s="32" t="s">
        <v>1469</v>
      </c>
      <c r="I552" s="31"/>
      <c r="J552" s="31"/>
      <c r="K552" s="31"/>
      <c r="L552" s="32" t="str">
        <f>VLOOKUP(D552,'Active Employees'!$B$2:$B$498,1,false)</f>
        <v>luca.guerra@docker.com</v>
      </c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</row>
    <row r="553" hidden="1">
      <c r="A553" s="37" t="s">
        <v>1570</v>
      </c>
      <c r="B553" s="31" t="s">
        <v>1547</v>
      </c>
      <c r="C553" s="31" t="s">
        <v>1594</v>
      </c>
      <c r="D553" s="31" t="s">
        <v>673</v>
      </c>
      <c r="E553" s="31" t="s">
        <v>1889</v>
      </c>
      <c r="F553" s="31" t="s">
        <v>1734</v>
      </c>
      <c r="G553" s="31" t="s">
        <v>1612</v>
      </c>
      <c r="H553" s="32" t="s">
        <v>1469</v>
      </c>
      <c r="I553" s="31"/>
      <c r="J553" s="31"/>
      <c r="K553" s="31"/>
      <c r="L553" s="32" t="str">
        <f>VLOOKUP(D553,'Active Employees'!$B$2:$B$498,1,false)</f>
        <v>luca.guerra@docker.com</v>
      </c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</row>
    <row r="554" hidden="1">
      <c r="A554" s="37" t="s">
        <v>1522</v>
      </c>
      <c r="B554" s="31" t="s">
        <v>1547</v>
      </c>
      <c r="C554" s="31" t="s">
        <v>1565</v>
      </c>
      <c r="D554" s="31" t="s">
        <v>1890</v>
      </c>
      <c r="E554" s="31" t="s">
        <v>1891</v>
      </c>
      <c r="F554" s="31" t="s">
        <v>1640</v>
      </c>
      <c r="G554" s="31" t="s">
        <v>1528</v>
      </c>
      <c r="H554" s="32" t="s">
        <v>1469</v>
      </c>
      <c r="I554" s="31"/>
      <c r="J554" s="31"/>
      <c r="K554" s="31"/>
      <c r="L554" s="32" t="str">
        <f>VLOOKUP(D554,'Active Employees'!$B$2:$B$498,1,false)</f>
        <v>#N/A</v>
      </c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</row>
    <row r="555" hidden="1">
      <c r="A555" s="37" t="s">
        <v>1522</v>
      </c>
      <c r="B555" s="31" t="s">
        <v>1547</v>
      </c>
      <c r="C555" s="31" t="s">
        <v>1565</v>
      </c>
      <c r="D555" s="31" t="s">
        <v>1892</v>
      </c>
      <c r="E555" s="31" t="s">
        <v>1893</v>
      </c>
      <c r="F555" s="31" t="s">
        <v>1640</v>
      </c>
      <c r="G555" s="31" t="s">
        <v>1528</v>
      </c>
      <c r="H555" s="32" t="s">
        <v>1469</v>
      </c>
      <c r="I555" s="31"/>
      <c r="J555" s="31"/>
      <c r="K555" s="31"/>
      <c r="L555" s="32" t="str">
        <f>VLOOKUP(D555,'Active Employees'!$B$2:$B$498,1,false)</f>
        <v>#N/A</v>
      </c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</row>
    <row r="556" hidden="1">
      <c r="A556" s="37" t="s">
        <v>1522</v>
      </c>
      <c r="B556" s="31" t="s">
        <v>1547</v>
      </c>
      <c r="C556" s="31" t="s">
        <v>1565</v>
      </c>
      <c r="D556" s="31" t="s">
        <v>1894</v>
      </c>
      <c r="E556" s="31" t="s">
        <v>1895</v>
      </c>
      <c r="F556" s="31" t="s">
        <v>1640</v>
      </c>
      <c r="G556" s="31" t="s">
        <v>1528</v>
      </c>
      <c r="H556" s="32" t="s">
        <v>1469</v>
      </c>
      <c r="I556" s="31"/>
      <c r="J556" s="31"/>
      <c r="K556" s="31"/>
      <c r="L556" s="32" t="str">
        <f>VLOOKUP(D556,'Active Employees'!$B$2:$B$498,1,false)</f>
        <v>#N/A</v>
      </c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</row>
    <row r="557" hidden="1">
      <c r="A557" s="37" t="s">
        <v>1522</v>
      </c>
      <c r="B557" s="31" t="s">
        <v>1547</v>
      </c>
      <c r="C557" s="31" t="s">
        <v>1566</v>
      </c>
      <c r="D557" s="31" t="s">
        <v>1896</v>
      </c>
      <c r="E557" s="31" t="s">
        <v>1897</v>
      </c>
      <c r="F557" s="31" t="s">
        <v>1611</v>
      </c>
      <c r="G557" s="31" t="s">
        <v>1612</v>
      </c>
      <c r="H557" s="32" t="s">
        <v>1469</v>
      </c>
      <c r="I557" s="31"/>
      <c r="J557" s="31"/>
      <c r="K557" s="31"/>
      <c r="L557" s="32" t="str">
        <f>VLOOKUP(D557,'Active Employees'!$B$2:$B$498,1,false)</f>
        <v>#N/A</v>
      </c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</row>
    <row r="558" hidden="1">
      <c r="A558" s="37" t="s">
        <v>1570</v>
      </c>
      <c r="B558" s="31" t="s">
        <v>1547</v>
      </c>
      <c r="C558" s="31" t="s">
        <v>1593</v>
      </c>
      <c r="D558" s="31" t="s">
        <v>457</v>
      </c>
      <c r="E558" s="31" t="s">
        <v>1898</v>
      </c>
      <c r="F558" s="31" t="s">
        <v>1640</v>
      </c>
      <c r="G558" s="31" t="s">
        <v>1528</v>
      </c>
      <c r="H558" s="32" t="s">
        <v>1469</v>
      </c>
      <c r="I558" s="31"/>
      <c r="J558" s="31"/>
      <c r="K558" s="31"/>
      <c r="L558" s="32" t="str">
        <f>VLOOKUP(D558,'Active Employees'!$B$2:$B$498,1,false)</f>
        <v>manuel.delapena@docker.com</v>
      </c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</row>
    <row r="559">
      <c r="A559" s="37" t="s">
        <v>1522</v>
      </c>
      <c r="B559" s="31" t="s">
        <v>1523</v>
      </c>
      <c r="C559" s="31" t="s">
        <v>1524</v>
      </c>
      <c r="D559" s="31" t="s">
        <v>1899</v>
      </c>
      <c r="E559" s="31" t="s">
        <v>1900</v>
      </c>
      <c r="F559" s="31" t="s">
        <v>1564</v>
      </c>
      <c r="G559" s="31" t="s">
        <v>1528</v>
      </c>
      <c r="H559" s="32" t="s">
        <v>1469</v>
      </c>
      <c r="I559" s="31"/>
      <c r="J559" s="31"/>
      <c r="K559" s="31"/>
      <c r="L559" s="32" t="str">
        <f>VLOOKUP(D559,'Active Employees'!$B$2:$B$498,1,false)</f>
        <v>#N/A</v>
      </c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</row>
    <row r="560">
      <c r="A560" s="37" t="s">
        <v>1522</v>
      </c>
      <c r="B560" s="31" t="s">
        <v>1523</v>
      </c>
      <c r="C560" s="31" t="s">
        <v>1524</v>
      </c>
      <c r="D560" s="31" t="s">
        <v>1901</v>
      </c>
      <c r="E560" s="31" t="s">
        <v>1900</v>
      </c>
      <c r="F560" s="31" t="s">
        <v>1564</v>
      </c>
      <c r="G560" s="31" t="s">
        <v>1528</v>
      </c>
      <c r="H560" s="32" t="s">
        <v>1469</v>
      </c>
      <c r="I560" s="31"/>
      <c r="J560" s="31"/>
      <c r="K560" s="31"/>
      <c r="L560" s="32" t="str">
        <f>VLOOKUP(D560,'Active Employees'!$B$2:$B$498,1,false)</f>
        <v>#N/A</v>
      </c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</row>
    <row r="561">
      <c r="A561" s="37" t="s">
        <v>1522</v>
      </c>
      <c r="B561" s="31" t="s">
        <v>1523</v>
      </c>
      <c r="C561" s="31" t="s">
        <v>1524</v>
      </c>
      <c r="D561" s="31" t="s">
        <v>1902</v>
      </c>
      <c r="E561" s="31" t="s">
        <v>1903</v>
      </c>
      <c r="F561" s="31" t="s">
        <v>1627</v>
      </c>
      <c r="G561" s="31" t="s">
        <v>1528</v>
      </c>
      <c r="H561" s="32" t="s">
        <v>1469</v>
      </c>
      <c r="I561" s="31"/>
      <c r="J561" s="31"/>
      <c r="K561" s="31"/>
      <c r="L561" s="32" t="str">
        <f>VLOOKUP(D561,'Active Employees'!$B$2:$B$498,1,false)</f>
        <v>#N/A</v>
      </c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</row>
    <row r="562" hidden="1">
      <c r="A562" s="37" t="s">
        <v>1522</v>
      </c>
      <c r="B562" s="31" t="s">
        <v>1547</v>
      </c>
      <c r="C562" s="31" t="s">
        <v>1565</v>
      </c>
      <c r="D562" s="31" t="s">
        <v>1902</v>
      </c>
      <c r="E562" s="31" t="s">
        <v>1903</v>
      </c>
      <c r="F562" s="31" t="s">
        <v>1640</v>
      </c>
      <c r="G562" s="31" t="s">
        <v>1528</v>
      </c>
      <c r="H562" s="32" t="s">
        <v>1469</v>
      </c>
      <c r="I562" s="31"/>
      <c r="J562" s="31"/>
      <c r="K562" s="31"/>
      <c r="L562" s="32" t="str">
        <f>VLOOKUP(D562,'Active Employees'!$B$2:$B$498,1,false)</f>
        <v>#N/A</v>
      </c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</row>
    <row r="563" hidden="1">
      <c r="A563" s="37" t="s">
        <v>1570</v>
      </c>
      <c r="B563" s="31" t="s">
        <v>1547</v>
      </c>
      <c r="C563" s="31" t="s">
        <v>1578</v>
      </c>
      <c r="D563" s="31" t="s">
        <v>354</v>
      </c>
      <c r="E563" s="31" t="s">
        <v>1904</v>
      </c>
      <c r="F563" s="31" t="s">
        <v>1654</v>
      </c>
      <c r="G563" s="31" t="s">
        <v>1612</v>
      </c>
      <c r="H563" s="32" t="s">
        <v>1469</v>
      </c>
      <c r="I563" s="31"/>
      <c r="J563" s="31"/>
      <c r="K563" s="31"/>
      <c r="L563" s="32" t="str">
        <f>VLOOKUP(D563,'Active Employees'!$B$2:$B$498,1,false)</f>
        <v>mathieu.champlon@docker.com</v>
      </c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</row>
    <row r="564" hidden="1">
      <c r="A564" s="37" t="s">
        <v>1522</v>
      </c>
      <c r="B564" s="31" t="s">
        <v>1547</v>
      </c>
      <c r="C564" s="31" t="s">
        <v>1565</v>
      </c>
      <c r="D564" s="31" t="s">
        <v>1905</v>
      </c>
      <c r="E564" s="31" t="s">
        <v>1906</v>
      </c>
      <c r="F564" s="31" t="s">
        <v>1640</v>
      </c>
      <c r="G564" s="31" t="s">
        <v>1528</v>
      </c>
      <c r="H564" s="32" t="s">
        <v>1469</v>
      </c>
      <c r="I564" s="31"/>
      <c r="J564" s="31"/>
      <c r="K564" s="31"/>
      <c r="L564" s="32" t="str">
        <f>VLOOKUP(D564,'Active Employees'!$B$2:$B$498,1,false)</f>
        <v>#N/A</v>
      </c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</row>
    <row r="565" hidden="1">
      <c r="A565" s="37" t="s">
        <v>1570</v>
      </c>
      <c r="B565" s="31" t="s">
        <v>1547</v>
      </c>
      <c r="C565" s="31" t="s">
        <v>1578</v>
      </c>
      <c r="D565" s="31" t="s">
        <v>390</v>
      </c>
      <c r="E565" s="31" t="s">
        <v>1907</v>
      </c>
      <c r="F565" s="31" t="s">
        <v>1654</v>
      </c>
      <c r="G565" s="31" t="s">
        <v>1612</v>
      </c>
      <c r="H565" s="32" t="s">
        <v>1469</v>
      </c>
      <c r="I565" s="31"/>
      <c r="J565" s="31"/>
      <c r="K565" s="31"/>
      <c r="L565" s="32" t="str">
        <f>VLOOKUP(D565,'Active Employees'!$B$2:$B$498,1,false)</f>
        <v>maxime.clement@docker.com</v>
      </c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</row>
    <row r="566">
      <c r="A566" s="37" t="s">
        <v>1570</v>
      </c>
      <c r="B566" s="31" t="s">
        <v>1547</v>
      </c>
      <c r="C566" s="31" t="s">
        <v>1579</v>
      </c>
      <c r="D566" s="31" t="s">
        <v>390</v>
      </c>
      <c r="E566" s="31" t="s">
        <v>1907</v>
      </c>
      <c r="F566" s="31" t="s">
        <v>1768</v>
      </c>
      <c r="G566" s="31" t="s">
        <v>1612</v>
      </c>
      <c r="H566" s="32" t="s">
        <v>1469</v>
      </c>
      <c r="I566" s="31"/>
      <c r="J566" s="31"/>
      <c r="K566" s="31"/>
      <c r="L566" s="32" t="str">
        <f>VLOOKUP(D566,'Active Employees'!$B$2:$B$498,1,false)</f>
        <v>maxime.clement@docker.com</v>
      </c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</row>
    <row r="567" hidden="1">
      <c r="A567" s="37" t="s">
        <v>1522</v>
      </c>
      <c r="B567" s="31" t="s">
        <v>1547</v>
      </c>
      <c r="C567" s="31" t="s">
        <v>1565</v>
      </c>
      <c r="D567" s="31" t="s">
        <v>1908</v>
      </c>
      <c r="E567" s="31" t="s">
        <v>1909</v>
      </c>
      <c r="F567" s="31" t="s">
        <v>1884</v>
      </c>
      <c r="G567" s="31" t="s">
        <v>1612</v>
      </c>
      <c r="H567" s="32" t="s">
        <v>1469</v>
      </c>
      <c r="I567" s="31"/>
      <c r="J567" s="31"/>
      <c r="K567" s="31"/>
      <c r="L567" s="32" t="str">
        <f>VLOOKUP(D567,'Active Employees'!$B$2:$B$498,1,false)</f>
        <v>#N/A</v>
      </c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</row>
    <row r="568" hidden="1">
      <c r="A568" s="37" t="s">
        <v>1522</v>
      </c>
      <c r="B568" s="31" t="s">
        <v>1547</v>
      </c>
      <c r="C568" s="31" t="s">
        <v>1566</v>
      </c>
      <c r="D568" s="31" t="s">
        <v>1910</v>
      </c>
      <c r="E568" s="31" t="s">
        <v>1911</v>
      </c>
      <c r="F568" s="31" t="s">
        <v>1611</v>
      </c>
      <c r="G568" s="31" t="s">
        <v>1612</v>
      </c>
      <c r="H568" s="32" t="s">
        <v>1469</v>
      </c>
      <c r="I568" s="31"/>
      <c r="J568" s="31"/>
      <c r="K568" s="31"/>
      <c r="L568" s="32" t="str">
        <f>VLOOKUP(D568,'Active Employees'!$B$2:$B$498,1,false)</f>
        <v>#N/A</v>
      </c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</row>
    <row r="569" hidden="1">
      <c r="A569" s="37" t="s">
        <v>1522</v>
      </c>
      <c r="B569" s="31" t="s">
        <v>1547</v>
      </c>
      <c r="C569" s="31" t="s">
        <v>1565</v>
      </c>
      <c r="D569" s="31" t="s">
        <v>1912</v>
      </c>
      <c r="E569" s="31" t="s">
        <v>1913</v>
      </c>
      <c r="F569" s="31" t="s">
        <v>1637</v>
      </c>
      <c r="G569" s="31" t="s">
        <v>1612</v>
      </c>
      <c r="H569" s="32" t="s">
        <v>1469</v>
      </c>
      <c r="I569" s="31"/>
      <c r="J569" s="31"/>
      <c r="K569" s="31"/>
      <c r="L569" s="32" t="str">
        <f>VLOOKUP(D569,'Active Employees'!$B$2:$B$498,1,false)</f>
        <v>#N/A</v>
      </c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</row>
    <row r="570" hidden="1">
      <c r="A570" s="37" t="s">
        <v>1522</v>
      </c>
      <c r="B570" s="31" t="s">
        <v>1547</v>
      </c>
      <c r="C570" s="31" t="s">
        <v>1565</v>
      </c>
      <c r="D570" s="31" t="s">
        <v>1914</v>
      </c>
      <c r="E570" s="31" t="s">
        <v>1915</v>
      </c>
      <c r="F570" s="31" t="s">
        <v>1884</v>
      </c>
      <c r="G570" s="31" t="s">
        <v>1612</v>
      </c>
      <c r="H570" s="32" t="s">
        <v>1469</v>
      </c>
      <c r="I570" s="31"/>
      <c r="J570" s="31"/>
      <c r="K570" s="31"/>
      <c r="L570" s="32" t="str">
        <f>VLOOKUP(D570,'Active Employees'!$B$2:$B$498,1,false)</f>
        <v>#N/A</v>
      </c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</row>
    <row r="571" hidden="1">
      <c r="A571" s="37" t="s">
        <v>1522</v>
      </c>
      <c r="B571" s="31" t="s">
        <v>1547</v>
      </c>
      <c r="C571" s="31" t="s">
        <v>1566</v>
      </c>
      <c r="D571" s="31" t="s">
        <v>1916</v>
      </c>
      <c r="E571" s="31" t="s">
        <v>1917</v>
      </c>
      <c r="F571" s="31" t="s">
        <v>1611</v>
      </c>
      <c r="G571" s="31" t="s">
        <v>1612</v>
      </c>
      <c r="H571" s="32" t="s">
        <v>1469</v>
      </c>
      <c r="I571" s="31"/>
      <c r="J571" s="31"/>
      <c r="K571" s="31"/>
      <c r="L571" s="32" t="str">
        <f>VLOOKUP(D571,'Active Employees'!$B$2:$B$498,1,false)</f>
        <v>#N/A</v>
      </c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</row>
    <row r="572" hidden="1">
      <c r="A572" s="37" t="s">
        <v>1522</v>
      </c>
      <c r="B572" s="31" t="s">
        <v>1547</v>
      </c>
      <c r="C572" s="31" t="s">
        <v>1558</v>
      </c>
      <c r="D572" s="31" t="s">
        <v>1918</v>
      </c>
      <c r="E572" s="31" t="s">
        <v>1919</v>
      </c>
      <c r="F572" s="31" t="s">
        <v>1630</v>
      </c>
      <c r="G572" s="31" t="s">
        <v>1612</v>
      </c>
      <c r="H572" s="32" t="s">
        <v>1469</v>
      </c>
      <c r="I572" s="31"/>
      <c r="J572" s="31"/>
      <c r="K572" s="31"/>
      <c r="L572" s="32" t="str">
        <f>VLOOKUP(D572,'Active Employees'!$B$2:$B$498,1,false)</f>
        <v>#N/A</v>
      </c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</row>
    <row r="573">
      <c r="A573" s="37" t="s">
        <v>1522</v>
      </c>
      <c r="B573" s="31" t="s">
        <v>1547</v>
      </c>
      <c r="C573" s="31" t="s">
        <v>1565</v>
      </c>
      <c r="D573" s="31" t="s">
        <v>1918</v>
      </c>
      <c r="E573" s="31" t="s">
        <v>1919</v>
      </c>
      <c r="F573" s="31" t="s">
        <v>1634</v>
      </c>
      <c r="G573" s="31" t="s">
        <v>1612</v>
      </c>
      <c r="H573" s="32" t="s">
        <v>1469</v>
      </c>
      <c r="I573" s="31"/>
      <c r="J573" s="31"/>
      <c r="K573" s="31"/>
      <c r="L573" s="32" t="str">
        <f>VLOOKUP(D573,'Active Employees'!$B$2:$B$498,1,false)</f>
        <v>#N/A</v>
      </c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</row>
    <row r="574" hidden="1">
      <c r="A574" s="37" t="s">
        <v>1570</v>
      </c>
      <c r="B574" s="31" t="s">
        <v>1547</v>
      </c>
      <c r="C574" s="31" t="s">
        <v>1590</v>
      </c>
      <c r="D574" s="31" t="s">
        <v>1701</v>
      </c>
      <c r="E574" s="31" t="s">
        <v>1702</v>
      </c>
      <c r="F574" s="31" t="s">
        <v>1549</v>
      </c>
      <c r="G574" s="31" t="s">
        <v>1528</v>
      </c>
      <c r="H574" s="32" t="s">
        <v>1466</v>
      </c>
      <c r="I574" s="31"/>
      <c r="J574" s="31"/>
      <c r="K574" s="31"/>
      <c r="L574" s="32" t="str">
        <f>VLOOKUP(D574,'Active Employees'!$B$2:$B$498,1,false)</f>
        <v>#N/A</v>
      </c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</row>
    <row r="575" hidden="1">
      <c r="A575" s="37" t="s">
        <v>1522</v>
      </c>
      <c r="B575" s="31" t="s">
        <v>1547</v>
      </c>
      <c r="C575" s="31" t="s">
        <v>1565</v>
      </c>
      <c r="D575" s="31" t="s">
        <v>1918</v>
      </c>
      <c r="E575" s="31" t="s">
        <v>1919</v>
      </c>
      <c r="F575" s="31" t="s">
        <v>1630</v>
      </c>
      <c r="G575" s="31" t="s">
        <v>1612</v>
      </c>
      <c r="H575" s="32" t="s">
        <v>1469</v>
      </c>
      <c r="I575" s="31"/>
      <c r="J575" s="31"/>
      <c r="K575" s="31"/>
      <c r="L575" s="32" t="str">
        <f>VLOOKUP(D575,'Active Employees'!$B$2:$B$498,1,false)</f>
        <v>#N/A</v>
      </c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</row>
    <row r="576" hidden="1">
      <c r="A576" s="37" t="s">
        <v>1522</v>
      </c>
      <c r="B576" s="31" t="s">
        <v>1547</v>
      </c>
      <c r="C576" s="31" t="s">
        <v>1565</v>
      </c>
      <c r="D576" s="31" t="s">
        <v>1920</v>
      </c>
      <c r="E576" s="31" t="s">
        <v>1921</v>
      </c>
      <c r="F576" s="31" t="s">
        <v>1651</v>
      </c>
      <c r="G576" s="31" t="s">
        <v>1612</v>
      </c>
      <c r="H576" s="32" t="s">
        <v>1469</v>
      </c>
      <c r="I576" s="31"/>
      <c r="J576" s="31"/>
      <c r="K576" s="31"/>
      <c r="L576" s="32" t="str">
        <f>VLOOKUP(D576,'Active Employees'!$B$2:$B$498,1,false)</f>
        <v>#N/A</v>
      </c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</row>
    <row r="577" hidden="1">
      <c r="A577" s="37" t="s">
        <v>1522</v>
      </c>
      <c r="B577" s="31" t="s">
        <v>1547</v>
      </c>
      <c r="C577" s="31" t="s">
        <v>1565</v>
      </c>
      <c r="D577" s="31" t="s">
        <v>1920</v>
      </c>
      <c r="E577" s="31" t="s">
        <v>1921</v>
      </c>
      <c r="F577" s="31" t="s">
        <v>1640</v>
      </c>
      <c r="G577" s="31" t="s">
        <v>1528</v>
      </c>
      <c r="H577" s="32" t="s">
        <v>1469</v>
      </c>
      <c r="I577" s="31"/>
      <c r="J577" s="31"/>
      <c r="K577" s="31"/>
      <c r="L577" s="32" t="str">
        <f>VLOOKUP(D577,'Active Employees'!$B$2:$B$498,1,false)</f>
        <v>#N/A</v>
      </c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</row>
    <row r="578" hidden="1">
      <c r="A578" s="37" t="s">
        <v>1522</v>
      </c>
      <c r="B578" s="31" t="s">
        <v>1547</v>
      </c>
      <c r="C578" s="31" t="s">
        <v>1565</v>
      </c>
      <c r="D578" s="31" t="s">
        <v>1922</v>
      </c>
      <c r="E578" s="31" t="s">
        <v>1923</v>
      </c>
      <c r="F578" s="31" t="s">
        <v>1640</v>
      </c>
      <c r="G578" s="31" t="s">
        <v>1528</v>
      </c>
      <c r="H578" s="32" t="s">
        <v>1469</v>
      </c>
      <c r="I578" s="31"/>
      <c r="J578" s="31"/>
      <c r="K578" s="31"/>
      <c r="L578" s="32" t="str">
        <f>VLOOKUP(D578,'Active Employees'!$B$2:$B$498,1,false)</f>
        <v>#N/A</v>
      </c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</row>
    <row r="579" hidden="1">
      <c r="A579" s="37" t="s">
        <v>1570</v>
      </c>
      <c r="B579" s="31" t="s">
        <v>1547</v>
      </c>
      <c r="C579" s="31" t="s">
        <v>1591</v>
      </c>
      <c r="D579" s="31" t="s">
        <v>1868</v>
      </c>
      <c r="E579" s="31" t="s">
        <v>1869</v>
      </c>
      <c r="F579" s="31" t="s">
        <v>1640</v>
      </c>
      <c r="G579" s="31" t="s">
        <v>1687</v>
      </c>
      <c r="H579" s="31"/>
      <c r="I579" s="31"/>
      <c r="J579" s="31"/>
      <c r="K579" s="31"/>
      <c r="L579" s="32" t="str">
        <f>VLOOKUP(D579,'Active Employees'!$B$2:$B$498,1,false)</f>
        <v>#N/A</v>
      </c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</row>
    <row r="580" hidden="1">
      <c r="A580" s="37" t="s">
        <v>1570</v>
      </c>
      <c r="B580" s="31" t="s">
        <v>1547</v>
      </c>
      <c r="C580" s="31" t="s">
        <v>1577</v>
      </c>
      <c r="D580" s="31" t="s">
        <v>1301</v>
      </c>
      <c r="E580" s="31" t="s">
        <v>1924</v>
      </c>
      <c r="F580" s="31" t="s">
        <v>1709</v>
      </c>
      <c r="G580" s="31" t="s">
        <v>1612</v>
      </c>
      <c r="H580" s="32" t="s">
        <v>1469</v>
      </c>
      <c r="I580" s="31"/>
      <c r="J580" s="31"/>
      <c r="K580" s="31"/>
      <c r="L580" s="32" t="str">
        <f>VLOOKUP(D580,'Active Employees'!$B$2:$B$498,1,false)</f>
        <v>piotr.stankiewicz@docker.com</v>
      </c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</row>
    <row r="581">
      <c r="A581" s="37" t="s">
        <v>1522</v>
      </c>
      <c r="B581" s="31" t="s">
        <v>1523</v>
      </c>
      <c r="C581" s="31" t="s">
        <v>1524</v>
      </c>
      <c r="D581" s="31" t="s">
        <v>1925</v>
      </c>
      <c r="E581" s="31" t="s">
        <v>1926</v>
      </c>
      <c r="F581" s="31" t="s">
        <v>1564</v>
      </c>
      <c r="G581" s="31" t="s">
        <v>1528</v>
      </c>
      <c r="H581" s="32" t="s">
        <v>1469</v>
      </c>
      <c r="I581" s="31"/>
      <c r="J581" s="31"/>
      <c r="K581" s="31"/>
      <c r="L581" s="32" t="str">
        <f>VLOOKUP(D581,'Active Employees'!$B$2:$B$498,1,false)</f>
        <v>#N/A</v>
      </c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</row>
    <row r="582">
      <c r="A582" s="37" t="s">
        <v>1522</v>
      </c>
      <c r="B582" s="31" t="s">
        <v>1523</v>
      </c>
      <c r="C582" s="31" t="s">
        <v>1524</v>
      </c>
      <c r="D582" s="31" t="s">
        <v>1925</v>
      </c>
      <c r="E582" s="31" t="s">
        <v>1926</v>
      </c>
      <c r="F582" s="31" t="s">
        <v>1575</v>
      </c>
      <c r="G582" s="31" t="s">
        <v>1528</v>
      </c>
      <c r="H582" s="32" t="s">
        <v>1469</v>
      </c>
      <c r="I582" s="31"/>
      <c r="J582" s="31"/>
      <c r="K582" s="31"/>
      <c r="L582" s="32" t="str">
        <f>VLOOKUP(D582,'Active Employees'!$B$2:$B$498,1,false)</f>
        <v>#N/A</v>
      </c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</row>
    <row r="583" hidden="1">
      <c r="A583" s="37" t="s">
        <v>1522</v>
      </c>
      <c r="B583" s="31" t="s">
        <v>1547</v>
      </c>
      <c r="C583" s="31" t="s">
        <v>1565</v>
      </c>
      <c r="D583" s="31" t="s">
        <v>1927</v>
      </c>
      <c r="E583" s="31" t="s">
        <v>1928</v>
      </c>
      <c r="F583" s="31" t="s">
        <v>1651</v>
      </c>
      <c r="G583" s="31" t="s">
        <v>1612</v>
      </c>
      <c r="H583" s="32" t="s">
        <v>1469</v>
      </c>
      <c r="I583" s="31"/>
      <c r="J583" s="31"/>
      <c r="K583" s="31"/>
      <c r="L583" s="32" t="str">
        <f>VLOOKUP(D583,'Active Employees'!$B$2:$B$498,1,false)</f>
        <v>#N/A</v>
      </c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</row>
    <row r="584" hidden="1">
      <c r="A584" s="37" t="s">
        <v>1522</v>
      </c>
      <c r="B584" s="31" t="s">
        <v>1547</v>
      </c>
      <c r="C584" s="31" t="s">
        <v>1558</v>
      </c>
      <c r="D584" s="31" t="s">
        <v>1929</v>
      </c>
      <c r="E584" s="31" t="s">
        <v>1930</v>
      </c>
      <c r="F584" s="31" t="s">
        <v>1734</v>
      </c>
      <c r="G584" s="31" t="s">
        <v>1612</v>
      </c>
      <c r="H584" s="32" t="s">
        <v>1469</v>
      </c>
      <c r="I584" s="31"/>
      <c r="J584" s="31"/>
      <c r="K584" s="31"/>
      <c r="L584" s="32" t="str">
        <f>VLOOKUP(D584,'Active Employees'!$B$2:$B$498,1,false)</f>
        <v>#N/A</v>
      </c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</row>
    <row r="585">
      <c r="A585" s="37" t="s">
        <v>1522</v>
      </c>
      <c r="B585" s="31" t="s">
        <v>1547</v>
      </c>
      <c r="C585" s="31" t="s">
        <v>1558</v>
      </c>
      <c r="D585" s="31" t="s">
        <v>1929</v>
      </c>
      <c r="E585" s="31" t="s">
        <v>1930</v>
      </c>
      <c r="F585" s="31" t="s">
        <v>1736</v>
      </c>
      <c r="G585" s="31" t="s">
        <v>1612</v>
      </c>
      <c r="H585" s="32" t="s">
        <v>1469</v>
      </c>
      <c r="I585" s="31"/>
      <c r="J585" s="31"/>
      <c r="K585" s="31"/>
      <c r="L585" s="32" t="str">
        <f>VLOOKUP(D585,'Active Employees'!$B$2:$B$498,1,false)</f>
        <v>#N/A</v>
      </c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</row>
    <row r="586" hidden="1">
      <c r="A586" s="37" t="s">
        <v>1522</v>
      </c>
      <c r="B586" s="31" t="s">
        <v>1547</v>
      </c>
      <c r="C586" s="31" t="s">
        <v>1565</v>
      </c>
      <c r="D586" s="31" t="s">
        <v>1929</v>
      </c>
      <c r="E586" s="31" t="s">
        <v>1930</v>
      </c>
      <c r="F586" s="31" t="s">
        <v>1734</v>
      </c>
      <c r="G586" s="31" t="s">
        <v>1612</v>
      </c>
      <c r="H586" s="32" t="s">
        <v>1469</v>
      </c>
      <c r="I586" s="31"/>
      <c r="J586" s="31"/>
      <c r="K586" s="31"/>
      <c r="L586" s="32" t="str">
        <f>VLOOKUP(D586,'Active Employees'!$B$2:$B$498,1,false)</f>
        <v>#N/A</v>
      </c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</row>
    <row r="587" hidden="1">
      <c r="A587" s="37" t="s">
        <v>1522</v>
      </c>
      <c r="B587" s="31" t="s">
        <v>1547</v>
      </c>
      <c r="C587" s="31" t="s">
        <v>1565</v>
      </c>
      <c r="D587" s="31" t="s">
        <v>1929</v>
      </c>
      <c r="E587" s="31" t="s">
        <v>1930</v>
      </c>
      <c r="F587" s="31" t="s">
        <v>1640</v>
      </c>
      <c r="G587" s="31" t="s">
        <v>1528</v>
      </c>
      <c r="H587" s="32" t="s">
        <v>1469</v>
      </c>
      <c r="I587" s="31"/>
      <c r="J587" s="31"/>
      <c r="K587" s="31"/>
      <c r="L587" s="32" t="str">
        <f>VLOOKUP(D587,'Active Employees'!$B$2:$B$498,1,false)</f>
        <v>#N/A</v>
      </c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</row>
    <row r="588">
      <c r="A588" s="37" t="s">
        <v>1522</v>
      </c>
      <c r="B588" s="31" t="s">
        <v>1547</v>
      </c>
      <c r="C588" s="31" t="s">
        <v>1565</v>
      </c>
      <c r="D588" s="31" t="s">
        <v>1929</v>
      </c>
      <c r="E588" s="31" t="s">
        <v>1930</v>
      </c>
      <c r="F588" s="31" t="s">
        <v>1736</v>
      </c>
      <c r="G588" s="31" t="s">
        <v>1612</v>
      </c>
      <c r="H588" s="32" t="s">
        <v>1469</v>
      </c>
      <c r="I588" s="31"/>
      <c r="J588" s="31"/>
      <c r="K588" s="31"/>
      <c r="L588" s="32" t="str">
        <f>VLOOKUP(D588,'Active Employees'!$B$2:$B$498,1,false)</f>
        <v>#N/A</v>
      </c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</row>
    <row r="589">
      <c r="A589" s="37" t="s">
        <v>1522</v>
      </c>
      <c r="B589" s="31" t="s">
        <v>1547</v>
      </c>
      <c r="C589" s="31" t="s">
        <v>600</v>
      </c>
      <c r="D589" s="31" t="s">
        <v>1929</v>
      </c>
      <c r="E589" s="31" t="s">
        <v>1930</v>
      </c>
      <c r="F589" s="31" t="s">
        <v>1736</v>
      </c>
      <c r="G589" s="31" t="s">
        <v>1612</v>
      </c>
      <c r="H589" s="32" t="s">
        <v>1469</v>
      </c>
      <c r="I589" s="31"/>
      <c r="J589" s="31"/>
      <c r="K589" s="31"/>
      <c r="L589" s="32" t="str">
        <f>VLOOKUP(D589,'Active Employees'!$B$2:$B$498,1,false)</f>
        <v>#N/A</v>
      </c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</row>
    <row r="590">
      <c r="A590" s="37" t="s">
        <v>1522</v>
      </c>
      <c r="B590" s="31" t="s">
        <v>1547</v>
      </c>
      <c r="C590" s="31" t="s">
        <v>1566</v>
      </c>
      <c r="D590" s="31" t="s">
        <v>1929</v>
      </c>
      <c r="E590" s="31" t="s">
        <v>1930</v>
      </c>
      <c r="F590" s="31" t="s">
        <v>1736</v>
      </c>
      <c r="G590" s="31" t="s">
        <v>1612</v>
      </c>
      <c r="H590" s="32" t="s">
        <v>1469</v>
      </c>
      <c r="I590" s="31"/>
      <c r="J590" s="31"/>
      <c r="K590" s="31"/>
      <c r="L590" s="32" t="str">
        <f>VLOOKUP(D590,'Active Employees'!$B$2:$B$498,1,false)</f>
        <v>#N/A</v>
      </c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</row>
    <row r="591" hidden="1">
      <c r="A591" s="37" t="s">
        <v>1522</v>
      </c>
      <c r="B591" s="31" t="s">
        <v>1547</v>
      </c>
      <c r="C591" s="31" t="s">
        <v>1566</v>
      </c>
      <c r="D591" s="31" t="s">
        <v>1929</v>
      </c>
      <c r="E591" s="31" t="s">
        <v>1930</v>
      </c>
      <c r="F591" s="31" t="s">
        <v>1734</v>
      </c>
      <c r="G591" s="31" t="s">
        <v>1612</v>
      </c>
      <c r="H591" s="32" t="s">
        <v>1469</v>
      </c>
      <c r="I591" s="31"/>
      <c r="J591" s="31"/>
      <c r="K591" s="31"/>
      <c r="L591" s="32" t="str">
        <f>VLOOKUP(D591,'Active Employees'!$B$2:$B$498,1,false)</f>
        <v>#N/A</v>
      </c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</row>
    <row r="592" hidden="1">
      <c r="A592" s="37" t="s">
        <v>1522</v>
      </c>
      <c r="B592" s="31" t="s">
        <v>1547</v>
      </c>
      <c r="C592" s="31" t="s">
        <v>1567</v>
      </c>
      <c r="D592" s="31" t="s">
        <v>1929</v>
      </c>
      <c r="E592" s="31" t="s">
        <v>1930</v>
      </c>
      <c r="F592" s="31" t="s">
        <v>1734</v>
      </c>
      <c r="G592" s="31" t="s">
        <v>1612</v>
      </c>
      <c r="H592" s="32" t="s">
        <v>1469</v>
      </c>
      <c r="I592" s="31"/>
      <c r="J592" s="31"/>
      <c r="K592" s="31"/>
      <c r="L592" s="32" t="str">
        <f>VLOOKUP(D592,'Active Employees'!$B$2:$B$498,1,false)</f>
        <v>#N/A</v>
      </c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</row>
    <row r="593">
      <c r="A593" s="37" t="s">
        <v>1522</v>
      </c>
      <c r="B593" s="31" t="s">
        <v>1547</v>
      </c>
      <c r="C593" s="31" t="s">
        <v>1567</v>
      </c>
      <c r="D593" s="31" t="s">
        <v>1929</v>
      </c>
      <c r="E593" s="31" t="s">
        <v>1930</v>
      </c>
      <c r="F593" s="31" t="s">
        <v>1736</v>
      </c>
      <c r="G593" s="31" t="s">
        <v>1612</v>
      </c>
      <c r="H593" s="32" t="s">
        <v>1469</v>
      </c>
      <c r="I593" s="31"/>
      <c r="J593" s="31"/>
      <c r="K593" s="31"/>
      <c r="L593" s="32" t="str">
        <f>VLOOKUP(D593,'Active Employees'!$B$2:$B$498,1,false)</f>
        <v>#N/A</v>
      </c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</row>
    <row r="594" hidden="1">
      <c r="A594" s="37" t="s">
        <v>1570</v>
      </c>
      <c r="B594" s="31" t="s">
        <v>1547</v>
      </c>
      <c r="C594" s="31" t="s">
        <v>1578</v>
      </c>
      <c r="D594" s="31" t="s">
        <v>871</v>
      </c>
      <c r="E594" s="31" t="s">
        <v>1930</v>
      </c>
      <c r="F594" s="31" t="s">
        <v>1734</v>
      </c>
      <c r="G594" s="31" t="s">
        <v>1612</v>
      </c>
      <c r="H594" s="32" t="s">
        <v>1469</v>
      </c>
      <c r="I594" s="31"/>
      <c r="J594" s="31"/>
      <c r="K594" s="31"/>
      <c r="L594" s="32" t="str">
        <f>VLOOKUP(D594,'Active Employees'!$B$2:$B$498,1,false)</f>
        <v>quentin.laplanche@docker.com</v>
      </c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</row>
    <row r="595">
      <c r="A595" s="37" t="s">
        <v>1570</v>
      </c>
      <c r="B595" s="31" t="s">
        <v>1547</v>
      </c>
      <c r="C595" s="31" t="s">
        <v>1579</v>
      </c>
      <c r="D595" s="31" t="s">
        <v>871</v>
      </c>
      <c r="E595" s="31" t="s">
        <v>1930</v>
      </c>
      <c r="F595" s="31" t="s">
        <v>1736</v>
      </c>
      <c r="G595" s="31" t="s">
        <v>1612</v>
      </c>
      <c r="H595" s="32" t="s">
        <v>1469</v>
      </c>
      <c r="I595" s="31"/>
      <c r="J595" s="31"/>
      <c r="K595" s="31"/>
      <c r="L595" s="32" t="str">
        <f>VLOOKUP(D595,'Active Employees'!$B$2:$B$498,1,false)</f>
        <v>quentin.laplanche@docker.com</v>
      </c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</row>
    <row r="596" hidden="1">
      <c r="A596" s="37" t="s">
        <v>1570</v>
      </c>
      <c r="B596" s="31" t="s">
        <v>1547</v>
      </c>
      <c r="C596" s="31" t="s">
        <v>1579</v>
      </c>
      <c r="D596" s="31" t="s">
        <v>871</v>
      </c>
      <c r="E596" s="31" t="s">
        <v>1930</v>
      </c>
      <c r="F596" s="31" t="s">
        <v>1734</v>
      </c>
      <c r="G596" s="31" t="s">
        <v>1612</v>
      </c>
      <c r="H596" s="32" t="s">
        <v>1469</v>
      </c>
      <c r="I596" s="31"/>
      <c r="J596" s="31"/>
      <c r="K596" s="31"/>
      <c r="L596" s="32" t="str">
        <f>VLOOKUP(D596,'Active Employees'!$B$2:$B$498,1,false)</f>
        <v>quentin.laplanche@docker.com</v>
      </c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</row>
    <row r="597" hidden="1">
      <c r="A597" s="37" t="s">
        <v>1570</v>
      </c>
      <c r="B597" s="31" t="s">
        <v>1547</v>
      </c>
      <c r="C597" s="31" t="s">
        <v>1588</v>
      </c>
      <c r="D597" s="31" t="s">
        <v>871</v>
      </c>
      <c r="E597" s="31" t="s">
        <v>1930</v>
      </c>
      <c r="F597" s="31" t="s">
        <v>1734</v>
      </c>
      <c r="G597" s="31" t="s">
        <v>1612</v>
      </c>
      <c r="H597" s="32" t="s">
        <v>1469</v>
      </c>
      <c r="I597" s="31"/>
      <c r="J597" s="31"/>
      <c r="K597" s="31"/>
      <c r="L597" s="32" t="str">
        <f>VLOOKUP(D597,'Active Employees'!$B$2:$B$498,1,false)</f>
        <v>quentin.laplanche@docker.com</v>
      </c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</row>
    <row r="598" hidden="1">
      <c r="A598" s="37" t="s">
        <v>1570</v>
      </c>
      <c r="B598" s="31" t="s">
        <v>1547</v>
      </c>
      <c r="C598" s="31" t="s">
        <v>1589</v>
      </c>
      <c r="D598" s="31" t="s">
        <v>871</v>
      </c>
      <c r="E598" s="31" t="s">
        <v>1930</v>
      </c>
      <c r="F598" s="31" t="s">
        <v>1734</v>
      </c>
      <c r="G598" s="31" t="s">
        <v>1612</v>
      </c>
      <c r="H598" s="32" t="s">
        <v>1469</v>
      </c>
      <c r="I598" s="31"/>
      <c r="J598" s="31"/>
      <c r="K598" s="31"/>
      <c r="L598" s="32" t="str">
        <f>VLOOKUP(D598,'Active Employees'!$B$2:$B$498,1,false)</f>
        <v>quentin.laplanche@docker.com</v>
      </c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</row>
    <row r="599" hidden="1">
      <c r="A599" s="37" t="s">
        <v>1570</v>
      </c>
      <c r="B599" s="31" t="s">
        <v>1547</v>
      </c>
      <c r="C599" s="31" t="s">
        <v>1590</v>
      </c>
      <c r="D599" s="31" t="s">
        <v>871</v>
      </c>
      <c r="E599" s="31" t="s">
        <v>1930</v>
      </c>
      <c r="F599" s="31" t="s">
        <v>1734</v>
      </c>
      <c r="G599" s="31" t="s">
        <v>1612</v>
      </c>
      <c r="H599" s="32" t="s">
        <v>1469</v>
      </c>
      <c r="I599" s="31"/>
      <c r="J599" s="31"/>
      <c r="K599" s="31"/>
      <c r="L599" s="32" t="str">
        <f>VLOOKUP(D599,'Active Employees'!$B$2:$B$498,1,false)</f>
        <v>quentin.laplanche@docker.com</v>
      </c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</row>
    <row r="600">
      <c r="A600" s="37" t="s">
        <v>1570</v>
      </c>
      <c r="B600" s="31" t="s">
        <v>1547</v>
      </c>
      <c r="C600" s="31" t="s">
        <v>1591</v>
      </c>
      <c r="D600" s="31" t="s">
        <v>871</v>
      </c>
      <c r="E600" s="31" t="s">
        <v>1930</v>
      </c>
      <c r="F600" s="31" t="s">
        <v>1736</v>
      </c>
      <c r="G600" s="31" t="s">
        <v>1612</v>
      </c>
      <c r="H600" s="32" t="s">
        <v>1469</v>
      </c>
      <c r="I600" s="31"/>
      <c r="J600" s="31"/>
      <c r="K600" s="31"/>
      <c r="L600" s="32" t="str">
        <f>VLOOKUP(D600,'Active Employees'!$B$2:$B$498,1,false)</f>
        <v>quentin.laplanche@docker.com</v>
      </c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</row>
    <row r="601" hidden="1">
      <c r="A601" s="37" t="s">
        <v>1570</v>
      </c>
      <c r="B601" s="31" t="s">
        <v>1547</v>
      </c>
      <c r="C601" s="31" t="s">
        <v>1591</v>
      </c>
      <c r="D601" s="31" t="s">
        <v>871</v>
      </c>
      <c r="E601" s="31" t="s">
        <v>1930</v>
      </c>
      <c r="F601" s="31" t="s">
        <v>1734</v>
      </c>
      <c r="G601" s="31" t="s">
        <v>1612</v>
      </c>
      <c r="H601" s="32" t="s">
        <v>1469</v>
      </c>
      <c r="I601" s="31"/>
      <c r="J601" s="31"/>
      <c r="K601" s="31"/>
      <c r="L601" s="32" t="str">
        <f>VLOOKUP(D601,'Active Employees'!$B$2:$B$498,1,false)</f>
        <v>quentin.laplanche@docker.com</v>
      </c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</row>
    <row r="602">
      <c r="A602" s="37" t="s">
        <v>1570</v>
      </c>
      <c r="B602" s="31" t="s">
        <v>1547</v>
      </c>
      <c r="C602" s="31" t="s">
        <v>1592</v>
      </c>
      <c r="D602" s="31" t="s">
        <v>871</v>
      </c>
      <c r="E602" s="31" t="s">
        <v>1930</v>
      </c>
      <c r="F602" s="31" t="s">
        <v>1736</v>
      </c>
      <c r="G602" s="31" t="s">
        <v>1612</v>
      </c>
      <c r="H602" s="32" t="s">
        <v>1469</v>
      </c>
      <c r="I602" s="31"/>
      <c r="J602" s="31"/>
      <c r="K602" s="31"/>
      <c r="L602" s="32" t="str">
        <f>VLOOKUP(D602,'Active Employees'!$B$2:$B$498,1,false)</f>
        <v>quentin.laplanche@docker.com</v>
      </c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</row>
    <row r="603" hidden="1">
      <c r="A603" s="37" t="s">
        <v>1570</v>
      </c>
      <c r="B603" s="31" t="s">
        <v>1547</v>
      </c>
      <c r="C603" s="31" t="s">
        <v>1592</v>
      </c>
      <c r="D603" s="31" t="s">
        <v>871</v>
      </c>
      <c r="E603" s="31" t="s">
        <v>1930</v>
      </c>
      <c r="F603" s="31" t="s">
        <v>1734</v>
      </c>
      <c r="G603" s="31" t="s">
        <v>1612</v>
      </c>
      <c r="H603" s="32" t="s">
        <v>1469</v>
      </c>
      <c r="I603" s="31"/>
      <c r="J603" s="31"/>
      <c r="K603" s="31"/>
      <c r="L603" s="32" t="str">
        <f>VLOOKUP(D603,'Active Employees'!$B$2:$B$498,1,false)</f>
        <v>quentin.laplanche@docker.com</v>
      </c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</row>
    <row r="604">
      <c r="A604" s="37" t="s">
        <v>1570</v>
      </c>
      <c r="B604" s="31" t="s">
        <v>1547</v>
      </c>
      <c r="C604" s="31" t="s">
        <v>600</v>
      </c>
      <c r="D604" s="31" t="s">
        <v>871</v>
      </c>
      <c r="E604" s="31" t="s">
        <v>1930</v>
      </c>
      <c r="F604" s="31" t="s">
        <v>1736</v>
      </c>
      <c r="G604" s="31" t="s">
        <v>1612</v>
      </c>
      <c r="H604" s="32" t="s">
        <v>1469</v>
      </c>
      <c r="I604" s="31"/>
      <c r="J604" s="31"/>
      <c r="K604" s="31"/>
      <c r="L604" s="32" t="str">
        <f>VLOOKUP(D604,'Active Employees'!$B$2:$B$498,1,false)</f>
        <v>quentin.laplanche@docker.com</v>
      </c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</row>
    <row r="605" hidden="1">
      <c r="A605" s="37" t="s">
        <v>1570</v>
      </c>
      <c r="B605" s="31" t="s">
        <v>1547</v>
      </c>
      <c r="C605" s="31" t="s">
        <v>600</v>
      </c>
      <c r="D605" s="31" t="s">
        <v>871</v>
      </c>
      <c r="E605" s="31" t="s">
        <v>1930</v>
      </c>
      <c r="F605" s="31" t="s">
        <v>1734</v>
      </c>
      <c r="G605" s="31" t="s">
        <v>1612</v>
      </c>
      <c r="H605" s="32" t="s">
        <v>1469</v>
      </c>
      <c r="I605" s="31"/>
      <c r="J605" s="31"/>
      <c r="K605" s="31"/>
      <c r="L605" s="32" t="str">
        <f>VLOOKUP(D605,'Active Employees'!$B$2:$B$498,1,false)</f>
        <v>quentin.laplanche@docker.com</v>
      </c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</row>
    <row r="606" hidden="1">
      <c r="A606" s="37" t="s">
        <v>1570</v>
      </c>
      <c r="B606" s="31" t="s">
        <v>1547</v>
      </c>
      <c r="C606" s="31" t="s">
        <v>1593</v>
      </c>
      <c r="D606" s="31" t="s">
        <v>871</v>
      </c>
      <c r="E606" s="31" t="s">
        <v>1930</v>
      </c>
      <c r="F606" s="31" t="s">
        <v>1734</v>
      </c>
      <c r="G606" s="31" t="s">
        <v>1612</v>
      </c>
      <c r="H606" s="32" t="s">
        <v>1469</v>
      </c>
      <c r="I606" s="31"/>
      <c r="J606" s="31"/>
      <c r="K606" s="31"/>
      <c r="L606" s="32" t="str">
        <f>VLOOKUP(D606,'Active Employees'!$B$2:$B$498,1,false)</f>
        <v>quentin.laplanche@docker.com</v>
      </c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</row>
    <row r="607" hidden="1">
      <c r="A607" s="37" t="s">
        <v>1570</v>
      </c>
      <c r="B607" s="31" t="s">
        <v>1547</v>
      </c>
      <c r="C607" s="31" t="s">
        <v>1594</v>
      </c>
      <c r="D607" s="31" t="s">
        <v>871</v>
      </c>
      <c r="E607" s="31" t="s">
        <v>1930</v>
      </c>
      <c r="F607" s="31" t="s">
        <v>1734</v>
      </c>
      <c r="G607" s="31" t="s">
        <v>1612</v>
      </c>
      <c r="H607" s="32" t="s">
        <v>1469</v>
      </c>
      <c r="I607" s="31"/>
      <c r="J607" s="31"/>
      <c r="K607" s="31"/>
      <c r="L607" s="32" t="str">
        <f>VLOOKUP(D607,'Active Employees'!$B$2:$B$498,1,false)</f>
        <v>quentin.laplanche@docker.com</v>
      </c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</row>
    <row r="608" hidden="1">
      <c r="A608" s="37" t="s">
        <v>1522</v>
      </c>
      <c r="B608" s="31" t="s">
        <v>1547</v>
      </c>
      <c r="C608" s="31" t="s">
        <v>1565</v>
      </c>
      <c r="D608" s="31" t="s">
        <v>1931</v>
      </c>
      <c r="E608" s="31" t="s">
        <v>1932</v>
      </c>
      <c r="F608" s="31" t="s">
        <v>1884</v>
      </c>
      <c r="G608" s="31" t="s">
        <v>1612</v>
      </c>
      <c r="H608" s="32" t="s">
        <v>1469</v>
      </c>
      <c r="I608" s="31"/>
      <c r="J608" s="31"/>
      <c r="K608" s="31"/>
      <c r="L608" s="32" t="str">
        <f>VLOOKUP(D608,'Active Employees'!$B$2:$B$498,1,false)</f>
        <v>#N/A</v>
      </c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</row>
    <row r="609" hidden="1">
      <c r="A609" s="37" t="s">
        <v>1522</v>
      </c>
      <c r="B609" s="31" t="s">
        <v>1547</v>
      </c>
      <c r="C609" s="31" t="s">
        <v>1565</v>
      </c>
      <c r="D609" s="31" t="s">
        <v>1933</v>
      </c>
      <c r="E609" s="31" t="s">
        <v>1934</v>
      </c>
      <c r="F609" s="31" t="s">
        <v>1640</v>
      </c>
      <c r="G609" s="31" t="s">
        <v>1528</v>
      </c>
      <c r="H609" s="32" t="s">
        <v>1469</v>
      </c>
      <c r="I609" s="31"/>
      <c r="J609" s="31"/>
      <c r="K609" s="31"/>
      <c r="L609" s="32" t="str">
        <f>VLOOKUP(D609,'Active Employees'!$B$2:$B$498,1,false)</f>
        <v>#N/A</v>
      </c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</row>
    <row r="610" hidden="1">
      <c r="A610" s="37" t="s">
        <v>1570</v>
      </c>
      <c r="B610" s="31" t="s">
        <v>1547</v>
      </c>
      <c r="C610" s="31" t="s">
        <v>1584</v>
      </c>
      <c r="D610" s="31" t="s">
        <v>1328</v>
      </c>
      <c r="E610" s="31" t="s">
        <v>1934</v>
      </c>
      <c r="F610" s="31" t="s">
        <v>1640</v>
      </c>
      <c r="G610" s="31" t="s">
        <v>1528</v>
      </c>
      <c r="H610" s="32" t="s">
        <v>1469</v>
      </c>
      <c r="I610" s="31"/>
      <c r="J610" s="31"/>
      <c r="K610" s="31"/>
      <c r="L610" s="32" t="str">
        <f>VLOOKUP(D610,'Active Employees'!$B$2:$B$498,1,false)</f>
        <v>remy.suen@docker.com</v>
      </c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</row>
    <row r="611" hidden="1">
      <c r="A611" s="37" t="s">
        <v>1570</v>
      </c>
      <c r="B611" s="31" t="s">
        <v>1547</v>
      </c>
      <c r="C611" s="31" t="s">
        <v>1584</v>
      </c>
      <c r="D611" s="31" t="s">
        <v>1159</v>
      </c>
      <c r="E611" s="31" t="s">
        <v>1935</v>
      </c>
      <c r="F611" s="31" t="s">
        <v>1640</v>
      </c>
      <c r="G611" s="31" t="s">
        <v>1528</v>
      </c>
      <c r="H611" s="32" t="s">
        <v>1469</v>
      </c>
      <c r="I611" s="31"/>
      <c r="J611" s="31"/>
      <c r="K611" s="31"/>
      <c r="L611" s="32" t="str">
        <f>VLOOKUP(D611,'Active Employees'!$B$2:$B$498,1,false)</f>
        <v>rick.redondo@docker.com</v>
      </c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</row>
    <row r="612" hidden="1">
      <c r="A612" s="37" t="s">
        <v>1570</v>
      </c>
      <c r="B612" s="31" t="s">
        <v>1547</v>
      </c>
      <c r="C612" s="31" t="s">
        <v>1594</v>
      </c>
      <c r="D612" s="31" t="s">
        <v>899</v>
      </c>
      <c r="E612" s="31" t="s">
        <v>1936</v>
      </c>
      <c r="F612" s="31" t="s">
        <v>1807</v>
      </c>
      <c r="G612" s="31" t="s">
        <v>1612</v>
      </c>
      <c r="H612" s="32" t="s">
        <v>1469</v>
      </c>
      <c r="I612" s="31"/>
      <c r="J612" s="31"/>
      <c r="K612" s="31"/>
      <c r="L612" s="32" t="str">
        <f>VLOOKUP(D612,'Active Employees'!$B$2:$B$498,1,false)</f>
        <v>Robert.Lorimer@docker.com</v>
      </c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</row>
    <row r="613">
      <c r="A613" s="37" t="s">
        <v>1570</v>
      </c>
      <c r="B613" s="31" t="s">
        <v>1547</v>
      </c>
      <c r="C613" s="31" t="s">
        <v>1594</v>
      </c>
      <c r="D613" s="31" t="s">
        <v>899</v>
      </c>
      <c r="E613" s="31" t="s">
        <v>1936</v>
      </c>
      <c r="F613" s="31" t="s">
        <v>1810</v>
      </c>
      <c r="G613" s="31" t="s">
        <v>1612</v>
      </c>
      <c r="H613" s="32" t="s">
        <v>1469</v>
      </c>
      <c r="I613" s="31"/>
      <c r="J613" s="31"/>
      <c r="K613" s="31"/>
      <c r="L613" s="32" t="str">
        <f>VLOOKUP(D613,'Active Employees'!$B$2:$B$498,1,false)</f>
        <v>Robert.Lorimer@docker.com</v>
      </c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</row>
    <row r="614">
      <c r="A614" s="37" t="s">
        <v>1522</v>
      </c>
      <c r="B614" s="31" t="s">
        <v>1547</v>
      </c>
      <c r="C614" s="31" t="s">
        <v>1558</v>
      </c>
      <c r="D614" s="31" t="s">
        <v>1937</v>
      </c>
      <c r="E614" s="31" t="s">
        <v>1938</v>
      </c>
      <c r="F614" s="31" t="s">
        <v>1683</v>
      </c>
      <c r="G614" s="31" t="s">
        <v>1612</v>
      </c>
      <c r="H614" s="32" t="s">
        <v>1469</v>
      </c>
      <c r="I614" s="31"/>
      <c r="J614" s="31"/>
      <c r="K614" s="31"/>
      <c r="L614" s="32" t="str">
        <f>VLOOKUP(D614,'Active Employees'!$B$2:$B$498,1,false)</f>
        <v>#N/A</v>
      </c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</row>
    <row r="615">
      <c r="A615" s="37" t="s">
        <v>1522</v>
      </c>
      <c r="B615" s="31" t="s">
        <v>1547</v>
      </c>
      <c r="C615" s="31" t="s">
        <v>1565</v>
      </c>
      <c r="D615" s="31" t="s">
        <v>1937</v>
      </c>
      <c r="E615" s="31" t="s">
        <v>1938</v>
      </c>
      <c r="F615" s="31" t="s">
        <v>1683</v>
      </c>
      <c r="G615" s="31" t="s">
        <v>1612</v>
      </c>
      <c r="H615" s="32" t="s">
        <v>1469</v>
      </c>
      <c r="I615" s="31"/>
      <c r="J615" s="31"/>
      <c r="K615" s="31"/>
      <c r="L615" s="32" t="str">
        <f>VLOOKUP(D615,'Active Employees'!$B$2:$B$498,1,false)</f>
        <v>#N/A</v>
      </c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</row>
    <row r="616">
      <c r="A616" s="37" t="s">
        <v>1522</v>
      </c>
      <c r="B616" s="31" t="s">
        <v>1547</v>
      </c>
      <c r="C616" s="31" t="s">
        <v>1565</v>
      </c>
      <c r="D616" s="31" t="s">
        <v>1937</v>
      </c>
      <c r="E616" s="31" t="s">
        <v>1938</v>
      </c>
      <c r="F616" s="31" t="s">
        <v>1481</v>
      </c>
      <c r="G616" s="31" t="s">
        <v>1528</v>
      </c>
      <c r="H616" s="32" t="s">
        <v>1469</v>
      </c>
      <c r="I616" s="31"/>
      <c r="J616" s="31"/>
      <c r="K616" s="31"/>
      <c r="L616" s="32" t="str">
        <f>VLOOKUP(D616,'Active Employees'!$B$2:$B$498,1,false)</f>
        <v>#N/A</v>
      </c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</row>
    <row r="617">
      <c r="A617" s="37" t="s">
        <v>1522</v>
      </c>
      <c r="B617" s="31" t="s">
        <v>1547</v>
      </c>
      <c r="C617" s="31" t="s">
        <v>1566</v>
      </c>
      <c r="D617" s="31" t="s">
        <v>1937</v>
      </c>
      <c r="E617" s="31" t="s">
        <v>1938</v>
      </c>
      <c r="F617" s="31" t="s">
        <v>1683</v>
      </c>
      <c r="G617" s="31" t="s">
        <v>1612</v>
      </c>
      <c r="H617" s="32" t="s">
        <v>1469</v>
      </c>
      <c r="I617" s="31"/>
      <c r="J617" s="31"/>
      <c r="K617" s="31"/>
      <c r="L617" s="32" t="str">
        <f>VLOOKUP(D617,'Active Employees'!$B$2:$B$498,1,false)</f>
        <v>#N/A</v>
      </c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</row>
    <row r="618">
      <c r="A618" s="37" t="s">
        <v>1522</v>
      </c>
      <c r="B618" s="31" t="s">
        <v>1547</v>
      </c>
      <c r="C618" s="31" t="s">
        <v>1567</v>
      </c>
      <c r="D618" s="31" t="s">
        <v>1937</v>
      </c>
      <c r="E618" s="31" t="s">
        <v>1938</v>
      </c>
      <c r="F618" s="31" t="s">
        <v>1683</v>
      </c>
      <c r="G618" s="31" t="s">
        <v>1612</v>
      </c>
      <c r="H618" s="32" t="s">
        <v>1469</v>
      </c>
      <c r="I618" s="31"/>
      <c r="J618" s="31"/>
      <c r="K618" s="31"/>
      <c r="L618" s="32" t="str">
        <f>VLOOKUP(D618,'Active Employees'!$B$2:$B$498,1,false)</f>
        <v>#N/A</v>
      </c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</row>
    <row r="619">
      <c r="A619" s="37" t="s">
        <v>1570</v>
      </c>
      <c r="B619" s="31" t="s">
        <v>1523</v>
      </c>
      <c r="C619" s="31" t="s">
        <v>1524</v>
      </c>
      <c r="D619" s="31" t="s">
        <v>206</v>
      </c>
      <c r="E619" s="31" t="s">
        <v>1938</v>
      </c>
      <c r="F619" s="31" t="s">
        <v>1699</v>
      </c>
      <c r="G619" s="31" t="s">
        <v>1612</v>
      </c>
      <c r="H619" s="32" t="s">
        <v>1469</v>
      </c>
      <c r="I619" s="31"/>
      <c r="J619" s="31"/>
      <c r="K619" s="31"/>
      <c r="L619" s="32" t="str">
        <f>VLOOKUP(D619,'Active Employees'!$B$2:$B$498,1,false)</f>
        <v>romain.belorgey@docker.com</v>
      </c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</row>
    <row r="620">
      <c r="A620" s="37" t="s">
        <v>1570</v>
      </c>
      <c r="B620" s="31" t="s">
        <v>1547</v>
      </c>
      <c r="C620" s="31" t="s">
        <v>1576</v>
      </c>
      <c r="D620" s="31" t="s">
        <v>206</v>
      </c>
      <c r="E620" s="31" t="s">
        <v>1938</v>
      </c>
      <c r="F620" s="31" t="s">
        <v>1549</v>
      </c>
      <c r="G620" s="31" t="s">
        <v>1528</v>
      </c>
      <c r="H620" s="32" t="s">
        <v>1469</v>
      </c>
      <c r="I620" s="31"/>
      <c r="J620" s="31"/>
      <c r="K620" s="31"/>
      <c r="L620" s="32" t="str">
        <f>VLOOKUP(D620,'Active Employees'!$B$2:$B$498,1,false)</f>
        <v>romain.belorgey@docker.com</v>
      </c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</row>
    <row r="621">
      <c r="A621" s="37" t="s">
        <v>1570</v>
      </c>
      <c r="B621" s="31" t="s">
        <v>1547</v>
      </c>
      <c r="C621" s="31" t="s">
        <v>1577</v>
      </c>
      <c r="D621" s="31" t="s">
        <v>206</v>
      </c>
      <c r="E621" s="31" t="s">
        <v>1938</v>
      </c>
      <c r="F621" s="31" t="s">
        <v>1549</v>
      </c>
      <c r="G621" s="31" t="s">
        <v>1528</v>
      </c>
      <c r="H621" s="32" t="s">
        <v>1469</v>
      </c>
      <c r="I621" s="31"/>
      <c r="J621" s="31"/>
      <c r="K621" s="31"/>
      <c r="L621" s="32" t="str">
        <f>VLOOKUP(D621,'Active Employees'!$B$2:$B$498,1,false)</f>
        <v>romain.belorgey@docker.com</v>
      </c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</row>
    <row r="622">
      <c r="A622" s="37" t="s">
        <v>1570</v>
      </c>
      <c r="B622" s="31" t="s">
        <v>1547</v>
      </c>
      <c r="C622" s="31" t="s">
        <v>1578</v>
      </c>
      <c r="D622" s="31" t="s">
        <v>206</v>
      </c>
      <c r="E622" s="31" t="s">
        <v>1938</v>
      </c>
      <c r="F622" s="31" t="s">
        <v>1700</v>
      </c>
      <c r="G622" s="31" t="s">
        <v>1612</v>
      </c>
      <c r="H622" s="32" t="s">
        <v>1469</v>
      </c>
      <c r="I622" s="31"/>
      <c r="J622" s="31"/>
      <c r="K622" s="31"/>
      <c r="L622" s="32" t="str">
        <f>VLOOKUP(D622,'Active Employees'!$B$2:$B$498,1,false)</f>
        <v>romain.belorgey@docker.com</v>
      </c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</row>
    <row r="623">
      <c r="A623" s="37" t="s">
        <v>1570</v>
      </c>
      <c r="B623" s="31" t="s">
        <v>1547</v>
      </c>
      <c r="C623" s="31" t="s">
        <v>1578</v>
      </c>
      <c r="D623" s="31" t="s">
        <v>206</v>
      </c>
      <c r="E623" s="31" t="s">
        <v>1938</v>
      </c>
      <c r="F623" s="31" t="s">
        <v>1549</v>
      </c>
      <c r="G623" s="31" t="s">
        <v>1528</v>
      </c>
      <c r="H623" s="32" t="s">
        <v>1469</v>
      </c>
      <c r="I623" s="31"/>
      <c r="J623" s="31"/>
      <c r="K623" s="31"/>
      <c r="L623" s="32" t="str">
        <f>VLOOKUP(D623,'Active Employees'!$B$2:$B$498,1,false)</f>
        <v>romain.belorgey@docker.com</v>
      </c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</row>
    <row r="624">
      <c r="A624" s="37" t="s">
        <v>1570</v>
      </c>
      <c r="B624" s="31" t="s">
        <v>1547</v>
      </c>
      <c r="C624" s="31" t="s">
        <v>1579</v>
      </c>
      <c r="D624" s="31" t="s">
        <v>206</v>
      </c>
      <c r="E624" s="31" t="s">
        <v>1938</v>
      </c>
      <c r="F624" s="31" t="s">
        <v>1700</v>
      </c>
      <c r="G624" s="31" t="s">
        <v>1612</v>
      </c>
      <c r="H624" s="32" t="s">
        <v>1469</v>
      </c>
      <c r="I624" s="31"/>
      <c r="J624" s="31"/>
      <c r="K624" s="31"/>
      <c r="L624" s="32" t="str">
        <f>VLOOKUP(D624,'Active Employees'!$B$2:$B$498,1,false)</f>
        <v>romain.belorgey@docker.com</v>
      </c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</row>
    <row r="625">
      <c r="A625" s="37" t="s">
        <v>1570</v>
      </c>
      <c r="B625" s="31" t="s">
        <v>1547</v>
      </c>
      <c r="C625" s="31" t="s">
        <v>1579</v>
      </c>
      <c r="D625" s="31" t="s">
        <v>206</v>
      </c>
      <c r="E625" s="31" t="s">
        <v>1938</v>
      </c>
      <c r="F625" s="31" t="s">
        <v>1549</v>
      </c>
      <c r="G625" s="31" t="s">
        <v>1528</v>
      </c>
      <c r="H625" s="32" t="s">
        <v>1469</v>
      </c>
      <c r="I625" s="31"/>
      <c r="J625" s="31"/>
      <c r="K625" s="31"/>
      <c r="L625" s="32" t="str">
        <f>VLOOKUP(D625,'Active Employees'!$B$2:$B$498,1,false)</f>
        <v>romain.belorgey@docker.com</v>
      </c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</row>
    <row r="626">
      <c r="A626" s="37" t="s">
        <v>1570</v>
      </c>
      <c r="B626" s="31" t="s">
        <v>1547</v>
      </c>
      <c r="C626" s="31" t="s">
        <v>1584</v>
      </c>
      <c r="D626" s="31" t="s">
        <v>206</v>
      </c>
      <c r="E626" s="31" t="s">
        <v>1938</v>
      </c>
      <c r="F626" s="31" t="s">
        <v>1549</v>
      </c>
      <c r="G626" s="31" t="s">
        <v>1528</v>
      </c>
      <c r="H626" s="32" t="s">
        <v>1469</v>
      </c>
      <c r="I626" s="31"/>
      <c r="J626" s="31"/>
      <c r="K626" s="31"/>
      <c r="L626" s="32" t="str">
        <f>VLOOKUP(D626,'Active Employees'!$B$2:$B$498,1,false)</f>
        <v>romain.belorgey@docker.com</v>
      </c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</row>
    <row r="627">
      <c r="A627" s="37" t="s">
        <v>1570</v>
      </c>
      <c r="B627" s="31" t="s">
        <v>1547</v>
      </c>
      <c r="C627" s="31" t="s">
        <v>1588</v>
      </c>
      <c r="D627" s="31" t="s">
        <v>206</v>
      </c>
      <c r="E627" s="31" t="s">
        <v>1938</v>
      </c>
      <c r="F627" s="31" t="s">
        <v>1549</v>
      </c>
      <c r="G627" s="31" t="s">
        <v>1528</v>
      </c>
      <c r="H627" s="32" t="s">
        <v>1469</v>
      </c>
      <c r="I627" s="31"/>
      <c r="J627" s="31"/>
      <c r="K627" s="31"/>
      <c r="L627" s="32" t="str">
        <f>VLOOKUP(D627,'Active Employees'!$B$2:$B$498,1,false)</f>
        <v>romain.belorgey@docker.com</v>
      </c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</row>
    <row r="628">
      <c r="A628" s="37" t="s">
        <v>1570</v>
      </c>
      <c r="B628" s="31" t="s">
        <v>1547</v>
      </c>
      <c r="C628" s="31" t="s">
        <v>1589</v>
      </c>
      <c r="D628" s="31" t="s">
        <v>206</v>
      </c>
      <c r="E628" s="31" t="s">
        <v>1938</v>
      </c>
      <c r="F628" s="31" t="s">
        <v>1549</v>
      </c>
      <c r="G628" s="31" t="s">
        <v>1528</v>
      </c>
      <c r="H628" s="32" t="s">
        <v>1469</v>
      </c>
      <c r="I628" s="31"/>
      <c r="J628" s="31"/>
      <c r="K628" s="31"/>
      <c r="L628" s="32" t="str">
        <f>VLOOKUP(D628,'Active Employees'!$B$2:$B$498,1,false)</f>
        <v>romain.belorgey@docker.com</v>
      </c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</row>
    <row r="629">
      <c r="A629" s="37" t="s">
        <v>1570</v>
      </c>
      <c r="B629" s="31" t="s">
        <v>1547</v>
      </c>
      <c r="C629" s="31" t="s">
        <v>1590</v>
      </c>
      <c r="D629" s="31" t="s">
        <v>206</v>
      </c>
      <c r="E629" s="31" t="s">
        <v>1938</v>
      </c>
      <c r="F629" s="31" t="s">
        <v>1549</v>
      </c>
      <c r="G629" s="31" t="s">
        <v>1528</v>
      </c>
      <c r="H629" s="32" t="s">
        <v>1469</v>
      </c>
      <c r="I629" s="31"/>
      <c r="J629" s="31"/>
      <c r="K629" s="31"/>
      <c r="L629" s="32" t="str">
        <f>VLOOKUP(D629,'Active Employees'!$B$2:$B$498,1,false)</f>
        <v>romain.belorgey@docker.com</v>
      </c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</row>
    <row r="630">
      <c r="A630" s="37" t="s">
        <v>1570</v>
      </c>
      <c r="B630" s="31" t="s">
        <v>1547</v>
      </c>
      <c r="C630" s="31" t="s">
        <v>1591</v>
      </c>
      <c r="D630" s="31" t="s">
        <v>206</v>
      </c>
      <c r="E630" s="31" t="s">
        <v>1938</v>
      </c>
      <c r="F630" s="31" t="s">
        <v>1700</v>
      </c>
      <c r="G630" s="31" t="s">
        <v>1612</v>
      </c>
      <c r="H630" s="32" t="s">
        <v>1469</v>
      </c>
      <c r="I630" s="31"/>
      <c r="J630" s="31"/>
      <c r="K630" s="31"/>
      <c r="L630" s="32" t="str">
        <f>VLOOKUP(D630,'Active Employees'!$B$2:$B$498,1,false)</f>
        <v>romain.belorgey@docker.com</v>
      </c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</row>
    <row r="631" hidden="1">
      <c r="A631" s="37" t="s">
        <v>1570</v>
      </c>
      <c r="B631" s="31" t="s">
        <v>1547</v>
      </c>
      <c r="C631" s="31" t="s">
        <v>1592</v>
      </c>
      <c r="D631" s="31" t="s">
        <v>1939</v>
      </c>
      <c r="E631" s="31" t="s">
        <v>1940</v>
      </c>
      <c r="F631" s="31" t="s">
        <v>1941</v>
      </c>
      <c r="G631" s="31" t="s">
        <v>1612</v>
      </c>
      <c r="H631" s="32" t="s">
        <v>1483</v>
      </c>
      <c r="I631" s="31"/>
      <c r="J631" s="31"/>
      <c r="K631" s="31"/>
      <c r="L631" s="32" t="str">
        <f>VLOOKUP(D631,'Active Employees'!$B$2:$B$498,1,false)</f>
        <v>#N/A</v>
      </c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</row>
    <row r="632" hidden="1">
      <c r="A632" s="37" t="s">
        <v>1570</v>
      </c>
      <c r="B632" s="31" t="s">
        <v>1547</v>
      </c>
      <c r="C632" s="31" t="s">
        <v>1592</v>
      </c>
      <c r="D632" s="31" t="s">
        <v>1942</v>
      </c>
      <c r="E632" s="31" t="s">
        <v>1943</v>
      </c>
      <c r="F632" s="31" t="s">
        <v>1481</v>
      </c>
      <c r="G632" s="31" t="s">
        <v>1687</v>
      </c>
      <c r="H632" s="32" t="s">
        <v>1483</v>
      </c>
      <c r="I632" s="31"/>
      <c r="J632" s="31"/>
      <c r="K632" s="31"/>
      <c r="L632" s="32" t="str">
        <f>VLOOKUP(D632,'Active Employees'!$B$2:$B$498,1,false)</f>
        <v>#N/A</v>
      </c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</row>
    <row r="633">
      <c r="A633" s="37" t="s">
        <v>1570</v>
      </c>
      <c r="B633" s="31" t="s">
        <v>1547</v>
      </c>
      <c r="C633" s="31" t="s">
        <v>1591</v>
      </c>
      <c r="D633" s="31" t="s">
        <v>206</v>
      </c>
      <c r="E633" s="31" t="s">
        <v>1938</v>
      </c>
      <c r="F633" s="31" t="s">
        <v>1703</v>
      </c>
      <c r="G633" s="31" t="s">
        <v>1612</v>
      </c>
      <c r="H633" s="32" t="s">
        <v>1469</v>
      </c>
      <c r="I633" s="31"/>
      <c r="J633" s="31"/>
      <c r="K633" s="31"/>
      <c r="L633" s="32" t="str">
        <f>VLOOKUP(D633,'Active Employees'!$B$2:$B$498,1,false)</f>
        <v>romain.belorgey@docker.com</v>
      </c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</row>
    <row r="634">
      <c r="A634" s="37" t="s">
        <v>1570</v>
      </c>
      <c r="B634" s="31" t="s">
        <v>1547</v>
      </c>
      <c r="C634" s="31" t="s">
        <v>1591</v>
      </c>
      <c r="D634" s="31" t="s">
        <v>206</v>
      </c>
      <c r="E634" s="31" t="s">
        <v>1938</v>
      </c>
      <c r="F634" s="31" t="s">
        <v>1549</v>
      </c>
      <c r="G634" s="31" t="s">
        <v>1528</v>
      </c>
      <c r="H634" s="32" t="s">
        <v>1469</v>
      </c>
      <c r="I634" s="31"/>
      <c r="J634" s="31"/>
      <c r="K634" s="31"/>
      <c r="L634" s="32" t="str">
        <f>VLOOKUP(D634,'Active Employees'!$B$2:$B$498,1,false)</f>
        <v>romain.belorgey@docker.com</v>
      </c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</row>
    <row r="635">
      <c r="A635" s="37" t="s">
        <v>1570</v>
      </c>
      <c r="B635" s="31" t="s">
        <v>1547</v>
      </c>
      <c r="C635" s="31" t="s">
        <v>1592</v>
      </c>
      <c r="D635" s="31" t="s">
        <v>206</v>
      </c>
      <c r="E635" s="31" t="s">
        <v>1938</v>
      </c>
      <c r="F635" s="31" t="s">
        <v>1700</v>
      </c>
      <c r="G635" s="31" t="s">
        <v>1612</v>
      </c>
      <c r="H635" s="32" t="s">
        <v>1469</v>
      </c>
      <c r="I635" s="31"/>
      <c r="J635" s="31"/>
      <c r="K635" s="31"/>
      <c r="L635" s="32" t="str">
        <f>VLOOKUP(D635,'Active Employees'!$B$2:$B$498,1,false)</f>
        <v>romain.belorgey@docker.com</v>
      </c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</row>
    <row r="636">
      <c r="A636" s="37" t="s">
        <v>1570</v>
      </c>
      <c r="B636" s="31" t="s">
        <v>1547</v>
      </c>
      <c r="C636" s="31" t="s">
        <v>1592</v>
      </c>
      <c r="D636" s="31" t="s">
        <v>206</v>
      </c>
      <c r="E636" s="31" t="s">
        <v>1938</v>
      </c>
      <c r="F636" s="31" t="s">
        <v>1703</v>
      </c>
      <c r="G636" s="31" t="s">
        <v>1612</v>
      </c>
      <c r="H636" s="32" t="s">
        <v>1469</v>
      </c>
      <c r="I636" s="31"/>
      <c r="J636" s="31"/>
      <c r="K636" s="31"/>
      <c r="L636" s="32" t="str">
        <f>VLOOKUP(D636,'Active Employees'!$B$2:$B$498,1,false)</f>
        <v>romain.belorgey@docker.com</v>
      </c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</row>
    <row r="637">
      <c r="A637" s="37" t="s">
        <v>1570</v>
      </c>
      <c r="B637" s="31" t="s">
        <v>1547</v>
      </c>
      <c r="C637" s="31" t="s">
        <v>1592</v>
      </c>
      <c r="D637" s="31" t="s">
        <v>206</v>
      </c>
      <c r="E637" s="31" t="s">
        <v>1938</v>
      </c>
      <c r="F637" s="31" t="s">
        <v>1549</v>
      </c>
      <c r="G637" s="31" t="s">
        <v>1528</v>
      </c>
      <c r="H637" s="32" t="s">
        <v>1469</v>
      </c>
      <c r="I637" s="31"/>
      <c r="J637" s="31"/>
      <c r="K637" s="31"/>
      <c r="L637" s="32" t="str">
        <f>VLOOKUP(D637,'Active Employees'!$B$2:$B$498,1,false)</f>
        <v>romain.belorgey@docker.com</v>
      </c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</row>
    <row r="638">
      <c r="A638" s="37" t="s">
        <v>1570</v>
      </c>
      <c r="B638" s="31" t="s">
        <v>1547</v>
      </c>
      <c r="C638" s="31" t="s">
        <v>600</v>
      </c>
      <c r="D638" s="31" t="s">
        <v>206</v>
      </c>
      <c r="E638" s="31" t="s">
        <v>1938</v>
      </c>
      <c r="F638" s="31" t="s">
        <v>1549</v>
      </c>
      <c r="G638" s="31" t="s">
        <v>1528</v>
      </c>
      <c r="H638" s="32" t="s">
        <v>1469</v>
      </c>
      <c r="I638" s="31"/>
      <c r="J638" s="31"/>
      <c r="K638" s="31"/>
      <c r="L638" s="32" t="str">
        <f>VLOOKUP(D638,'Active Employees'!$B$2:$B$498,1,false)</f>
        <v>romain.belorgey@docker.com</v>
      </c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</row>
    <row r="639">
      <c r="A639" s="37" t="s">
        <v>1570</v>
      </c>
      <c r="B639" s="31" t="s">
        <v>1547</v>
      </c>
      <c r="C639" s="31" t="s">
        <v>1593</v>
      </c>
      <c r="D639" s="31" t="s">
        <v>206</v>
      </c>
      <c r="E639" s="31" t="s">
        <v>1938</v>
      </c>
      <c r="F639" s="31" t="s">
        <v>1704</v>
      </c>
      <c r="G639" s="31" t="s">
        <v>1612</v>
      </c>
      <c r="H639" s="32" t="s">
        <v>1469</v>
      </c>
      <c r="I639" s="31"/>
      <c r="J639" s="31"/>
      <c r="K639" s="31"/>
      <c r="L639" s="32" t="str">
        <f>VLOOKUP(D639,'Active Employees'!$B$2:$B$498,1,false)</f>
        <v>romain.belorgey@docker.com</v>
      </c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</row>
    <row r="640">
      <c r="A640" s="37" t="s">
        <v>1570</v>
      </c>
      <c r="B640" s="31" t="s">
        <v>1547</v>
      </c>
      <c r="C640" s="31" t="s">
        <v>1593</v>
      </c>
      <c r="D640" s="31" t="s">
        <v>206</v>
      </c>
      <c r="E640" s="31" t="s">
        <v>1938</v>
      </c>
      <c r="F640" s="31" t="s">
        <v>1549</v>
      </c>
      <c r="G640" s="31" t="s">
        <v>1528</v>
      </c>
      <c r="H640" s="32" t="s">
        <v>1469</v>
      </c>
      <c r="I640" s="31"/>
      <c r="J640" s="31"/>
      <c r="K640" s="31"/>
      <c r="L640" s="32" t="str">
        <f>VLOOKUP(D640,'Active Employees'!$B$2:$B$498,1,false)</f>
        <v>romain.belorgey@docker.com</v>
      </c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</row>
    <row r="641">
      <c r="A641" s="37" t="s">
        <v>1570</v>
      </c>
      <c r="B641" s="31" t="s">
        <v>1547</v>
      </c>
      <c r="C641" s="31" t="s">
        <v>1594</v>
      </c>
      <c r="D641" s="31" t="s">
        <v>206</v>
      </c>
      <c r="E641" s="31" t="s">
        <v>1938</v>
      </c>
      <c r="F641" s="31" t="s">
        <v>1549</v>
      </c>
      <c r="G641" s="31" t="s">
        <v>1528</v>
      </c>
      <c r="H641" s="32" t="s">
        <v>1469</v>
      </c>
      <c r="I641" s="31"/>
      <c r="J641" s="31"/>
      <c r="K641" s="31"/>
      <c r="L641" s="32" t="str">
        <f>VLOOKUP(D641,'Active Employees'!$B$2:$B$498,1,false)</f>
        <v>romain.belorgey@docker.com</v>
      </c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</row>
    <row r="642">
      <c r="A642" s="37" t="s">
        <v>1570</v>
      </c>
      <c r="B642" s="31" t="s">
        <v>1568</v>
      </c>
      <c r="C642" s="31" t="s">
        <v>1569</v>
      </c>
      <c r="D642" s="31" t="s">
        <v>206</v>
      </c>
      <c r="E642" s="31" t="s">
        <v>1938</v>
      </c>
      <c r="F642" s="31" t="s">
        <v>1549</v>
      </c>
      <c r="G642" s="31" t="s">
        <v>1528</v>
      </c>
      <c r="H642" s="32" t="s">
        <v>1469</v>
      </c>
      <c r="I642" s="31"/>
      <c r="J642" s="31"/>
      <c r="K642" s="31"/>
      <c r="L642" s="32" t="str">
        <f>VLOOKUP(D642,'Active Employees'!$B$2:$B$498,1,false)</f>
        <v>romain.belorgey@docker.com</v>
      </c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</row>
    <row r="643">
      <c r="A643" s="37" t="s">
        <v>1570</v>
      </c>
      <c r="B643" s="31" t="s">
        <v>1568</v>
      </c>
      <c r="C643" s="31" t="s">
        <v>1595</v>
      </c>
      <c r="D643" s="31" t="s">
        <v>206</v>
      </c>
      <c r="E643" s="31" t="s">
        <v>1938</v>
      </c>
      <c r="F643" s="31" t="s">
        <v>1549</v>
      </c>
      <c r="G643" s="31" t="s">
        <v>1528</v>
      </c>
      <c r="H643" s="32" t="s">
        <v>1469</v>
      </c>
      <c r="I643" s="31"/>
      <c r="J643" s="31"/>
      <c r="K643" s="31"/>
      <c r="L643" s="32" t="str">
        <f>VLOOKUP(D643,'Active Employees'!$B$2:$B$498,1,false)</f>
        <v>romain.belorgey@docker.com</v>
      </c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</row>
    <row r="644" hidden="1">
      <c r="A644" s="37" t="s">
        <v>1570</v>
      </c>
      <c r="B644" s="31" t="s">
        <v>1547</v>
      </c>
      <c r="C644" s="31" t="s">
        <v>1578</v>
      </c>
      <c r="D644" s="31" t="s">
        <v>1197</v>
      </c>
      <c r="E644" s="31" t="s">
        <v>1944</v>
      </c>
      <c r="F644" s="31" t="s">
        <v>1734</v>
      </c>
      <c r="G644" s="31" t="s">
        <v>1612</v>
      </c>
      <c r="H644" s="32" t="s">
        <v>1469</v>
      </c>
      <c r="I644" s="31"/>
      <c r="J644" s="31"/>
      <c r="K644" s="31"/>
      <c r="L644" s="32" t="str">
        <f>VLOOKUP(D644,'Active Employees'!$B$2:$B$498,1,false)</f>
        <v>ross.russell@docker.com</v>
      </c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</row>
    <row r="645">
      <c r="A645" s="37" t="s">
        <v>1570</v>
      </c>
      <c r="B645" s="31" t="s">
        <v>1547</v>
      </c>
      <c r="C645" s="31" t="s">
        <v>1579</v>
      </c>
      <c r="D645" s="31" t="s">
        <v>1197</v>
      </c>
      <c r="E645" s="31" t="s">
        <v>1944</v>
      </c>
      <c r="F645" s="31" t="s">
        <v>1736</v>
      </c>
      <c r="G645" s="31" t="s">
        <v>1612</v>
      </c>
      <c r="H645" s="32" t="s">
        <v>1469</v>
      </c>
      <c r="I645" s="31"/>
      <c r="J645" s="31"/>
      <c r="K645" s="31"/>
      <c r="L645" s="32" t="str">
        <f>VLOOKUP(D645,'Active Employees'!$B$2:$B$498,1,false)</f>
        <v>ross.russell@docker.com</v>
      </c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</row>
    <row r="646" hidden="1">
      <c r="A646" s="37" t="s">
        <v>1570</v>
      </c>
      <c r="B646" s="31" t="s">
        <v>1547</v>
      </c>
      <c r="C646" s="31" t="s">
        <v>1579</v>
      </c>
      <c r="D646" s="31" t="s">
        <v>1197</v>
      </c>
      <c r="E646" s="31" t="s">
        <v>1944</v>
      </c>
      <c r="F646" s="31" t="s">
        <v>1734</v>
      </c>
      <c r="G646" s="31" t="s">
        <v>1612</v>
      </c>
      <c r="H646" s="32" t="s">
        <v>1469</v>
      </c>
      <c r="I646" s="31"/>
      <c r="J646" s="31"/>
      <c r="K646" s="31"/>
      <c r="L646" s="32" t="str">
        <f>VLOOKUP(D646,'Active Employees'!$B$2:$B$498,1,false)</f>
        <v>ross.russell@docker.com</v>
      </c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</row>
    <row r="647" hidden="1">
      <c r="A647" s="37" t="s">
        <v>1570</v>
      </c>
      <c r="B647" s="31" t="s">
        <v>1547</v>
      </c>
      <c r="C647" s="31" t="s">
        <v>1588</v>
      </c>
      <c r="D647" s="31" t="s">
        <v>1197</v>
      </c>
      <c r="E647" s="31" t="s">
        <v>1944</v>
      </c>
      <c r="F647" s="31" t="s">
        <v>1734</v>
      </c>
      <c r="G647" s="31" t="s">
        <v>1612</v>
      </c>
      <c r="H647" s="32" t="s">
        <v>1469</v>
      </c>
      <c r="I647" s="31"/>
      <c r="J647" s="31"/>
      <c r="K647" s="31"/>
      <c r="L647" s="32" t="str">
        <f>VLOOKUP(D647,'Active Employees'!$B$2:$B$498,1,false)</f>
        <v>ross.russell@docker.com</v>
      </c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</row>
    <row r="648" hidden="1">
      <c r="A648" s="37" t="s">
        <v>1570</v>
      </c>
      <c r="B648" s="31" t="s">
        <v>1547</v>
      </c>
      <c r="C648" s="31" t="s">
        <v>1589</v>
      </c>
      <c r="D648" s="31" t="s">
        <v>1197</v>
      </c>
      <c r="E648" s="31" t="s">
        <v>1944</v>
      </c>
      <c r="F648" s="31" t="s">
        <v>1734</v>
      </c>
      <c r="G648" s="31" t="s">
        <v>1612</v>
      </c>
      <c r="H648" s="32" t="s">
        <v>1469</v>
      </c>
      <c r="I648" s="31"/>
      <c r="J648" s="31"/>
      <c r="K648" s="31"/>
      <c r="L648" s="32" t="str">
        <f>VLOOKUP(D648,'Active Employees'!$B$2:$B$498,1,false)</f>
        <v>ross.russell@docker.com</v>
      </c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</row>
    <row r="649" hidden="1">
      <c r="A649" s="37" t="s">
        <v>1570</v>
      </c>
      <c r="B649" s="31" t="s">
        <v>1547</v>
      </c>
      <c r="C649" s="31" t="s">
        <v>1590</v>
      </c>
      <c r="D649" s="31" t="s">
        <v>1197</v>
      </c>
      <c r="E649" s="31" t="s">
        <v>1944</v>
      </c>
      <c r="F649" s="31" t="s">
        <v>1734</v>
      </c>
      <c r="G649" s="31" t="s">
        <v>1612</v>
      </c>
      <c r="H649" s="32" t="s">
        <v>1469</v>
      </c>
      <c r="I649" s="31"/>
      <c r="J649" s="31"/>
      <c r="K649" s="31"/>
      <c r="L649" s="32" t="str">
        <f>VLOOKUP(D649,'Active Employees'!$B$2:$B$498,1,false)</f>
        <v>ross.russell@docker.com</v>
      </c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</row>
    <row r="650">
      <c r="A650" s="37" t="s">
        <v>1570</v>
      </c>
      <c r="B650" s="31" t="s">
        <v>1547</v>
      </c>
      <c r="C650" s="31" t="s">
        <v>1591</v>
      </c>
      <c r="D650" s="31" t="s">
        <v>1197</v>
      </c>
      <c r="E650" s="31" t="s">
        <v>1944</v>
      </c>
      <c r="F650" s="31" t="s">
        <v>1736</v>
      </c>
      <c r="G650" s="31" t="s">
        <v>1612</v>
      </c>
      <c r="H650" s="32" t="s">
        <v>1469</v>
      </c>
      <c r="I650" s="31"/>
      <c r="J650" s="31"/>
      <c r="K650" s="31"/>
      <c r="L650" s="32" t="str">
        <f>VLOOKUP(D650,'Active Employees'!$B$2:$B$498,1,false)</f>
        <v>ross.russell@docker.com</v>
      </c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</row>
    <row r="651" hidden="1">
      <c r="A651" s="37" t="s">
        <v>1570</v>
      </c>
      <c r="B651" s="31" t="s">
        <v>1547</v>
      </c>
      <c r="C651" s="31" t="s">
        <v>1591</v>
      </c>
      <c r="D651" s="31" t="s">
        <v>1197</v>
      </c>
      <c r="E651" s="31" t="s">
        <v>1944</v>
      </c>
      <c r="F651" s="31" t="s">
        <v>1734</v>
      </c>
      <c r="G651" s="31" t="s">
        <v>1612</v>
      </c>
      <c r="H651" s="32" t="s">
        <v>1469</v>
      </c>
      <c r="I651" s="31"/>
      <c r="J651" s="31"/>
      <c r="K651" s="31"/>
      <c r="L651" s="32" t="str">
        <f>VLOOKUP(D651,'Active Employees'!$B$2:$B$498,1,false)</f>
        <v>ross.russell@docker.com</v>
      </c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</row>
    <row r="652" hidden="1">
      <c r="A652" s="37" t="s">
        <v>1570</v>
      </c>
      <c r="B652" s="31" t="s">
        <v>1547</v>
      </c>
      <c r="C652" s="31" t="s">
        <v>600</v>
      </c>
      <c r="D652" s="31" t="s">
        <v>1868</v>
      </c>
      <c r="E652" s="31" t="s">
        <v>1869</v>
      </c>
      <c r="F652" s="31" t="s">
        <v>1640</v>
      </c>
      <c r="G652" s="31" t="s">
        <v>1687</v>
      </c>
      <c r="H652" s="32" t="s">
        <v>1469</v>
      </c>
      <c r="I652" s="31"/>
      <c r="J652" s="31"/>
      <c r="K652" s="31"/>
      <c r="L652" s="32" t="str">
        <f>VLOOKUP(D652,'Active Employees'!$B$2:$B$498,1,false)</f>
        <v>#N/A</v>
      </c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</row>
    <row r="653">
      <c r="A653" s="37" t="s">
        <v>1570</v>
      </c>
      <c r="B653" s="31" t="s">
        <v>1547</v>
      </c>
      <c r="C653" s="31" t="s">
        <v>1592</v>
      </c>
      <c r="D653" s="31" t="s">
        <v>1197</v>
      </c>
      <c r="E653" s="31" t="s">
        <v>1944</v>
      </c>
      <c r="F653" s="31" t="s">
        <v>1736</v>
      </c>
      <c r="G653" s="31" t="s">
        <v>1612</v>
      </c>
      <c r="H653" s="32" t="s">
        <v>1469</v>
      </c>
      <c r="I653" s="31"/>
      <c r="J653" s="31"/>
      <c r="K653" s="31"/>
      <c r="L653" s="32" t="str">
        <f>VLOOKUP(D653,'Active Employees'!$B$2:$B$498,1,false)</f>
        <v>ross.russell@docker.com</v>
      </c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</row>
    <row r="654" hidden="1">
      <c r="A654" s="37" t="s">
        <v>1570</v>
      </c>
      <c r="B654" s="31" t="s">
        <v>1547</v>
      </c>
      <c r="C654" s="31" t="s">
        <v>1592</v>
      </c>
      <c r="D654" s="31" t="s">
        <v>1197</v>
      </c>
      <c r="E654" s="31" t="s">
        <v>1944</v>
      </c>
      <c r="F654" s="31" t="s">
        <v>1734</v>
      </c>
      <c r="G654" s="31" t="s">
        <v>1612</v>
      </c>
      <c r="H654" s="32" t="s">
        <v>1469</v>
      </c>
      <c r="I654" s="31"/>
      <c r="J654" s="31"/>
      <c r="K654" s="31"/>
      <c r="L654" s="32" t="str">
        <f>VLOOKUP(D654,'Active Employees'!$B$2:$B$498,1,false)</f>
        <v>ross.russell@docker.com</v>
      </c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</row>
    <row r="655">
      <c r="A655" s="37" t="s">
        <v>1570</v>
      </c>
      <c r="B655" s="31" t="s">
        <v>1547</v>
      </c>
      <c r="C655" s="31" t="s">
        <v>600</v>
      </c>
      <c r="D655" s="31" t="s">
        <v>1197</v>
      </c>
      <c r="E655" s="31" t="s">
        <v>1944</v>
      </c>
      <c r="F655" s="31" t="s">
        <v>1736</v>
      </c>
      <c r="G655" s="31" t="s">
        <v>1612</v>
      </c>
      <c r="H655" s="32" t="s">
        <v>1469</v>
      </c>
      <c r="I655" s="31"/>
      <c r="J655" s="31"/>
      <c r="K655" s="31"/>
      <c r="L655" s="32" t="str">
        <f>VLOOKUP(D655,'Active Employees'!$B$2:$B$498,1,false)</f>
        <v>ross.russell@docker.com</v>
      </c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</row>
    <row r="656" hidden="1">
      <c r="A656" s="37" t="s">
        <v>1570</v>
      </c>
      <c r="B656" s="31" t="s">
        <v>1547</v>
      </c>
      <c r="C656" s="31" t="s">
        <v>600</v>
      </c>
      <c r="D656" s="31" t="s">
        <v>1197</v>
      </c>
      <c r="E656" s="31" t="s">
        <v>1944</v>
      </c>
      <c r="F656" s="31" t="s">
        <v>1734</v>
      </c>
      <c r="G656" s="31" t="s">
        <v>1612</v>
      </c>
      <c r="H656" s="32" t="s">
        <v>1469</v>
      </c>
      <c r="I656" s="31"/>
      <c r="J656" s="31"/>
      <c r="K656" s="31"/>
      <c r="L656" s="32" t="str">
        <f>VLOOKUP(D656,'Active Employees'!$B$2:$B$498,1,false)</f>
        <v>ross.russell@docker.com</v>
      </c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</row>
    <row r="657" hidden="1">
      <c r="A657" s="37" t="s">
        <v>1570</v>
      </c>
      <c r="B657" s="31" t="s">
        <v>1547</v>
      </c>
      <c r="C657" s="31" t="s">
        <v>1593</v>
      </c>
      <c r="D657" s="31" t="s">
        <v>1197</v>
      </c>
      <c r="E657" s="31" t="s">
        <v>1944</v>
      </c>
      <c r="F657" s="31" t="s">
        <v>1734</v>
      </c>
      <c r="G657" s="31" t="s">
        <v>1612</v>
      </c>
      <c r="H657" s="32" t="s">
        <v>1469</v>
      </c>
      <c r="I657" s="31"/>
      <c r="J657" s="31"/>
      <c r="K657" s="31"/>
      <c r="L657" s="32" t="str">
        <f>VLOOKUP(D657,'Active Employees'!$B$2:$B$498,1,false)</f>
        <v>ross.russell@docker.com</v>
      </c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</row>
    <row r="658" hidden="1">
      <c r="A658" s="37" t="s">
        <v>1570</v>
      </c>
      <c r="B658" s="31" t="s">
        <v>1547</v>
      </c>
      <c r="C658" s="31" t="s">
        <v>1594</v>
      </c>
      <c r="D658" s="31" t="s">
        <v>1197</v>
      </c>
      <c r="E658" s="31" t="s">
        <v>1944</v>
      </c>
      <c r="F658" s="31" t="s">
        <v>1734</v>
      </c>
      <c r="G658" s="31" t="s">
        <v>1612</v>
      </c>
      <c r="H658" s="32" t="s">
        <v>1469</v>
      </c>
      <c r="I658" s="31"/>
      <c r="J658" s="31"/>
      <c r="K658" s="31"/>
      <c r="L658" s="32" t="str">
        <f>VLOOKUP(D658,'Active Employees'!$B$2:$B$498,1,false)</f>
        <v>ross.russell@docker.com</v>
      </c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</row>
    <row r="659">
      <c r="A659" s="37" t="s">
        <v>1522</v>
      </c>
      <c r="B659" s="31" t="s">
        <v>1523</v>
      </c>
      <c r="C659" s="31" t="s">
        <v>1524</v>
      </c>
      <c r="D659" s="31" t="s">
        <v>1945</v>
      </c>
      <c r="E659" s="31" t="s">
        <v>1218</v>
      </c>
      <c r="F659" s="31" t="s">
        <v>1541</v>
      </c>
      <c r="G659" s="31" t="s">
        <v>1528</v>
      </c>
      <c r="H659" s="32" t="s">
        <v>1469</v>
      </c>
      <c r="I659" s="31"/>
      <c r="J659" s="31"/>
      <c r="K659" s="31"/>
      <c r="L659" s="32" t="str">
        <f>VLOOKUP(D659,'Active Employees'!$B$2:$B$498,1,false)</f>
        <v>#N/A</v>
      </c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</row>
    <row r="660">
      <c r="A660" s="37" t="s">
        <v>1522</v>
      </c>
      <c r="B660" s="31" t="s">
        <v>1547</v>
      </c>
      <c r="C660" s="31" t="s">
        <v>1548</v>
      </c>
      <c r="D660" s="31" t="s">
        <v>1945</v>
      </c>
      <c r="E660" s="31" t="s">
        <v>1218</v>
      </c>
      <c r="F660" s="31" t="s">
        <v>1481</v>
      </c>
      <c r="G660" s="31" t="s">
        <v>1528</v>
      </c>
      <c r="H660" s="32" t="s">
        <v>1469</v>
      </c>
      <c r="I660" s="31"/>
      <c r="J660" s="31"/>
      <c r="K660" s="31"/>
      <c r="L660" s="32" t="str">
        <f>VLOOKUP(D660,'Active Employees'!$B$2:$B$498,1,false)</f>
        <v>#N/A</v>
      </c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</row>
    <row r="661">
      <c r="A661" s="37" t="s">
        <v>1522</v>
      </c>
      <c r="B661" s="31" t="s">
        <v>1523</v>
      </c>
      <c r="C661" s="31" t="s">
        <v>1524</v>
      </c>
      <c r="D661" s="31" t="s">
        <v>1946</v>
      </c>
      <c r="E661" s="31" t="s">
        <v>1947</v>
      </c>
      <c r="F661" s="31" t="s">
        <v>1541</v>
      </c>
      <c r="G661" s="31" t="s">
        <v>1528</v>
      </c>
      <c r="H661" s="32" t="s">
        <v>1469</v>
      </c>
      <c r="I661" s="31"/>
      <c r="J661" s="31"/>
      <c r="K661" s="31"/>
      <c r="L661" s="32" t="str">
        <f>VLOOKUP(D661,'Active Employees'!$B$2:$B$498,1,false)</f>
        <v>#N/A</v>
      </c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</row>
    <row r="662">
      <c r="A662" s="37" t="s">
        <v>1522</v>
      </c>
      <c r="B662" s="31" t="s">
        <v>1547</v>
      </c>
      <c r="C662" s="31" t="s">
        <v>1548</v>
      </c>
      <c r="D662" s="31" t="s">
        <v>1946</v>
      </c>
      <c r="E662" s="31" t="s">
        <v>1947</v>
      </c>
      <c r="F662" s="31" t="s">
        <v>1481</v>
      </c>
      <c r="G662" s="31" t="s">
        <v>1528</v>
      </c>
      <c r="H662" s="32" t="s">
        <v>1469</v>
      </c>
      <c r="I662" s="31"/>
      <c r="J662" s="31"/>
      <c r="K662" s="31"/>
      <c r="L662" s="32" t="str">
        <f>VLOOKUP(D662,'Active Employees'!$B$2:$B$498,1,false)</f>
        <v>#N/A</v>
      </c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</row>
    <row r="663">
      <c r="A663" s="37" t="s">
        <v>1570</v>
      </c>
      <c r="B663" s="31" t="s">
        <v>1523</v>
      </c>
      <c r="C663" s="31" t="s">
        <v>1524</v>
      </c>
      <c r="D663" s="31" t="s">
        <v>1255</v>
      </c>
      <c r="E663" s="31" t="s">
        <v>1947</v>
      </c>
      <c r="F663" s="31" t="s">
        <v>1541</v>
      </c>
      <c r="G663" s="31" t="s">
        <v>1528</v>
      </c>
      <c r="H663" s="32" t="s">
        <v>1469</v>
      </c>
      <c r="I663" s="31"/>
      <c r="J663" s="31"/>
      <c r="K663" s="31"/>
      <c r="L663" s="32" t="str">
        <f>VLOOKUP(D663,'Active Employees'!$B$2:$B$498,1,false)</f>
        <v>shawn.shakir@docker.com</v>
      </c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</row>
    <row r="664">
      <c r="A664" s="37" t="s">
        <v>1570</v>
      </c>
      <c r="B664" s="31" t="s">
        <v>1547</v>
      </c>
      <c r="C664" s="31" t="s">
        <v>1576</v>
      </c>
      <c r="D664" s="31" t="s">
        <v>1255</v>
      </c>
      <c r="E664" s="31" t="s">
        <v>1947</v>
      </c>
      <c r="F664" s="31" t="s">
        <v>1549</v>
      </c>
      <c r="G664" s="31" t="s">
        <v>1528</v>
      </c>
      <c r="H664" s="32" t="s">
        <v>1469</v>
      </c>
      <c r="I664" s="31"/>
      <c r="J664" s="31"/>
      <c r="K664" s="31"/>
      <c r="L664" s="32" t="str">
        <f>VLOOKUP(D664,'Active Employees'!$B$2:$B$498,1,false)</f>
        <v>shawn.shakir@docker.com</v>
      </c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</row>
    <row r="665">
      <c r="A665" s="37" t="s">
        <v>1570</v>
      </c>
      <c r="B665" s="31" t="s">
        <v>1547</v>
      </c>
      <c r="C665" s="31" t="s">
        <v>1577</v>
      </c>
      <c r="D665" s="31" t="s">
        <v>1255</v>
      </c>
      <c r="E665" s="31" t="s">
        <v>1947</v>
      </c>
      <c r="F665" s="31" t="s">
        <v>1549</v>
      </c>
      <c r="G665" s="31" t="s">
        <v>1528</v>
      </c>
      <c r="H665" s="32" t="s">
        <v>1469</v>
      </c>
      <c r="I665" s="31"/>
      <c r="J665" s="31"/>
      <c r="K665" s="31"/>
      <c r="L665" s="32" t="str">
        <f>VLOOKUP(D665,'Active Employees'!$B$2:$B$498,1,false)</f>
        <v>shawn.shakir@docker.com</v>
      </c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</row>
    <row r="666">
      <c r="A666" s="37" t="s">
        <v>1570</v>
      </c>
      <c r="B666" s="31" t="s">
        <v>1547</v>
      </c>
      <c r="C666" s="31" t="s">
        <v>1578</v>
      </c>
      <c r="D666" s="31" t="s">
        <v>1255</v>
      </c>
      <c r="E666" s="31" t="s">
        <v>1947</v>
      </c>
      <c r="F666" s="31" t="s">
        <v>1549</v>
      </c>
      <c r="G666" s="31" t="s">
        <v>1528</v>
      </c>
      <c r="H666" s="32" t="s">
        <v>1469</v>
      </c>
      <c r="I666" s="31"/>
      <c r="J666" s="31"/>
      <c r="K666" s="31"/>
      <c r="L666" s="32" t="str">
        <f>VLOOKUP(D666,'Active Employees'!$B$2:$B$498,1,false)</f>
        <v>shawn.shakir@docker.com</v>
      </c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</row>
    <row r="667">
      <c r="A667" s="37" t="s">
        <v>1570</v>
      </c>
      <c r="B667" s="31" t="s">
        <v>1547</v>
      </c>
      <c r="C667" s="31" t="s">
        <v>1579</v>
      </c>
      <c r="D667" s="31" t="s">
        <v>1255</v>
      </c>
      <c r="E667" s="31" t="s">
        <v>1947</v>
      </c>
      <c r="F667" s="31" t="s">
        <v>1549</v>
      </c>
      <c r="G667" s="31" t="s">
        <v>1528</v>
      </c>
      <c r="H667" s="32" t="s">
        <v>1469</v>
      </c>
      <c r="I667" s="31"/>
      <c r="J667" s="31"/>
      <c r="K667" s="31"/>
      <c r="L667" s="32" t="str">
        <f>VLOOKUP(D667,'Active Employees'!$B$2:$B$498,1,false)</f>
        <v>shawn.shakir@docker.com</v>
      </c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</row>
    <row r="668">
      <c r="A668" s="37" t="s">
        <v>1570</v>
      </c>
      <c r="B668" s="31" t="s">
        <v>1547</v>
      </c>
      <c r="C668" s="31" t="s">
        <v>1584</v>
      </c>
      <c r="D668" s="31" t="s">
        <v>1255</v>
      </c>
      <c r="E668" s="31" t="s">
        <v>1947</v>
      </c>
      <c r="F668" s="31" t="s">
        <v>1549</v>
      </c>
      <c r="G668" s="31" t="s">
        <v>1528</v>
      </c>
      <c r="H668" s="32" t="s">
        <v>1469</v>
      </c>
      <c r="I668" s="31"/>
      <c r="J668" s="31"/>
      <c r="K668" s="31"/>
      <c r="L668" s="32" t="str">
        <f>VLOOKUP(D668,'Active Employees'!$B$2:$B$498,1,false)</f>
        <v>shawn.shakir@docker.com</v>
      </c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</row>
    <row r="669">
      <c r="A669" s="37" t="s">
        <v>1570</v>
      </c>
      <c r="B669" s="31" t="s">
        <v>1547</v>
      </c>
      <c r="C669" s="31" t="s">
        <v>1588</v>
      </c>
      <c r="D669" s="31" t="s">
        <v>1255</v>
      </c>
      <c r="E669" s="31" t="s">
        <v>1947</v>
      </c>
      <c r="F669" s="31" t="s">
        <v>1549</v>
      </c>
      <c r="G669" s="31" t="s">
        <v>1528</v>
      </c>
      <c r="H669" s="32" t="s">
        <v>1469</v>
      </c>
      <c r="I669" s="31"/>
      <c r="J669" s="31"/>
      <c r="K669" s="31"/>
      <c r="L669" s="32" t="str">
        <f>VLOOKUP(D669,'Active Employees'!$B$2:$B$498,1,false)</f>
        <v>shawn.shakir@docker.com</v>
      </c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</row>
    <row r="670">
      <c r="A670" s="37" t="s">
        <v>1570</v>
      </c>
      <c r="B670" s="31" t="s">
        <v>1547</v>
      </c>
      <c r="C670" s="31" t="s">
        <v>1589</v>
      </c>
      <c r="D670" s="31" t="s">
        <v>1255</v>
      </c>
      <c r="E670" s="31" t="s">
        <v>1947</v>
      </c>
      <c r="F670" s="31" t="s">
        <v>1549</v>
      </c>
      <c r="G670" s="31" t="s">
        <v>1528</v>
      </c>
      <c r="H670" s="32" t="s">
        <v>1469</v>
      </c>
      <c r="I670" s="31"/>
      <c r="J670" s="31"/>
      <c r="K670" s="31"/>
      <c r="L670" s="32" t="str">
        <f>VLOOKUP(D670,'Active Employees'!$B$2:$B$498,1,false)</f>
        <v>shawn.shakir@docker.com</v>
      </c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</row>
    <row r="671">
      <c r="A671" s="37" t="s">
        <v>1570</v>
      </c>
      <c r="B671" s="31" t="s">
        <v>1547</v>
      </c>
      <c r="C671" s="31" t="s">
        <v>1590</v>
      </c>
      <c r="D671" s="31" t="s">
        <v>1255</v>
      </c>
      <c r="E671" s="31" t="s">
        <v>1947</v>
      </c>
      <c r="F671" s="31" t="s">
        <v>1549</v>
      </c>
      <c r="G671" s="31" t="s">
        <v>1528</v>
      </c>
      <c r="H671" s="32" t="s">
        <v>1469</v>
      </c>
      <c r="I671" s="31"/>
      <c r="J671" s="31"/>
      <c r="K671" s="31"/>
      <c r="L671" s="32" t="str">
        <f>VLOOKUP(D671,'Active Employees'!$B$2:$B$498,1,false)</f>
        <v>shawn.shakir@docker.com</v>
      </c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</row>
    <row r="672">
      <c r="A672" s="37" t="s">
        <v>1570</v>
      </c>
      <c r="B672" s="31" t="s">
        <v>1547</v>
      </c>
      <c r="C672" s="31" t="s">
        <v>1591</v>
      </c>
      <c r="D672" s="31" t="s">
        <v>1255</v>
      </c>
      <c r="E672" s="31" t="s">
        <v>1947</v>
      </c>
      <c r="F672" s="31" t="s">
        <v>1549</v>
      </c>
      <c r="G672" s="31" t="s">
        <v>1528</v>
      </c>
      <c r="H672" s="32" t="s">
        <v>1469</v>
      </c>
      <c r="I672" s="31"/>
      <c r="J672" s="31"/>
      <c r="K672" s="31"/>
      <c r="L672" s="32" t="str">
        <f>VLOOKUP(D672,'Active Employees'!$B$2:$B$498,1,false)</f>
        <v>shawn.shakir@docker.com</v>
      </c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</row>
    <row r="673">
      <c r="A673" s="37" t="s">
        <v>1570</v>
      </c>
      <c r="B673" s="31" t="s">
        <v>1547</v>
      </c>
      <c r="C673" s="31" t="s">
        <v>1592</v>
      </c>
      <c r="D673" s="31" t="s">
        <v>1255</v>
      </c>
      <c r="E673" s="31" t="s">
        <v>1947</v>
      </c>
      <c r="F673" s="31" t="s">
        <v>1549</v>
      </c>
      <c r="G673" s="31" t="s">
        <v>1528</v>
      </c>
      <c r="H673" s="32" t="s">
        <v>1469</v>
      </c>
      <c r="I673" s="31"/>
      <c r="J673" s="31"/>
      <c r="K673" s="31"/>
      <c r="L673" s="32" t="str">
        <f>VLOOKUP(D673,'Active Employees'!$B$2:$B$498,1,false)</f>
        <v>shawn.shakir@docker.com</v>
      </c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</row>
    <row r="674">
      <c r="A674" s="37" t="s">
        <v>1570</v>
      </c>
      <c r="B674" s="31" t="s">
        <v>1547</v>
      </c>
      <c r="C674" s="31" t="s">
        <v>600</v>
      </c>
      <c r="D674" s="31" t="s">
        <v>1255</v>
      </c>
      <c r="E674" s="31" t="s">
        <v>1947</v>
      </c>
      <c r="F674" s="31" t="s">
        <v>1549</v>
      </c>
      <c r="G674" s="31" t="s">
        <v>1528</v>
      </c>
      <c r="H674" s="32" t="s">
        <v>1469</v>
      </c>
      <c r="I674" s="31"/>
      <c r="J674" s="31"/>
      <c r="K674" s="31"/>
      <c r="L674" s="32" t="str">
        <f>VLOOKUP(D674,'Active Employees'!$B$2:$B$498,1,false)</f>
        <v>shawn.shakir@docker.com</v>
      </c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</row>
    <row r="675">
      <c r="A675" s="37" t="s">
        <v>1570</v>
      </c>
      <c r="B675" s="31" t="s">
        <v>1547</v>
      </c>
      <c r="C675" s="31" t="s">
        <v>1593</v>
      </c>
      <c r="D675" s="31" t="s">
        <v>1255</v>
      </c>
      <c r="E675" s="31" t="s">
        <v>1947</v>
      </c>
      <c r="F675" s="31" t="s">
        <v>1549</v>
      </c>
      <c r="G675" s="31" t="s">
        <v>1528</v>
      </c>
      <c r="H675" s="32" t="s">
        <v>1469</v>
      </c>
      <c r="I675" s="31"/>
      <c r="J675" s="31"/>
      <c r="K675" s="31"/>
      <c r="L675" s="32" t="str">
        <f>VLOOKUP(D675,'Active Employees'!$B$2:$B$498,1,false)</f>
        <v>shawn.shakir@docker.com</v>
      </c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</row>
    <row r="676">
      <c r="A676" s="37" t="s">
        <v>1570</v>
      </c>
      <c r="B676" s="31" t="s">
        <v>1547</v>
      </c>
      <c r="C676" s="31" t="s">
        <v>1594</v>
      </c>
      <c r="D676" s="31" t="s">
        <v>1255</v>
      </c>
      <c r="E676" s="31" t="s">
        <v>1947</v>
      </c>
      <c r="F676" s="31" t="s">
        <v>1549</v>
      </c>
      <c r="G676" s="31" t="s">
        <v>1528</v>
      </c>
      <c r="H676" s="32" t="s">
        <v>1469</v>
      </c>
      <c r="I676" s="31"/>
      <c r="J676" s="31"/>
      <c r="K676" s="31"/>
      <c r="L676" s="32" t="str">
        <f>VLOOKUP(D676,'Active Employees'!$B$2:$B$498,1,false)</f>
        <v>shawn.shakir@docker.com</v>
      </c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</row>
    <row r="677">
      <c r="A677" s="37" t="s">
        <v>1570</v>
      </c>
      <c r="B677" s="31" t="s">
        <v>1568</v>
      </c>
      <c r="C677" s="31" t="s">
        <v>1569</v>
      </c>
      <c r="D677" s="31" t="s">
        <v>1255</v>
      </c>
      <c r="E677" s="31" t="s">
        <v>1947</v>
      </c>
      <c r="F677" s="31" t="s">
        <v>1549</v>
      </c>
      <c r="G677" s="31" t="s">
        <v>1528</v>
      </c>
      <c r="H677" s="32" t="s">
        <v>1469</v>
      </c>
      <c r="I677" s="31"/>
      <c r="J677" s="31"/>
      <c r="K677" s="31"/>
      <c r="L677" s="32" t="str">
        <f>VLOOKUP(D677,'Active Employees'!$B$2:$B$498,1,false)</f>
        <v>shawn.shakir@docker.com</v>
      </c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</row>
    <row r="678">
      <c r="A678" s="37" t="s">
        <v>1570</v>
      </c>
      <c r="B678" s="31" t="s">
        <v>1568</v>
      </c>
      <c r="C678" s="31" t="s">
        <v>1595</v>
      </c>
      <c r="D678" s="31" t="s">
        <v>1255</v>
      </c>
      <c r="E678" s="31" t="s">
        <v>1947</v>
      </c>
      <c r="F678" s="31" t="s">
        <v>1549</v>
      </c>
      <c r="G678" s="31" t="s">
        <v>1528</v>
      </c>
      <c r="H678" s="32" t="s">
        <v>1469</v>
      </c>
      <c r="I678" s="31"/>
      <c r="J678" s="31"/>
      <c r="K678" s="31"/>
      <c r="L678" s="32" t="str">
        <f>VLOOKUP(D678,'Active Employees'!$B$2:$B$498,1,false)</f>
        <v>shawn.shakir@docker.com</v>
      </c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</row>
    <row r="679" hidden="1">
      <c r="A679" s="37" t="s">
        <v>1522</v>
      </c>
      <c r="B679" s="31" t="s">
        <v>1547</v>
      </c>
      <c r="C679" s="31" t="s">
        <v>1559</v>
      </c>
      <c r="D679" s="31" t="s">
        <v>1948</v>
      </c>
      <c r="E679" s="31" t="s">
        <v>562</v>
      </c>
      <c r="F679" s="31" t="s">
        <v>1718</v>
      </c>
      <c r="G679" s="31" t="s">
        <v>1612</v>
      </c>
      <c r="H679" s="32" t="s">
        <v>1469</v>
      </c>
      <c r="I679" s="31"/>
      <c r="J679" s="31"/>
      <c r="K679" s="31"/>
      <c r="L679" s="32" t="str">
        <f>VLOOKUP(D679,'Active Employees'!$B$2:$B$498,1,false)</f>
        <v>#N/A</v>
      </c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</row>
    <row r="680">
      <c r="A680" s="37" t="s">
        <v>1522</v>
      </c>
      <c r="B680" s="31" t="s">
        <v>1547</v>
      </c>
      <c r="C680" s="31" t="s">
        <v>1559</v>
      </c>
      <c r="D680" s="31" t="s">
        <v>1948</v>
      </c>
      <c r="E680" s="31" t="s">
        <v>562</v>
      </c>
      <c r="F680" s="31" t="s">
        <v>1719</v>
      </c>
      <c r="G680" s="31" t="s">
        <v>1612</v>
      </c>
      <c r="H680" s="32" t="s">
        <v>1469</v>
      </c>
      <c r="I680" s="31"/>
      <c r="J680" s="31"/>
      <c r="K680" s="31"/>
      <c r="L680" s="32" t="str">
        <f>VLOOKUP(D680,'Active Employees'!$B$2:$B$498,1,false)</f>
        <v>#N/A</v>
      </c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</row>
    <row r="681" hidden="1">
      <c r="A681" s="37" t="s">
        <v>1522</v>
      </c>
      <c r="B681" s="31" t="s">
        <v>1547</v>
      </c>
      <c r="C681" s="31" t="s">
        <v>1558</v>
      </c>
      <c r="D681" s="31" t="s">
        <v>1949</v>
      </c>
      <c r="E681" s="31" t="s">
        <v>1950</v>
      </c>
      <c r="F681" s="31" t="s">
        <v>1630</v>
      </c>
      <c r="G681" s="31" t="s">
        <v>1612</v>
      </c>
      <c r="H681" s="32" t="s">
        <v>1469</v>
      </c>
      <c r="I681" s="31"/>
      <c r="J681" s="31"/>
      <c r="K681" s="31"/>
      <c r="L681" s="32" t="str">
        <f>VLOOKUP(D681,'Active Employees'!$B$2:$B$498,1,false)</f>
        <v>#N/A</v>
      </c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</row>
    <row r="682">
      <c r="A682" s="37" t="s">
        <v>1522</v>
      </c>
      <c r="B682" s="31" t="s">
        <v>1547</v>
      </c>
      <c r="C682" s="31" t="s">
        <v>1565</v>
      </c>
      <c r="D682" s="31" t="s">
        <v>1949</v>
      </c>
      <c r="E682" s="31" t="s">
        <v>1950</v>
      </c>
      <c r="F682" s="31" t="s">
        <v>1634</v>
      </c>
      <c r="G682" s="31" t="s">
        <v>1612</v>
      </c>
      <c r="H682" s="32" t="s">
        <v>1469</v>
      </c>
      <c r="I682" s="31"/>
      <c r="J682" s="31"/>
      <c r="K682" s="31"/>
      <c r="L682" s="32" t="str">
        <f>VLOOKUP(D682,'Active Employees'!$B$2:$B$498,1,false)</f>
        <v>#N/A</v>
      </c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</row>
    <row r="683" hidden="1">
      <c r="A683" s="37" t="s">
        <v>1522</v>
      </c>
      <c r="B683" s="31" t="s">
        <v>1547</v>
      </c>
      <c r="C683" s="31" t="s">
        <v>1565</v>
      </c>
      <c r="D683" s="31" t="s">
        <v>1949</v>
      </c>
      <c r="E683" s="31" t="s">
        <v>1950</v>
      </c>
      <c r="F683" s="31" t="s">
        <v>1630</v>
      </c>
      <c r="G683" s="31" t="s">
        <v>1612</v>
      </c>
      <c r="H683" s="32" t="s">
        <v>1469</v>
      </c>
      <c r="I683" s="31"/>
      <c r="J683" s="31"/>
      <c r="K683" s="31"/>
      <c r="L683" s="32" t="str">
        <f>VLOOKUP(D683,'Active Employees'!$B$2:$B$498,1,false)</f>
        <v>#N/A</v>
      </c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</row>
    <row r="684" hidden="1">
      <c r="A684" s="37" t="s">
        <v>1570</v>
      </c>
      <c r="B684" s="31" t="s">
        <v>1547</v>
      </c>
      <c r="C684" s="31" t="s">
        <v>1584</v>
      </c>
      <c r="D684" s="31" t="s">
        <v>688</v>
      </c>
      <c r="E684" s="31" t="s">
        <v>1951</v>
      </c>
      <c r="F684" s="31" t="s">
        <v>1640</v>
      </c>
      <c r="G684" s="31" t="s">
        <v>1528</v>
      </c>
      <c r="H684" s="32" t="s">
        <v>1469</v>
      </c>
      <c r="I684" s="31"/>
      <c r="J684" s="31"/>
      <c r="K684" s="31"/>
      <c r="L684" s="32" t="str">
        <f>VLOOKUP(D684,'Active Employees'!$B$2:$B$498,1,false)</f>
        <v>stanislav.hamara@docker.com</v>
      </c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</row>
    <row r="685">
      <c r="A685" s="37" t="s">
        <v>1522</v>
      </c>
      <c r="B685" s="31" t="s">
        <v>1523</v>
      </c>
      <c r="C685" s="31" t="s">
        <v>1524</v>
      </c>
      <c r="D685" s="31" t="s">
        <v>1952</v>
      </c>
      <c r="E685" s="31" t="s">
        <v>1953</v>
      </c>
      <c r="F685" s="31" t="s">
        <v>1541</v>
      </c>
      <c r="G685" s="31" t="s">
        <v>1528</v>
      </c>
      <c r="H685" s="32" t="s">
        <v>1469</v>
      </c>
      <c r="I685" s="31"/>
      <c r="J685" s="31"/>
      <c r="K685" s="31"/>
      <c r="L685" s="32" t="str">
        <f>VLOOKUP(D685,'Active Employees'!$B$2:$B$498,1,false)</f>
        <v>#N/A</v>
      </c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</row>
    <row r="686" hidden="1">
      <c r="A686" s="37" t="s">
        <v>1570</v>
      </c>
      <c r="B686" s="31" t="s">
        <v>1547</v>
      </c>
      <c r="C686" s="31" t="s">
        <v>1593</v>
      </c>
      <c r="D686" s="31" t="s">
        <v>1868</v>
      </c>
      <c r="E686" s="31" t="s">
        <v>1869</v>
      </c>
      <c r="F686" s="31" t="s">
        <v>1640</v>
      </c>
      <c r="G686" s="31" t="s">
        <v>1687</v>
      </c>
      <c r="H686" s="31"/>
      <c r="I686" s="31"/>
      <c r="J686" s="31"/>
      <c r="K686" s="31"/>
      <c r="L686" s="32" t="str">
        <f>VLOOKUP(D686,'Active Employees'!$B$2:$B$498,1,false)</f>
        <v>#N/A</v>
      </c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</row>
    <row r="687">
      <c r="A687" s="37" t="s">
        <v>1522</v>
      </c>
      <c r="B687" s="31" t="s">
        <v>1523</v>
      </c>
      <c r="C687" s="31" t="s">
        <v>1524</v>
      </c>
      <c r="D687" s="31" t="s">
        <v>1952</v>
      </c>
      <c r="E687" s="31" t="s">
        <v>1953</v>
      </c>
      <c r="F687" s="31" t="s">
        <v>1600</v>
      </c>
      <c r="G687" s="31" t="s">
        <v>1528</v>
      </c>
      <c r="H687" s="32" t="s">
        <v>1469</v>
      </c>
      <c r="I687" s="31"/>
      <c r="J687" s="31"/>
      <c r="K687" s="31"/>
      <c r="L687" s="32" t="str">
        <f>VLOOKUP(D687,'Active Employees'!$B$2:$B$498,1,false)</f>
        <v>#N/A</v>
      </c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</row>
    <row r="688">
      <c r="A688" s="37" t="s">
        <v>1522</v>
      </c>
      <c r="B688" s="31" t="s">
        <v>1547</v>
      </c>
      <c r="C688" s="31" t="s">
        <v>1558</v>
      </c>
      <c r="D688" s="31" t="s">
        <v>1952</v>
      </c>
      <c r="E688" s="31" t="s">
        <v>1953</v>
      </c>
      <c r="F688" s="31" t="s">
        <v>1683</v>
      </c>
      <c r="G688" s="31" t="s">
        <v>1612</v>
      </c>
      <c r="H688" s="32" t="s">
        <v>1469</v>
      </c>
      <c r="I688" s="31"/>
      <c r="J688" s="31"/>
      <c r="K688" s="31"/>
      <c r="L688" s="32" t="str">
        <f>VLOOKUP(D688,'Active Employees'!$B$2:$B$498,1,false)</f>
        <v>#N/A</v>
      </c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</row>
    <row r="689" hidden="1">
      <c r="A689" s="37" t="s">
        <v>1570</v>
      </c>
      <c r="B689" s="31" t="s">
        <v>1547</v>
      </c>
      <c r="C689" s="31" t="s">
        <v>1593</v>
      </c>
      <c r="D689" s="31" t="s">
        <v>1701</v>
      </c>
      <c r="E689" s="31" t="s">
        <v>1702</v>
      </c>
      <c r="F689" s="31" t="s">
        <v>1549</v>
      </c>
      <c r="G689" s="31" t="s">
        <v>1528</v>
      </c>
      <c r="H689" s="31"/>
      <c r="I689" s="31"/>
      <c r="J689" s="31"/>
      <c r="K689" s="31"/>
      <c r="L689" s="32" t="str">
        <f>VLOOKUP(D689,'Active Employees'!$B$2:$B$498,1,false)</f>
        <v>#N/A</v>
      </c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</row>
    <row r="690">
      <c r="A690" s="37" t="s">
        <v>1522</v>
      </c>
      <c r="B690" s="31" t="s">
        <v>1547</v>
      </c>
      <c r="C690" s="31" t="s">
        <v>1565</v>
      </c>
      <c r="D690" s="31" t="s">
        <v>1952</v>
      </c>
      <c r="E690" s="31" t="s">
        <v>1953</v>
      </c>
      <c r="F690" s="31" t="s">
        <v>1683</v>
      </c>
      <c r="G690" s="31" t="s">
        <v>1612</v>
      </c>
      <c r="H690" s="32" t="s">
        <v>1469</v>
      </c>
      <c r="I690" s="31"/>
      <c r="J690" s="31"/>
      <c r="K690" s="31"/>
      <c r="L690" s="32" t="str">
        <f>VLOOKUP(D690,'Active Employees'!$B$2:$B$498,1,false)</f>
        <v>#N/A</v>
      </c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</row>
    <row r="691">
      <c r="A691" s="37" t="s">
        <v>1522</v>
      </c>
      <c r="B691" s="31" t="s">
        <v>1547</v>
      </c>
      <c r="C691" s="31" t="s">
        <v>1566</v>
      </c>
      <c r="D691" s="31" t="s">
        <v>1952</v>
      </c>
      <c r="E691" s="31" t="s">
        <v>1953</v>
      </c>
      <c r="F691" s="31" t="s">
        <v>1683</v>
      </c>
      <c r="G691" s="31" t="s">
        <v>1612</v>
      </c>
      <c r="H691" s="32" t="s">
        <v>1469</v>
      </c>
      <c r="I691" s="31"/>
      <c r="J691" s="31"/>
      <c r="K691" s="31"/>
      <c r="L691" s="32" t="str">
        <f>VLOOKUP(D691,'Active Employees'!$B$2:$B$498,1,false)</f>
        <v>#N/A</v>
      </c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</row>
    <row r="692">
      <c r="A692" s="37" t="s">
        <v>1522</v>
      </c>
      <c r="B692" s="31" t="s">
        <v>1547</v>
      </c>
      <c r="C692" s="31" t="s">
        <v>1567</v>
      </c>
      <c r="D692" s="31" t="s">
        <v>1952</v>
      </c>
      <c r="E692" s="31" t="s">
        <v>1953</v>
      </c>
      <c r="F692" s="31" t="s">
        <v>1683</v>
      </c>
      <c r="G692" s="31" t="s">
        <v>1612</v>
      </c>
      <c r="H692" s="32" t="s">
        <v>1469</v>
      </c>
      <c r="I692" s="31"/>
      <c r="J692" s="31"/>
      <c r="K692" s="31"/>
      <c r="L692" s="32" t="str">
        <f>VLOOKUP(D692,'Active Employees'!$B$2:$B$498,1,false)</f>
        <v>#N/A</v>
      </c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</row>
    <row r="693">
      <c r="A693" s="37" t="s">
        <v>1570</v>
      </c>
      <c r="B693" s="31" t="s">
        <v>1523</v>
      </c>
      <c r="C693" s="31" t="s">
        <v>1524</v>
      </c>
      <c r="D693" s="31" t="s">
        <v>1225</v>
      </c>
      <c r="E693" s="31" t="s">
        <v>1953</v>
      </c>
      <c r="F693" s="31" t="s">
        <v>1699</v>
      </c>
      <c r="G693" s="31" t="s">
        <v>1612</v>
      </c>
      <c r="H693" s="32" t="s">
        <v>1469</v>
      </c>
      <c r="I693" s="31"/>
      <c r="J693" s="31"/>
      <c r="K693" s="31"/>
      <c r="L693" s="32" t="str">
        <f>VLOOKUP(D693,'Active Employees'!$B$2:$B$498,1,false)</f>
        <v>stefan.scherer@docker.com</v>
      </c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</row>
    <row r="694">
      <c r="A694" s="37" t="s">
        <v>1570</v>
      </c>
      <c r="B694" s="31" t="s">
        <v>1547</v>
      </c>
      <c r="C694" s="31" t="s">
        <v>1578</v>
      </c>
      <c r="D694" s="31" t="s">
        <v>1225</v>
      </c>
      <c r="E694" s="31" t="s">
        <v>1953</v>
      </c>
      <c r="F694" s="31" t="s">
        <v>1700</v>
      </c>
      <c r="G694" s="31" t="s">
        <v>1612</v>
      </c>
      <c r="H694" s="32" t="s">
        <v>1469</v>
      </c>
      <c r="I694" s="31"/>
      <c r="J694" s="31"/>
      <c r="K694" s="31"/>
      <c r="L694" s="32" t="str">
        <f>VLOOKUP(D694,'Active Employees'!$B$2:$B$498,1,false)</f>
        <v>stefan.scherer@docker.com</v>
      </c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</row>
    <row r="695">
      <c r="A695" s="37" t="s">
        <v>1570</v>
      </c>
      <c r="B695" s="31" t="s">
        <v>1547</v>
      </c>
      <c r="C695" s="31" t="s">
        <v>1579</v>
      </c>
      <c r="D695" s="31" t="s">
        <v>1225</v>
      </c>
      <c r="E695" s="31" t="s">
        <v>1953</v>
      </c>
      <c r="F695" s="31" t="s">
        <v>1700</v>
      </c>
      <c r="G695" s="31" t="s">
        <v>1612</v>
      </c>
      <c r="H695" s="32" t="s">
        <v>1469</v>
      </c>
      <c r="I695" s="31"/>
      <c r="J695" s="31"/>
      <c r="K695" s="31"/>
      <c r="L695" s="32" t="str">
        <f>VLOOKUP(D695,'Active Employees'!$B$2:$B$498,1,false)</f>
        <v>stefan.scherer@docker.com</v>
      </c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</row>
    <row r="696">
      <c r="A696" s="37" t="s">
        <v>1570</v>
      </c>
      <c r="B696" s="31" t="s">
        <v>1547</v>
      </c>
      <c r="C696" s="31" t="s">
        <v>1579</v>
      </c>
      <c r="D696" s="31" t="s">
        <v>1225</v>
      </c>
      <c r="E696" s="31" t="s">
        <v>1953</v>
      </c>
      <c r="F696" s="31" t="s">
        <v>1768</v>
      </c>
      <c r="G696" s="31" t="s">
        <v>1612</v>
      </c>
      <c r="H696" s="32" t="s">
        <v>1469</v>
      </c>
      <c r="I696" s="31"/>
      <c r="J696" s="31"/>
      <c r="K696" s="31"/>
      <c r="L696" s="32" t="str">
        <f>VLOOKUP(D696,'Active Employees'!$B$2:$B$498,1,false)</f>
        <v>stefan.scherer@docker.com</v>
      </c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</row>
    <row r="697">
      <c r="A697" s="37" t="s">
        <v>1570</v>
      </c>
      <c r="B697" s="31" t="s">
        <v>1547</v>
      </c>
      <c r="C697" s="31" t="s">
        <v>1591</v>
      </c>
      <c r="D697" s="31" t="s">
        <v>1225</v>
      </c>
      <c r="E697" s="31" t="s">
        <v>1953</v>
      </c>
      <c r="F697" s="31" t="s">
        <v>1700</v>
      </c>
      <c r="G697" s="31" t="s">
        <v>1612</v>
      </c>
      <c r="H697" s="32" t="s">
        <v>1469</v>
      </c>
      <c r="I697" s="31"/>
      <c r="J697" s="31"/>
      <c r="K697" s="31"/>
      <c r="L697" s="32" t="str">
        <f>VLOOKUP(D697,'Active Employees'!$B$2:$B$498,1,false)</f>
        <v>stefan.scherer@docker.com</v>
      </c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</row>
    <row r="698">
      <c r="A698" s="37" t="s">
        <v>1570</v>
      </c>
      <c r="B698" s="31" t="s">
        <v>1547</v>
      </c>
      <c r="C698" s="31" t="s">
        <v>1592</v>
      </c>
      <c r="D698" s="31" t="s">
        <v>1225</v>
      </c>
      <c r="E698" s="31" t="s">
        <v>1953</v>
      </c>
      <c r="F698" s="31" t="s">
        <v>1700</v>
      </c>
      <c r="G698" s="31" t="s">
        <v>1612</v>
      </c>
      <c r="H698" s="32" t="s">
        <v>1469</v>
      </c>
      <c r="I698" s="31"/>
      <c r="J698" s="31"/>
      <c r="K698" s="31"/>
      <c r="L698" s="32" t="str">
        <f>VLOOKUP(D698,'Active Employees'!$B$2:$B$498,1,false)</f>
        <v>stefan.scherer@docker.com</v>
      </c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</row>
    <row r="699">
      <c r="A699" s="37" t="s">
        <v>1570</v>
      </c>
      <c r="B699" s="31" t="s">
        <v>1547</v>
      </c>
      <c r="C699" s="31" t="s">
        <v>1593</v>
      </c>
      <c r="D699" s="31" t="s">
        <v>1225</v>
      </c>
      <c r="E699" s="31" t="s">
        <v>1953</v>
      </c>
      <c r="F699" s="31" t="s">
        <v>1704</v>
      </c>
      <c r="G699" s="31" t="s">
        <v>1612</v>
      </c>
      <c r="H699" s="32" t="s">
        <v>1469</v>
      </c>
      <c r="I699" s="31"/>
      <c r="J699" s="31"/>
      <c r="K699" s="31"/>
      <c r="L699" s="32" t="str">
        <f>VLOOKUP(D699,'Active Employees'!$B$2:$B$498,1,false)</f>
        <v>stefan.scherer@docker.com</v>
      </c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</row>
    <row r="700" hidden="1">
      <c r="A700" s="37" t="s">
        <v>1522</v>
      </c>
      <c r="B700" s="31" t="s">
        <v>1547</v>
      </c>
      <c r="C700" s="31" t="s">
        <v>1565</v>
      </c>
      <c r="D700" s="31" t="s">
        <v>1954</v>
      </c>
      <c r="E700" s="31" t="s">
        <v>1955</v>
      </c>
      <c r="F700" s="31" t="s">
        <v>1640</v>
      </c>
      <c r="G700" s="31" t="s">
        <v>1528</v>
      </c>
      <c r="H700" s="32" t="s">
        <v>1469</v>
      </c>
      <c r="I700" s="31"/>
      <c r="J700" s="31"/>
      <c r="K700" s="31"/>
      <c r="L700" s="32" t="str">
        <f>VLOOKUP(D700,'Active Employees'!$B$2:$B$498,1,false)</f>
        <v>#N/A</v>
      </c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</row>
    <row r="701" hidden="1">
      <c r="A701" s="37" t="s">
        <v>1522</v>
      </c>
      <c r="B701" s="31" t="s">
        <v>1547</v>
      </c>
      <c r="C701" s="31" t="s">
        <v>1565</v>
      </c>
      <c r="D701" s="31" t="s">
        <v>1956</v>
      </c>
      <c r="E701" s="31" t="s">
        <v>1957</v>
      </c>
      <c r="F701" s="31" t="s">
        <v>1640</v>
      </c>
      <c r="G701" s="31" t="s">
        <v>1528</v>
      </c>
      <c r="H701" s="32" t="s">
        <v>1469</v>
      </c>
      <c r="I701" s="31"/>
      <c r="J701" s="31"/>
      <c r="K701" s="31"/>
      <c r="L701" s="32" t="str">
        <f>VLOOKUP(D701,'Active Employees'!$B$2:$B$498,1,false)</f>
        <v>#N/A</v>
      </c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</row>
    <row r="702" hidden="1">
      <c r="A702" s="37" t="s">
        <v>1522</v>
      </c>
      <c r="B702" s="31" t="s">
        <v>1547</v>
      </c>
      <c r="C702" s="31" t="s">
        <v>1558</v>
      </c>
      <c r="D702" s="31" t="s">
        <v>1958</v>
      </c>
      <c r="E702" s="31" t="s">
        <v>1512</v>
      </c>
      <c r="F702" s="31" t="s">
        <v>1734</v>
      </c>
      <c r="G702" s="31" t="s">
        <v>1612</v>
      </c>
      <c r="H702" s="32" t="s">
        <v>1469</v>
      </c>
      <c r="I702" s="31"/>
      <c r="J702" s="31"/>
      <c r="K702" s="31"/>
      <c r="L702" s="32" t="str">
        <f>VLOOKUP(D702,'Active Employees'!$B$2:$B$498,1,false)</f>
        <v>#N/A</v>
      </c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</row>
    <row r="703">
      <c r="A703" s="37" t="s">
        <v>1522</v>
      </c>
      <c r="B703" s="31" t="s">
        <v>1547</v>
      </c>
      <c r="C703" s="31" t="s">
        <v>1558</v>
      </c>
      <c r="D703" s="31" t="s">
        <v>1958</v>
      </c>
      <c r="E703" s="31" t="s">
        <v>1512</v>
      </c>
      <c r="F703" s="31" t="s">
        <v>1736</v>
      </c>
      <c r="G703" s="31" t="s">
        <v>1612</v>
      </c>
      <c r="H703" s="32" t="s">
        <v>1469</v>
      </c>
      <c r="I703" s="31"/>
      <c r="J703" s="31"/>
      <c r="K703" s="31"/>
      <c r="L703" s="32" t="str">
        <f>VLOOKUP(D703,'Active Employees'!$B$2:$B$498,1,false)</f>
        <v>#N/A</v>
      </c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</row>
    <row r="704" hidden="1">
      <c r="A704" s="37" t="s">
        <v>1522</v>
      </c>
      <c r="B704" s="31" t="s">
        <v>1547</v>
      </c>
      <c r="C704" s="31" t="s">
        <v>1565</v>
      </c>
      <c r="D704" s="31" t="s">
        <v>1958</v>
      </c>
      <c r="E704" s="31" t="s">
        <v>1512</v>
      </c>
      <c r="F704" s="31" t="s">
        <v>1734</v>
      </c>
      <c r="G704" s="31" t="s">
        <v>1612</v>
      </c>
      <c r="H704" s="32" t="s">
        <v>1469</v>
      </c>
      <c r="I704" s="31"/>
      <c r="J704" s="31"/>
      <c r="K704" s="31"/>
      <c r="L704" s="32" t="str">
        <f>VLOOKUP(D704,'Active Employees'!$B$2:$B$498,1,false)</f>
        <v>#N/A</v>
      </c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</row>
    <row r="705">
      <c r="A705" s="37" t="s">
        <v>1522</v>
      </c>
      <c r="B705" s="31" t="s">
        <v>1547</v>
      </c>
      <c r="C705" s="31" t="s">
        <v>1565</v>
      </c>
      <c r="D705" s="31" t="s">
        <v>1958</v>
      </c>
      <c r="E705" s="31" t="s">
        <v>1512</v>
      </c>
      <c r="F705" s="31" t="s">
        <v>1736</v>
      </c>
      <c r="G705" s="31" t="s">
        <v>1612</v>
      </c>
      <c r="H705" s="32" t="s">
        <v>1469</v>
      </c>
      <c r="I705" s="31"/>
      <c r="J705" s="31"/>
      <c r="K705" s="31"/>
      <c r="L705" s="32" t="str">
        <f>VLOOKUP(D705,'Active Employees'!$B$2:$B$498,1,false)</f>
        <v>#N/A</v>
      </c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</row>
    <row r="706">
      <c r="A706" s="37" t="s">
        <v>1522</v>
      </c>
      <c r="B706" s="31" t="s">
        <v>1547</v>
      </c>
      <c r="C706" s="31" t="s">
        <v>600</v>
      </c>
      <c r="D706" s="31" t="s">
        <v>1958</v>
      </c>
      <c r="E706" s="31" t="s">
        <v>1512</v>
      </c>
      <c r="F706" s="31" t="s">
        <v>1736</v>
      </c>
      <c r="G706" s="31" t="s">
        <v>1612</v>
      </c>
      <c r="H706" s="32" t="s">
        <v>1469</v>
      </c>
      <c r="I706" s="31"/>
      <c r="J706" s="31"/>
      <c r="K706" s="31"/>
      <c r="L706" s="32" t="str">
        <f>VLOOKUP(D706,'Active Employees'!$B$2:$B$498,1,false)</f>
        <v>#N/A</v>
      </c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</row>
    <row r="707">
      <c r="A707" s="37" t="s">
        <v>1522</v>
      </c>
      <c r="B707" s="31" t="s">
        <v>1547</v>
      </c>
      <c r="C707" s="31" t="s">
        <v>1566</v>
      </c>
      <c r="D707" s="31" t="s">
        <v>1958</v>
      </c>
      <c r="E707" s="31" t="s">
        <v>1512</v>
      </c>
      <c r="F707" s="31" t="s">
        <v>1736</v>
      </c>
      <c r="G707" s="31" t="s">
        <v>1612</v>
      </c>
      <c r="H707" s="32" t="s">
        <v>1469</v>
      </c>
      <c r="I707" s="31"/>
      <c r="J707" s="31"/>
      <c r="K707" s="31"/>
      <c r="L707" s="32" t="str">
        <f>VLOOKUP(D707,'Active Employees'!$B$2:$B$498,1,false)</f>
        <v>#N/A</v>
      </c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</row>
    <row r="708" hidden="1">
      <c r="A708" s="37" t="s">
        <v>1522</v>
      </c>
      <c r="B708" s="31" t="s">
        <v>1547</v>
      </c>
      <c r="C708" s="31" t="s">
        <v>1566</v>
      </c>
      <c r="D708" s="31" t="s">
        <v>1958</v>
      </c>
      <c r="E708" s="31" t="s">
        <v>1512</v>
      </c>
      <c r="F708" s="31" t="s">
        <v>1734</v>
      </c>
      <c r="G708" s="31" t="s">
        <v>1612</v>
      </c>
      <c r="H708" s="32" t="s">
        <v>1469</v>
      </c>
      <c r="I708" s="31"/>
      <c r="J708" s="31"/>
      <c r="K708" s="31"/>
      <c r="L708" s="32" t="str">
        <f>VLOOKUP(D708,'Active Employees'!$B$2:$B$498,1,false)</f>
        <v>#N/A</v>
      </c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</row>
    <row r="709" hidden="1">
      <c r="A709" s="37" t="s">
        <v>1522</v>
      </c>
      <c r="B709" s="31" t="s">
        <v>1547</v>
      </c>
      <c r="C709" s="31" t="s">
        <v>1567</v>
      </c>
      <c r="D709" s="31" t="s">
        <v>1958</v>
      </c>
      <c r="E709" s="31" t="s">
        <v>1512</v>
      </c>
      <c r="F709" s="31" t="s">
        <v>1734</v>
      </c>
      <c r="G709" s="31" t="s">
        <v>1612</v>
      </c>
      <c r="H709" s="32" t="s">
        <v>1469</v>
      </c>
      <c r="I709" s="31"/>
      <c r="J709" s="31"/>
      <c r="K709" s="31"/>
      <c r="L709" s="32" t="str">
        <f>VLOOKUP(D709,'Active Employees'!$B$2:$B$498,1,false)</f>
        <v>#N/A</v>
      </c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</row>
    <row r="710">
      <c r="A710" s="37" t="s">
        <v>1522</v>
      </c>
      <c r="B710" s="31" t="s">
        <v>1547</v>
      </c>
      <c r="C710" s="31" t="s">
        <v>1567</v>
      </c>
      <c r="D710" s="31" t="s">
        <v>1958</v>
      </c>
      <c r="E710" s="31" t="s">
        <v>1512</v>
      </c>
      <c r="F710" s="31" t="s">
        <v>1736</v>
      </c>
      <c r="G710" s="31" t="s">
        <v>1612</v>
      </c>
      <c r="H710" s="32" t="s">
        <v>1469</v>
      </c>
      <c r="I710" s="31"/>
      <c r="J710" s="31"/>
      <c r="K710" s="31"/>
      <c r="L710" s="32" t="str">
        <f>VLOOKUP(D710,'Active Employees'!$B$2:$B$498,1,false)</f>
        <v>#N/A</v>
      </c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</row>
    <row r="711" hidden="1">
      <c r="A711" s="37" t="s">
        <v>1570</v>
      </c>
      <c r="B711" s="31" t="s">
        <v>1547</v>
      </c>
      <c r="C711" s="31" t="s">
        <v>1578</v>
      </c>
      <c r="D711" s="31" t="s">
        <v>1353</v>
      </c>
      <c r="E711" s="31" t="s">
        <v>1512</v>
      </c>
      <c r="F711" s="31" t="s">
        <v>1734</v>
      </c>
      <c r="G711" s="31" t="s">
        <v>1612</v>
      </c>
      <c r="H711" s="32" t="s">
        <v>1469</v>
      </c>
      <c r="I711" s="31"/>
      <c r="J711" s="31"/>
      <c r="K711" s="31"/>
      <c r="L711" s="32" t="str">
        <f>VLOOKUP(D711,'Active Employees'!$B$2:$B$498,1,false)</f>
        <v>temenuzhka.thede@docker.com</v>
      </c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</row>
    <row r="712">
      <c r="A712" s="37" t="s">
        <v>1570</v>
      </c>
      <c r="B712" s="31" t="s">
        <v>1547</v>
      </c>
      <c r="C712" s="31" t="s">
        <v>1579</v>
      </c>
      <c r="D712" s="31" t="s">
        <v>1353</v>
      </c>
      <c r="E712" s="31" t="s">
        <v>1512</v>
      </c>
      <c r="F712" s="31" t="s">
        <v>1736</v>
      </c>
      <c r="G712" s="31" t="s">
        <v>1612</v>
      </c>
      <c r="H712" s="32" t="s">
        <v>1469</v>
      </c>
      <c r="I712" s="31"/>
      <c r="J712" s="31"/>
      <c r="K712" s="31"/>
      <c r="L712" s="32" t="str">
        <f>VLOOKUP(D712,'Active Employees'!$B$2:$B$498,1,false)</f>
        <v>temenuzhka.thede@docker.com</v>
      </c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</row>
    <row r="713" hidden="1">
      <c r="A713" s="37" t="s">
        <v>1570</v>
      </c>
      <c r="B713" s="31" t="s">
        <v>1547</v>
      </c>
      <c r="C713" s="31" t="s">
        <v>1579</v>
      </c>
      <c r="D713" s="31" t="s">
        <v>1353</v>
      </c>
      <c r="E713" s="31" t="s">
        <v>1512</v>
      </c>
      <c r="F713" s="31" t="s">
        <v>1734</v>
      </c>
      <c r="G713" s="31" t="s">
        <v>1612</v>
      </c>
      <c r="H713" s="32" t="s">
        <v>1469</v>
      </c>
      <c r="I713" s="31"/>
      <c r="J713" s="31"/>
      <c r="K713" s="31"/>
      <c r="L713" s="32" t="str">
        <f>VLOOKUP(D713,'Active Employees'!$B$2:$B$498,1,false)</f>
        <v>temenuzhka.thede@docker.com</v>
      </c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</row>
    <row r="714" hidden="1">
      <c r="A714" s="37" t="s">
        <v>1570</v>
      </c>
      <c r="B714" s="31" t="s">
        <v>1547</v>
      </c>
      <c r="C714" s="31" t="s">
        <v>1588</v>
      </c>
      <c r="D714" s="31" t="s">
        <v>1353</v>
      </c>
      <c r="E714" s="31" t="s">
        <v>1512</v>
      </c>
      <c r="F714" s="31" t="s">
        <v>1734</v>
      </c>
      <c r="G714" s="31" t="s">
        <v>1612</v>
      </c>
      <c r="H714" s="32" t="s">
        <v>1469</v>
      </c>
      <c r="I714" s="31"/>
      <c r="J714" s="31"/>
      <c r="K714" s="31"/>
      <c r="L714" s="32" t="str">
        <f>VLOOKUP(D714,'Active Employees'!$B$2:$B$498,1,false)</f>
        <v>temenuzhka.thede@docker.com</v>
      </c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</row>
    <row r="715" hidden="1">
      <c r="A715" s="37" t="s">
        <v>1570</v>
      </c>
      <c r="B715" s="31" t="s">
        <v>1547</v>
      </c>
      <c r="C715" s="31" t="s">
        <v>1589</v>
      </c>
      <c r="D715" s="31" t="s">
        <v>1353</v>
      </c>
      <c r="E715" s="31" t="s">
        <v>1512</v>
      </c>
      <c r="F715" s="31" t="s">
        <v>1734</v>
      </c>
      <c r="G715" s="31" t="s">
        <v>1612</v>
      </c>
      <c r="H715" s="32" t="s">
        <v>1469</v>
      </c>
      <c r="I715" s="31"/>
      <c r="J715" s="31"/>
      <c r="K715" s="31"/>
      <c r="L715" s="32" t="str">
        <f>VLOOKUP(D715,'Active Employees'!$B$2:$B$498,1,false)</f>
        <v>temenuzhka.thede@docker.com</v>
      </c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</row>
    <row r="716" hidden="1">
      <c r="A716" s="37" t="s">
        <v>1570</v>
      </c>
      <c r="B716" s="31" t="s">
        <v>1547</v>
      </c>
      <c r="C716" s="31" t="s">
        <v>1590</v>
      </c>
      <c r="D716" s="31" t="s">
        <v>1353</v>
      </c>
      <c r="E716" s="31" t="s">
        <v>1512</v>
      </c>
      <c r="F716" s="31" t="s">
        <v>1734</v>
      </c>
      <c r="G716" s="31" t="s">
        <v>1612</v>
      </c>
      <c r="H716" s="32" t="s">
        <v>1469</v>
      </c>
      <c r="I716" s="31"/>
      <c r="J716" s="31"/>
      <c r="K716" s="31"/>
      <c r="L716" s="32" t="str">
        <f>VLOOKUP(D716,'Active Employees'!$B$2:$B$498,1,false)</f>
        <v>temenuzhka.thede@docker.com</v>
      </c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</row>
    <row r="717">
      <c r="A717" s="37" t="s">
        <v>1570</v>
      </c>
      <c r="B717" s="31" t="s">
        <v>1547</v>
      </c>
      <c r="C717" s="31" t="s">
        <v>1591</v>
      </c>
      <c r="D717" s="31" t="s">
        <v>1353</v>
      </c>
      <c r="E717" s="31" t="s">
        <v>1512</v>
      </c>
      <c r="F717" s="31" t="s">
        <v>1736</v>
      </c>
      <c r="G717" s="31" t="s">
        <v>1612</v>
      </c>
      <c r="H717" s="32" t="s">
        <v>1469</v>
      </c>
      <c r="I717" s="31"/>
      <c r="J717" s="31"/>
      <c r="K717" s="31"/>
      <c r="L717" s="32" t="str">
        <f>VLOOKUP(D717,'Active Employees'!$B$2:$B$498,1,false)</f>
        <v>temenuzhka.thede@docker.com</v>
      </c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</row>
    <row r="718" hidden="1">
      <c r="A718" s="37" t="s">
        <v>1570</v>
      </c>
      <c r="B718" s="31" t="s">
        <v>1547</v>
      </c>
      <c r="C718" s="31" t="s">
        <v>1591</v>
      </c>
      <c r="D718" s="31" t="s">
        <v>1353</v>
      </c>
      <c r="E718" s="31" t="s">
        <v>1512</v>
      </c>
      <c r="F718" s="31" t="s">
        <v>1734</v>
      </c>
      <c r="G718" s="31" t="s">
        <v>1612</v>
      </c>
      <c r="H718" s="32" t="s">
        <v>1469</v>
      </c>
      <c r="I718" s="31"/>
      <c r="J718" s="31"/>
      <c r="K718" s="31"/>
      <c r="L718" s="32" t="str">
        <f>VLOOKUP(D718,'Active Employees'!$B$2:$B$498,1,false)</f>
        <v>temenuzhka.thede@docker.com</v>
      </c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</row>
    <row r="719">
      <c r="A719" s="37" t="s">
        <v>1570</v>
      </c>
      <c r="B719" s="31" t="s">
        <v>1547</v>
      </c>
      <c r="C719" s="31" t="s">
        <v>1592</v>
      </c>
      <c r="D719" s="31" t="s">
        <v>1353</v>
      </c>
      <c r="E719" s="31" t="s">
        <v>1512</v>
      </c>
      <c r="F719" s="31" t="s">
        <v>1736</v>
      </c>
      <c r="G719" s="31" t="s">
        <v>1612</v>
      </c>
      <c r="H719" s="32" t="s">
        <v>1469</v>
      </c>
      <c r="I719" s="31"/>
      <c r="J719" s="31"/>
      <c r="K719" s="31"/>
      <c r="L719" s="32" t="str">
        <f>VLOOKUP(D719,'Active Employees'!$B$2:$B$498,1,false)</f>
        <v>temenuzhka.thede@docker.com</v>
      </c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</row>
    <row r="720" hidden="1">
      <c r="A720" s="37" t="s">
        <v>1570</v>
      </c>
      <c r="B720" s="31" t="s">
        <v>1547</v>
      </c>
      <c r="C720" s="31" t="s">
        <v>1592</v>
      </c>
      <c r="D720" s="31" t="s">
        <v>1353</v>
      </c>
      <c r="E720" s="31" t="s">
        <v>1512</v>
      </c>
      <c r="F720" s="31" t="s">
        <v>1734</v>
      </c>
      <c r="G720" s="31" t="s">
        <v>1612</v>
      </c>
      <c r="H720" s="32" t="s">
        <v>1469</v>
      </c>
      <c r="I720" s="31"/>
      <c r="J720" s="31"/>
      <c r="K720" s="31"/>
      <c r="L720" s="32" t="str">
        <f>VLOOKUP(D720,'Active Employees'!$B$2:$B$498,1,false)</f>
        <v>temenuzhka.thede@docker.com</v>
      </c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</row>
    <row r="721">
      <c r="A721" s="37" t="s">
        <v>1570</v>
      </c>
      <c r="B721" s="31" t="s">
        <v>1547</v>
      </c>
      <c r="C721" s="31" t="s">
        <v>600</v>
      </c>
      <c r="D721" s="31" t="s">
        <v>1353</v>
      </c>
      <c r="E721" s="31" t="s">
        <v>1512</v>
      </c>
      <c r="F721" s="31" t="s">
        <v>1736</v>
      </c>
      <c r="G721" s="31" t="s">
        <v>1612</v>
      </c>
      <c r="H721" s="32" t="s">
        <v>1469</v>
      </c>
      <c r="I721" s="31"/>
      <c r="J721" s="31"/>
      <c r="K721" s="31"/>
      <c r="L721" s="32" t="str">
        <f>VLOOKUP(D721,'Active Employees'!$B$2:$B$498,1,false)</f>
        <v>temenuzhka.thede@docker.com</v>
      </c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</row>
    <row r="722" hidden="1">
      <c r="A722" s="37" t="s">
        <v>1570</v>
      </c>
      <c r="B722" s="31" t="s">
        <v>1547</v>
      </c>
      <c r="C722" s="31" t="s">
        <v>600</v>
      </c>
      <c r="D722" s="31" t="s">
        <v>1353</v>
      </c>
      <c r="E722" s="31" t="s">
        <v>1512</v>
      </c>
      <c r="F722" s="31" t="s">
        <v>1734</v>
      </c>
      <c r="G722" s="31" t="s">
        <v>1612</v>
      </c>
      <c r="H722" s="32" t="s">
        <v>1469</v>
      </c>
      <c r="I722" s="31"/>
      <c r="J722" s="31"/>
      <c r="K722" s="31"/>
      <c r="L722" s="32" t="str">
        <f>VLOOKUP(D722,'Active Employees'!$B$2:$B$498,1,false)</f>
        <v>temenuzhka.thede@docker.com</v>
      </c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</row>
    <row r="723" hidden="1">
      <c r="A723" s="37" t="s">
        <v>1570</v>
      </c>
      <c r="B723" s="31" t="s">
        <v>1547</v>
      </c>
      <c r="C723" s="31" t="s">
        <v>1593</v>
      </c>
      <c r="D723" s="31" t="s">
        <v>1353</v>
      </c>
      <c r="E723" s="31" t="s">
        <v>1512</v>
      </c>
      <c r="F723" s="31" t="s">
        <v>1734</v>
      </c>
      <c r="G723" s="31" t="s">
        <v>1612</v>
      </c>
      <c r="H723" s="32" t="s">
        <v>1469</v>
      </c>
      <c r="I723" s="31"/>
      <c r="J723" s="31"/>
      <c r="K723" s="31"/>
      <c r="L723" s="32" t="str">
        <f>VLOOKUP(D723,'Active Employees'!$B$2:$B$498,1,false)</f>
        <v>temenuzhka.thede@docker.com</v>
      </c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</row>
    <row r="724" hidden="1">
      <c r="A724" s="37" t="s">
        <v>1570</v>
      </c>
      <c r="B724" s="31" t="s">
        <v>1547</v>
      </c>
      <c r="C724" s="31" t="s">
        <v>1594</v>
      </c>
      <c r="D724" s="31" t="s">
        <v>1353</v>
      </c>
      <c r="E724" s="31" t="s">
        <v>1512</v>
      </c>
      <c r="F724" s="31" t="s">
        <v>1734</v>
      </c>
      <c r="G724" s="31" t="s">
        <v>1612</v>
      </c>
      <c r="H724" s="32" t="s">
        <v>1469</v>
      </c>
      <c r="I724" s="31"/>
      <c r="J724" s="31"/>
      <c r="K724" s="31"/>
      <c r="L724" s="32" t="str">
        <f>VLOOKUP(D724,'Active Employees'!$B$2:$B$498,1,false)</f>
        <v>temenuzhka.thede@docker.com</v>
      </c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</row>
    <row r="725" hidden="1">
      <c r="A725" s="37" t="s">
        <v>1522</v>
      </c>
      <c r="B725" s="31" t="s">
        <v>1547</v>
      </c>
      <c r="C725" s="31" t="s">
        <v>1566</v>
      </c>
      <c r="D725" s="31" t="s">
        <v>1959</v>
      </c>
      <c r="E725" s="31" t="s">
        <v>1960</v>
      </c>
      <c r="F725" s="31" t="s">
        <v>1611</v>
      </c>
      <c r="G725" s="31" t="s">
        <v>1612</v>
      </c>
      <c r="H725" s="32" t="s">
        <v>1469</v>
      </c>
      <c r="I725" s="31"/>
      <c r="J725" s="31"/>
      <c r="K725" s="31"/>
      <c r="L725" s="32" t="str">
        <f>VLOOKUP(D725,'Active Employees'!$B$2:$B$498,1,false)</f>
        <v>#N/A</v>
      </c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</row>
    <row r="726" hidden="1">
      <c r="A726" s="37" t="s">
        <v>1522</v>
      </c>
      <c r="B726" s="31" t="s">
        <v>1547</v>
      </c>
      <c r="C726" s="31" t="s">
        <v>1565</v>
      </c>
      <c r="D726" s="31" t="s">
        <v>1961</v>
      </c>
      <c r="E726" s="31" t="s">
        <v>1962</v>
      </c>
      <c r="F726" s="31" t="s">
        <v>1884</v>
      </c>
      <c r="G726" s="31" t="s">
        <v>1612</v>
      </c>
      <c r="H726" s="32" t="s">
        <v>1469</v>
      </c>
      <c r="I726" s="31"/>
      <c r="J726" s="31"/>
      <c r="K726" s="31"/>
      <c r="L726" s="32" t="str">
        <f>VLOOKUP(D726,'Active Employees'!$B$2:$B$498,1,false)</f>
        <v>#N/A</v>
      </c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</row>
    <row r="727" hidden="1">
      <c r="A727" s="37" t="s">
        <v>1522</v>
      </c>
      <c r="B727" s="31" t="s">
        <v>1547</v>
      </c>
      <c r="C727" s="31" t="s">
        <v>1565</v>
      </c>
      <c r="D727" s="31" t="s">
        <v>1961</v>
      </c>
      <c r="E727" s="31" t="s">
        <v>1962</v>
      </c>
      <c r="F727" s="31" t="s">
        <v>1640</v>
      </c>
      <c r="G727" s="31" t="s">
        <v>1528</v>
      </c>
      <c r="H727" s="32" t="s">
        <v>1469</v>
      </c>
      <c r="I727" s="31"/>
      <c r="J727" s="31"/>
      <c r="K727" s="31"/>
      <c r="L727" s="32" t="str">
        <f>VLOOKUP(D727,'Active Employees'!$B$2:$B$498,1,false)</f>
        <v>#N/A</v>
      </c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</row>
    <row r="728" hidden="1">
      <c r="A728" s="37" t="s">
        <v>1522</v>
      </c>
      <c r="B728" s="31" t="s">
        <v>1547</v>
      </c>
      <c r="C728" s="31" t="s">
        <v>1565</v>
      </c>
      <c r="D728" s="31" t="s">
        <v>1963</v>
      </c>
      <c r="E728" s="31" t="s">
        <v>458</v>
      </c>
      <c r="F728" s="31" t="s">
        <v>1884</v>
      </c>
      <c r="G728" s="31" t="s">
        <v>1612</v>
      </c>
      <c r="H728" s="32" t="s">
        <v>1469</v>
      </c>
      <c r="I728" s="31"/>
      <c r="J728" s="31"/>
      <c r="K728" s="31"/>
      <c r="L728" s="32" t="str">
        <f>VLOOKUP(D728,'Active Employees'!$B$2:$B$498,1,false)</f>
        <v>#N/A</v>
      </c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</row>
    <row r="729" hidden="1">
      <c r="A729" s="37" t="s">
        <v>1522</v>
      </c>
      <c r="B729" s="31" t="s">
        <v>1547</v>
      </c>
      <c r="C729" s="31" t="s">
        <v>1565</v>
      </c>
      <c r="D729" s="31" t="s">
        <v>1963</v>
      </c>
      <c r="E729" s="31" t="s">
        <v>458</v>
      </c>
      <c r="F729" s="31" t="s">
        <v>1651</v>
      </c>
      <c r="G729" s="31" t="s">
        <v>1612</v>
      </c>
      <c r="H729" s="32" t="s">
        <v>1469</v>
      </c>
      <c r="I729" s="31"/>
      <c r="J729" s="31"/>
      <c r="K729" s="31"/>
      <c r="L729" s="32" t="str">
        <f>VLOOKUP(D729,'Active Employees'!$B$2:$B$498,1,false)</f>
        <v>#N/A</v>
      </c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</row>
    <row r="730" hidden="1">
      <c r="A730" s="37" t="s">
        <v>1522</v>
      </c>
      <c r="B730" s="31" t="s">
        <v>1547</v>
      </c>
      <c r="C730" s="31" t="s">
        <v>1565</v>
      </c>
      <c r="D730" s="31" t="s">
        <v>1963</v>
      </c>
      <c r="E730" s="31" t="s">
        <v>458</v>
      </c>
      <c r="F730" s="31" t="s">
        <v>1640</v>
      </c>
      <c r="G730" s="31" t="s">
        <v>1528</v>
      </c>
      <c r="H730" s="32" t="s">
        <v>1469</v>
      </c>
      <c r="I730" s="31"/>
      <c r="J730" s="31"/>
      <c r="K730" s="31"/>
      <c r="L730" s="32" t="str">
        <f>VLOOKUP(D730,'Active Employees'!$B$2:$B$498,1,false)</f>
        <v>#N/A</v>
      </c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</row>
    <row r="731" hidden="1">
      <c r="A731" s="37" t="s">
        <v>1522</v>
      </c>
      <c r="B731" s="31" t="s">
        <v>1547</v>
      </c>
      <c r="C731" s="31" t="s">
        <v>1566</v>
      </c>
      <c r="D731" s="31" t="s">
        <v>1964</v>
      </c>
      <c r="E731" s="31" t="s">
        <v>1965</v>
      </c>
      <c r="F731" s="31" t="s">
        <v>1611</v>
      </c>
      <c r="G731" s="31" t="s">
        <v>1612</v>
      </c>
      <c r="H731" s="32" t="s">
        <v>1469</v>
      </c>
      <c r="I731" s="31"/>
      <c r="J731" s="31"/>
      <c r="K731" s="31"/>
      <c r="L731" s="32" t="str">
        <f>VLOOKUP(D731,'Active Employees'!$B$2:$B$498,1,false)</f>
        <v>#N/A</v>
      </c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5"/>
    <hyperlink r:id="rId255" ref="A256"/>
    <hyperlink r:id="rId256" ref="A257"/>
    <hyperlink r:id="rId257" ref="A258"/>
    <hyperlink r:id="rId258" ref="A259"/>
    <hyperlink r:id="rId259" ref="A260"/>
    <hyperlink r:id="rId260" ref="A261"/>
    <hyperlink r:id="rId261" ref="A262"/>
    <hyperlink r:id="rId262" ref="A263"/>
    <hyperlink r:id="rId263" ref="A264"/>
    <hyperlink r:id="rId264" ref="A265"/>
    <hyperlink r:id="rId265" ref="A266"/>
    <hyperlink r:id="rId266" ref="A267"/>
    <hyperlink r:id="rId267" ref="A268"/>
    <hyperlink r:id="rId268" ref="A269"/>
    <hyperlink r:id="rId269" ref="A270"/>
    <hyperlink r:id="rId270" ref="A271"/>
    <hyperlink r:id="rId271" ref="A272"/>
    <hyperlink r:id="rId272" ref="A273"/>
    <hyperlink r:id="rId273" ref="A274"/>
    <hyperlink r:id="rId274" ref="A275"/>
    <hyperlink r:id="rId275" ref="A276"/>
    <hyperlink r:id="rId276" ref="A277"/>
    <hyperlink r:id="rId277" ref="A278"/>
    <hyperlink r:id="rId278" ref="A279"/>
    <hyperlink r:id="rId279" ref="A280"/>
    <hyperlink r:id="rId280" ref="A281"/>
    <hyperlink r:id="rId281" ref="A282"/>
    <hyperlink r:id="rId282" ref="A283"/>
    <hyperlink r:id="rId283" ref="A284"/>
    <hyperlink r:id="rId284" ref="A285"/>
    <hyperlink r:id="rId285" ref="A286"/>
    <hyperlink r:id="rId286" ref="A287"/>
    <hyperlink r:id="rId287" ref="A288"/>
    <hyperlink r:id="rId288" ref="A289"/>
    <hyperlink r:id="rId289" ref="A290"/>
    <hyperlink r:id="rId290" ref="A291"/>
    <hyperlink r:id="rId291" ref="A292"/>
    <hyperlink r:id="rId292" ref="A293"/>
    <hyperlink r:id="rId293" ref="A294"/>
    <hyperlink r:id="rId294" ref="A295"/>
    <hyperlink r:id="rId295" ref="A296"/>
    <hyperlink r:id="rId296" ref="A297"/>
    <hyperlink r:id="rId297" ref="A298"/>
    <hyperlink r:id="rId298" ref="A299"/>
    <hyperlink r:id="rId299" ref="A300"/>
    <hyperlink r:id="rId300" ref="A301"/>
    <hyperlink r:id="rId301" ref="A302"/>
    <hyperlink r:id="rId302" ref="A303"/>
    <hyperlink r:id="rId303" ref="A304"/>
    <hyperlink r:id="rId304" ref="A305"/>
    <hyperlink r:id="rId305" ref="A306"/>
    <hyperlink r:id="rId306" ref="A307"/>
    <hyperlink r:id="rId307" ref="A308"/>
    <hyperlink r:id="rId308" ref="A309"/>
    <hyperlink r:id="rId309" ref="A310"/>
    <hyperlink r:id="rId310" ref="A311"/>
    <hyperlink r:id="rId311" ref="A312"/>
    <hyperlink r:id="rId312" ref="A313"/>
    <hyperlink r:id="rId313" ref="A314"/>
    <hyperlink r:id="rId314" ref="A315"/>
    <hyperlink r:id="rId315" ref="A316"/>
    <hyperlink r:id="rId316" ref="A317"/>
    <hyperlink r:id="rId317" ref="A318"/>
    <hyperlink r:id="rId318" ref="A319"/>
    <hyperlink r:id="rId319" ref="A320"/>
    <hyperlink r:id="rId320" ref="A321"/>
    <hyperlink r:id="rId321" ref="A322"/>
    <hyperlink r:id="rId322" ref="A323"/>
    <hyperlink r:id="rId323" ref="A324"/>
    <hyperlink r:id="rId324" ref="A325"/>
    <hyperlink r:id="rId325" ref="A326"/>
    <hyperlink r:id="rId326" ref="A327"/>
    <hyperlink r:id="rId327" ref="A328"/>
    <hyperlink r:id="rId328" ref="A329"/>
    <hyperlink r:id="rId329" ref="A330"/>
    <hyperlink r:id="rId330" ref="A331"/>
    <hyperlink r:id="rId331" ref="A332"/>
    <hyperlink r:id="rId332" ref="A333"/>
    <hyperlink r:id="rId333" ref="A334"/>
    <hyperlink r:id="rId334" ref="A335"/>
    <hyperlink r:id="rId335" ref="A336"/>
    <hyperlink r:id="rId336" ref="A337"/>
    <hyperlink r:id="rId337" ref="A338"/>
    <hyperlink r:id="rId338" ref="A339"/>
    <hyperlink r:id="rId339" ref="A340"/>
    <hyperlink r:id="rId340" ref="A341"/>
    <hyperlink r:id="rId341" ref="A342"/>
    <hyperlink r:id="rId342" ref="A343"/>
    <hyperlink r:id="rId343" ref="A344"/>
    <hyperlink r:id="rId344" ref="A345"/>
    <hyperlink r:id="rId345" ref="A346"/>
    <hyperlink r:id="rId346" ref="A347"/>
    <hyperlink r:id="rId347" ref="A348"/>
    <hyperlink r:id="rId348" ref="A349"/>
    <hyperlink r:id="rId349" ref="A350"/>
    <hyperlink r:id="rId350" ref="A351"/>
    <hyperlink r:id="rId351" ref="A352"/>
    <hyperlink r:id="rId352" ref="A353"/>
    <hyperlink r:id="rId353" ref="A354"/>
    <hyperlink r:id="rId354" ref="A355"/>
    <hyperlink r:id="rId355" ref="A356"/>
    <hyperlink r:id="rId356" ref="A357"/>
    <hyperlink r:id="rId357" ref="A358"/>
    <hyperlink r:id="rId358" ref="A359"/>
    <hyperlink r:id="rId359" ref="A360"/>
    <hyperlink r:id="rId360" ref="A361"/>
    <hyperlink r:id="rId361" ref="A362"/>
    <hyperlink r:id="rId362" ref="A363"/>
    <hyperlink r:id="rId363" ref="A364"/>
    <hyperlink r:id="rId364" ref="A365"/>
    <hyperlink r:id="rId365" ref="A366"/>
    <hyperlink r:id="rId366" ref="A367"/>
    <hyperlink r:id="rId367" ref="A368"/>
    <hyperlink r:id="rId368" ref="A369"/>
    <hyperlink r:id="rId369" ref="A370"/>
    <hyperlink r:id="rId370" ref="A371"/>
    <hyperlink r:id="rId371" ref="A372"/>
    <hyperlink r:id="rId372" ref="A373"/>
    <hyperlink r:id="rId373" ref="A374"/>
    <hyperlink r:id="rId374" ref="A375"/>
    <hyperlink r:id="rId375" ref="A376"/>
    <hyperlink r:id="rId376" ref="A377"/>
    <hyperlink r:id="rId377" ref="A378"/>
    <hyperlink r:id="rId378" ref="A379"/>
    <hyperlink r:id="rId379" ref="A380"/>
    <hyperlink r:id="rId380" ref="A381"/>
    <hyperlink r:id="rId381" ref="A382"/>
    <hyperlink r:id="rId382" ref="A383"/>
    <hyperlink r:id="rId383" ref="A384"/>
    <hyperlink r:id="rId384" ref="A385"/>
    <hyperlink r:id="rId385" ref="A386"/>
    <hyperlink r:id="rId386" ref="A387"/>
    <hyperlink r:id="rId387" ref="A388"/>
    <hyperlink r:id="rId388" ref="A389"/>
    <hyperlink r:id="rId389" ref="A390"/>
    <hyperlink r:id="rId390" ref="A391"/>
    <hyperlink r:id="rId391" ref="A392"/>
    <hyperlink r:id="rId392" ref="A393"/>
    <hyperlink r:id="rId393" ref="A394"/>
    <hyperlink r:id="rId394" ref="A395"/>
    <hyperlink r:id="rId395" ref="A396"/>
    <hyperlink r:id="rId396" ref="A397"/>
    <hyperlink r:id="rId397" ref="A398"/>
    <hyperlink r:id="rId398" ref="A399"/>
    <hyperlink r:id="rId399" ref="A400"/>
    <hyperlink r:id="rId400" ref="A401"/>
    <hyperlink r:id="rId401" ref="A402"/>
    <hyperlink r:id="rId402" ref="A403"/>
    <hyperlink r:id="rId403" ref="A404"/>
    <hyperlink r:id="rId404" ref="A405"/>
    <hyperlink r:id="rId405" ref="A406"/>
    <hyperlink r:id="rId406" ref="A407"/>
    <hyperlink r:id="rId407" ref="A408"/>
    <hyperlink r:id="rId408" ref="A409"/>
    <hyperlink r:id="rId409" ref="A410"/>
    <hyperlink r:id="rId410" ref="A411"/>
    <hyperlink r:id="rId411" ref="A412"/>
    <hyperlink r:id="rId412" ref="A413"/>
    <hyperlink r:id="rId413" ref="A414"/>
    <hyperlink r:id="rId414" ref="A415"/>
    <hyperlink r:id="rId415" ref="A416"/>
    <hyperlink r:id="rId416" ref="A417"/>
    <hyperlink r:id="rId417" ref="A418"/>
    <hyperlink r:id="rId418" ref="A419"/>
    <hyperlink r:id="rId419" ref="A420"/>
    <hyperlink r:id="rId420" ref="A421"/>
    <hyperlink r:id="rId421" ref="A422"/>
    <hyperlink r:id="rId422" ref="A423"/>
    <hyperlink r:id="rId423" ref="A424"/>
    <hyperlink r:id="rId424" ref="A425"/>
    <hyperlink r:id="rId425" ref="A426"/>
    <hyperlink r:id="rId426" ref="A427"/>
    <hyperlink r:id="rId427" ref="A428"/>
    <hyperlink r:id="rId428" ref="A429"/>
    <hyperlink r:id="rId429" ref="A430"/>
    <hyperlink r:id="rId430" ref="A431"/>
    <hyperlink r:id="rId431" ref="A432"/>
    <hyperlink r:id="rId432" ref="A433"/>
    <hyperlink r:id="rId433" ref="A434"/>
    <hyperlink r:id="rId434" ref="A435"/>
    <hyperlink r:id="rId435" ref="A436"/>
    <hyperlink r:id="rId436" ref="A437"/>
    <hyperlink r:id="rId437" ref="A438"/>
    <hyperlink r:id="rId438" ref="A439"/>
    <hyperlink r:id="rId439" ref="A440"/>
    <hyperlink r:id="rId440" ref="A441"/>
    <hyperlink r:id="rId441" ref="A442"/>
    <hyperlink r:id="rId442" ref="A443"/>
    <hyperlink r:id="rId443" ref="A444"/>
    <hyperlink r:id="rId444" ref="A445"/>
    <hyperlink r:id="rId445" ref="A446"/>
    <hyperlink r:id="rId446" ref="A447"/>
    <hyperlink r:id="rId447" ref="A448"/>
    <hyperlink r:id="rId448" ref="A449"/>
    <hyperlink r:id="rId449" ref="A450"/>
    <hyperlink r:id="rId450" ref="A451"/>
    <hyperlink r:id="rId451" ref="A452"/>
    <hyperlink r:id="rId452" ref="A453"/>
    <hyperlink r:id="rId453" ref="A454"/>
    <hyperlink r:id="rId454" ref="A455"/>
    <hyperlink r:id="rId455" ref="A456"/>
    <hyperlink r:id="rId456" ref="A457"/>
    <hyperlink r:id="rId457" ref="A458"/>
    <hyperlink r:id="rId458" ref="A459"/>
    <hyperlink r:id="rId459" ref="A460"/>
    <hyperlink r:id="rId460" ref="A461"/>
    <hyperlink r:id="rId461" ref="A462"/>
    <hyperlink r:id="rId462" ref="A463"/>
    <hyperlink r:id="rId463" ref="A464"/>
    <hyperlink r:id="rId464" ref="A465"/>
    <hyperlink r:id="rId465" ref="A466"/>
    <hyperlink r:id="rId466" ref="A467"/>
    <hyperlink r:id="rId467" ref="A468"/>
    <hyperlink r:id="rId468" ref="A469"/>
    <hyperlink r:id="rId469" ref="A470"/>
    <hyperlink r:id="rId470" ref="A471"/>
    <hyperlink r:id="rId471" ref="A472"/>
    <hyperlink r:id="rId472" ref="A473"/>
    <hyperlink r:id="rId473" ref="A474"/>
    <hyperlink r:id="rId474" ref="A475"/>
    <hyperlink r:id="rId475" ref="A476"/>
    <hyperlink r:id="rId476" ref="A477"/>
    <hyperlink r:id="rId477" ref="A478"/>
    <hyperlink r:id="rId478" ref="A479"/>
    <hyperlink r:id="rId479" ref="A480"/>
    <hyperlink r:id="rId480" ref="A481"/>
    <hyperlink r:id="rId481" ref="A482"/>
    <hyperlink r:id="rId482" ref="A483"/>
    <hyperlink r:id="rId483" ref="A484"/>
    <hyperlink r:id="rId484" ref="A485"/>
    <hyperlink r:id="rId485" ref="A486"/>
    <hyperlink r:id="rId486" ref="A487"/>
    <hyperlink r:id="rId487" ref="A488"/>
    <hyperlink r:id="rId488" ref="A489"/>
    <hyperlink r:id="rId489" ref="A490"/>
    <hyperlink r:id="rId490" ref="A491"/>
    <hyperlink r:id="rId491" ref="A492"/>
    <hyperlink r:id="rId492" ref="A493"/>
    <hyperlink r:id="rId493" ref="A494"/>
    <hyperlink r:id="rId494" ref="A495"/>
    <hyperlink r:id="rId495" ref="A496"/>
    <hyperlink r:id="rId496" ref="A497"/>
    <hyperlink r:id="rId497" ref="A498"/>
    <hyperlink r:id="rId498" ref="A499"/>
    <hyperlink r:id="rId499" ref="A500"/>
    <hyperlink r:id="rId500" ref="A501"/>
    <hyperlink r:id="rId501" ref="A502"/>
    <hyperlink r:id="rId502" ref="A503"/>
    <hyperlink r:id="rId503" ref="A504"/>
    <hyperlink r:id="rId504" ref="A505"/>
    <hyperlink r:id="rId505" ref="A506"/>
    <hyperlink r:id="rId506" ref="A507"/>
    <hyperlink r:id="rId507" ref="A508"/>
    <hyperlink r:id="rId508" ref="A509"/>
    <hyperlink r:id="rId509" ref="A510"/>
    <hyperlink r:id="rId510" ref="A511"/>
    <hyperlink r:id="rId511" ref="A512"/>
    <hyperlink r:id="rId512" ref="A513"/>
    <hyperlink r:id="rId513" ref="A514"/>
    <hyperlink r:id="rId514" ref="A515"/>
    <hyperlink r:id="rId515" ref="A516"/>
    <hyperlink r:id="rId516" ref="A517"/>
    <hyperlink r:id="rId517" ref="A518"/>
    <hyperlink r:id="rId518" ref="A519"/>
    <hyperlink r:id="rId519" ref="A520"/>
    <hyperlink r:id="rId520" ref="A521"/>
    <hyperlink r:id="rId521" ref="A522"/>
    <hyperlink r:id="rId522" ref="A523"/>
    <hyperlink r:id="rId523" ref="A524"/>
    <hyperlink r:id="rId524" ref="A525"/>
    <hyperlink r:id="rId525" ref="A526"/>
    <hyperlink r:id="rId526" ref="A527"/>
    <hyperlink r:id="rId527" ref="A528"/>
    <hyperlink r:id="rId528" ref="A529"/>
    <hyperlink r:id="rId529" ref="A530"/>
    <hyperlink r:id="rId530" ref="A531"/>
    <hyperlink r:id="rId531" ref="A532"/>
    <hyperlink r:id="rId532" ref="A533"/>
    <hyperlink r:id="rId533" ref="A534"/>
    <hyperlink r:id="rId534" ref="A535"/>
    <hyperlink r:id="rId535" ref="A536"/>
    <hyperlink r:id="rId536" ref="A537"/>
    <hyperlink r:id="rId537" ref="A538"/>
    <hyperlink r:id="rId538" ref="A539"/>
    <hyperlink r:id="rId539" ref="A540"/>
    <hyperlink r:id="rId540" ref="A541"/>
    <hyperlink r:id="rId541" ref="A542"/>
    <hyperlink r:id="rId542" ref="A543"/>
    <hyperlink r:id="rId543" ref="A544"/>
    <hyperlink r:id="rId544" ref="A545"/>
    <hyperlink r:id="rId545" ref="A546"/>
    <hyperlink r:id="rId546" ref="A547"/>
    <hyperlink r:id="rId547" ref="A548"/>
    <hyperlink r:id="rId548" ref="A549"/>
    <hyperlink r:id="rId549" ref="A550"/>
    <hyperlink r:id="rId550" ref="A551"/>
    <hyperlink r:id="rId551" ref="A552"/>
    <hyperlink r:id="rId552" ref="A553"/>
    <hyperlink r:id="rId553" ref="A554"/>
    <hyperlink r:id="rId554" ref="A555"/>
    <hyperlink r:id="rId555" ref="A556"/>
    <hyperlink r:id="rId556" ref="A557"/>
    <hyperlink r:id="rId557" ref="A558"/>
    <hyperlink r:id="rId558" ref="A559"/>
    <hyperlink r:id="rId559" ref="A560"/>
    <hyperlink r:id="rId560" ref="A561"/>
    <hyperlink r:id="rId561" ref="A562"/>
    <hyperlink r:id="rId562" ref="A563"/>
    <hyperlink r:id="rId563" ref="A564"/>
    <hyperlink r:id="rId564" ref="A565"/>
    <hyperlink r:id="rId565" ref="A566"/>
    <hyperlink r:id="rId566" ref="A567"/>
    <hyperlink r:id="rId567" ref="A568"/>
    <hyperlink r:id="rId568" ref="A569"/>
    <hyperlink r:id="rId569" ref="A570"/>
    <hyperlink r:id="rId570" ref="A571"/>
    <hyperlink r:id="rId571" ref="A572"/>
    <hyperlink r:id="rId572" ref="A573"/>
    <hyperlink r:id="rId573" ref="A574"/>
    <hyperlink r:id="rId574" ref="A575"/>
    <hyperlink r:id="rId575" ref="A576"/>
    <hyperlink r:id="rId576" ref="A577"/>
    <hyperlink r:id="rId577" ref="A578"/>
    <hyperlink r:id="rId578" ref="A579"/>
    <hyperlink r:id="rId579" ref="A580"/>
    <hyperlink r:id="rId580" ref="A581"/>
    <hyperlink r:id="rId581" ref="A582"/>
    <hyperlink r:id="rId582" ref="A583"/>
    <hyperlink r:id="rId583" ref="A584"/>
    <hyperlink r:id="rId584" ref="A585"/>
    <hyperlink r:id="rId585" ref="A586"/>
    <hyperlink r:id="rId586" ref="A587"/>
    <hyperlink r:id="rId587" ref="A588"/>
    <hyperlink r:id="rId588" ref="A589"/>
    <hyperlink r:id="rId589" ref="A590"/>
    <hyperlink r:id="rId590" ref="A591"/>
    <hyperlink r:id="rId591" ref="A592"/>
    <hyperlink r:id="rId592" ref="A593"/>
    <hyperlink r:id="rId593" ref="A594"/>
    <hyperlink r:id="rId594" ref="A595"/>
    <hyperlink r:id="rId595" ref="A596"/>
    <hyperlink r:id="rId596" ref="A597"/>
    <hyperlink r:id="rId597" ref="A598"/>
    <hyperlink r:id="rId598" ref="A599"/>
    <hyperlink r:id="rId599" ref="A600"/>
    <hyperlink r:id="rId600" ref="A601"/>
    <hyperlink r:id="rId601" ref="A602"/>
    <hyperlink r:id="rId602" ref="A603"/>
    <hyperlink r:id="rId603" ref="A604"/>
    <hyperlink r:id="rId604" ref="A605"/>
    <hyperlink r:id="rId605" ref="A606"/>
    <hyperlink r:id="rId606" ref="A607"/>
    <hyperlink r:id="rId607" ref="A608"/>
    <hyperlink r:id="rId608" ref="A609"/>
    <hyperlink r:id="rId609" ref="A610"/>
    <hyperlink r:id="rId610" ref="A611"/>
    <hyperlink r:id="rId611" ref="A612"/>
    <hyperlink r:id="rId612" ref="A613"/>
    <hyperlink r:id="rId613" ref="A614"/>
    <hyperlink r:id="rId614" ref="A615"/>
    <hyperlink r:id="rId615" ref="A616"/>
    <hyperlink r:id="rId616" ref="A617"/>
    <hyperlink r:id="rId617" ref="A618"/>
    <hyperlink r:id="rId618" ref="A619"/>
    <hyperlink r:id="rId619" ref="A620"/>
    <hyperlink r:id="rId620" ref="A621"/>
    <hyperlink r:id="rId621" ref="A622"/>
    <hyperlink r:id="rId622" ref="A623"/>
    <hyperlink r:id="rId623" ref="A624"/>
    <hyperlink r:id="rId624" ref="A625"/>
    <hyperlink r:id="rId625" ref="A626"/>
    <hyperlink r:id="rId626" ref="A627"/>
    <hyperlink r:id="rId627" ref="A628"/>
    <hyperlink r:id="rId628" ref="A629"/>
    <hyperlink r:id="rId629" ref="A630"/>
    <hyperlink r:id="rId630" ref="A631"/>
    <hyperlink r:id="rId631" ref="A632"/>
    <hyperlink r:id="rId632" ref="A633"/>
    <hyperlink r:id="rId633" ref="A634"/>
    <hyperlink r:id="rId634" ref="A635"/>
    <hyperlink r:id="rId635" ref="A636"/>
    <hyperlink r:id="rId636" ref="A637"/>
    <hyperlink r:id="rId637" ref="A638"/>
    <hyperlink r:id="rId638" ref="A639"/>
    <hyperlink r:id="rId639" ref="A640"/>
    <hyperlink r:id="rId640" ref="A641"/>
    <hyperlink r:id="rId641" ref="A642"/>
    <hyperlink r:id="rId642" ref="A643"/>
    <hyperlink r:id="rId643" ref="A644"/>
    <hyperlink r:id="rId644" ref="A645"/>
    <hyperlink r:id="rId645" ref="A646"/>
    <hyperlink r:id="rId646" ref="A647"/>
    <hyperlink r:id="rId647" ref="A648"/>
    <hyperlink r:id="rId648" ref="A649"/>
    <hyperlink r:id="rId649" ref="A650"/>
    <hyperlink r:id="rId650" ref="A651"/>
    <hyperlink r:id="rId651" ref="A652"/>
    <hyperlink r:id="rId652" ref="A653"/>
    <hyperlink r:id="rId653" ref="A654"/>
    <hyperlink r:id="rId654" ref="A655"/>
    <hyperlink r:id="rId655" ref="A656"/>
    <hyperlink r:id="rId656" ref="A657"/>
    <hyperlink r:id="rId657" ref="A658"/>
    <hyperlink r:id="rId658" ref="A659"/>
    <hyperlink r:id="rId659" ref="A660"/>
    <hyperlink r:id="rId660" ref="A661"/>
    <hyperlink r:id="rId661" ref="A662"/>
    <hyperlink r:id="rId662" ref="A663"/>
    <hyperlink r:id="rId663" ref="A664"/>
    <hyperlink r:id="rId664" ref="A665"/>
    <hyperlink r:id="rId665" ref="A666"/>
    <hyperlink r:id="rId666" ref="A667"/>
    <hyperlink r:id="rId667" ref="A668"/>
    <hyperlink r:id="rId668" ref="A669"/>
    <hyperlink r:id="rId669" ref="A670"/>
    <hyperlink r:id="rId670" ref="A671"/>
    <hyperlink r:id="rId671" ref="A672"/>
    <hyperlink r:id="rId672" ref="A673"/>
    <hyperlink r:id="rId673" ref="A674"/>
    <hyperlink r:id="rId674" ref="A675"/>
    <hyperlink r:id="rId675" ref="A676"/>
    <hyperlink r:id="rId676" ref="A677"/>
    <hyperlink r:id="rId677" ref="A678"/>
    <hyperlink r:id="rId678" ref="A679"/>
    <hyperlink r:id="rId679" ref="A680"/>
    <hyperlink r:id="rId680" ref="A681"/>
    <hyperlink r:id="rId681" ref="A682"/>
    <hyperlink r:id="rId682" ref="A683"/>
    <hyperlink r:id="rId683" ref="A684"/>
    <hyperlink r:id="rId684" ref="A685"/>
    <hyperlink r:id="rId685" ref="A686"/>
    <hyperlink r:id="rId686" ref="A687"/>
    <hyperlink r:id="rId687" ref="A688"/>
    <hyperlink r:id="rId688" ref="A689"/>
    <hyperlink r:id="rId689" ref="A690"/>
    <hyperlink r:id="rId690" ref="A691"/>
    <hyperlink r:id="rId691" ref="A692"/>
    <hyperlink r:id="rId692" ref="A693"/>
    <hyperlink r:id="rId693" ref="A694"/>
    <hyperlink r:id="rId694" ref="A695"/>
    <hyperlink r:id="rId695" ref="A696"/>
    <hyperlink r:id="rId696" ref="A697"/>
    <hyperlink r:id="rId697" ref="A698"/>
    <hyperlink r:id="rId698" ref="A699"/>
    <hyperlink r:id="rId699" ref="A700"/>
    <hyperlink r:id="rId700" ref="A701"/>
    <hyperlink r:id="rId701" ref="A702"/>
    <hyperlink r:id="rId702" ref="A703"/>
    <hyperlink r:id="rId703" ref="A704"/>
    <hyperlink r:id="rId704" ref="A705"/>
    <hyperlink r:id="rId705" ref="A706"/>
    <hyperlink r:id="rId706" ref="A707"/>
    <hyperlink r:id="rId707" ref="A708"/>
    <hyperlink r:id="rId708" ref="A709"/>
    <hyperlink r:id="rId709" ref="A710"/>
    <hyperlink r:id="rId710" ref="A711"/>
    <hyperlink r:id="rId711" ref="A712"/>
    <hyperlink r:id="rId712" ref="A713"/>
    <hyperlink r:id="rId713" ref="A714"/>
    <hyperlink r:id="rId714" ref="A715"/>
    <hyperlink r:id="rId715" ref="A716"/>
    <hyperlink r:id="rId716" ref="A717"/>
    <hyperlink r:id="rId717" ref="A718"/>
    <hyperlink r:id="rId718" ref="A719"/>
    <hyperlink r:id="rId719" ref="A720"/>
    <hyperlink r:id="rId720" ref="A721"/>
    <hyperlink r:id="rId721" ref="A722"/>
    <hyperlink r:id="rId722" ref="A723"/>
    <hyperlink r:id="rId723" ref="A724"/>
    <hyperlink r:id="rId724" ref="A725"/>
    <hyperlink r:id="rId725" ref="A726"/>
    <hyperlink r:id="rId726" ref="A727"/>
    <hyperlink r:id="rId727" ref="A728"/>
    <hyperlink r:id="rId728" ref="A729"/>
    <hyperlink r:id="rId729" ref="A730"/>
    <hyperlink r:id="rId730" ref="A731"/>
  </hyperlinks>
  <drawing r:id="rId73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33.0"/>
    <col customWidth="1" min="4" max="4" width="29.63"/>
    <col customWidth="1" min="7" max="7" width="33.38"/>
    <col customWidth="1" hidden="1" min="9" max="9" width="27.0"/>
    <col customWidth="1" min="10" max="10" width="14.38"/>
  </cols>
  <sheetData>
    <row r="1">
      <c r="A1" s="26" t="s">
        <v>1966</v>
      </c>
      <c r="B1" s="26" t="s">
        <v>1967</v>
      </c>
      <c r="C1" s="26" t="s">
        <v>1968</v>
      </c>
      <c r="D1" s="26" t="s">
        <v>1969</v>
      </c>
      <c r="E1" s="26" t="s">
        <v>1970</v>
      </c>
      <c r="F1" s="26" t="s">
        <v>1459</v>
      </c>
      <c r="G1" s="26" t="s">
        <v>1460</v>
      </c>
      <c r="H1" s="26" t="s">
        <v>1461</v>
      </c>
      <c r="I1" s="29" t="s">
        <v>1463</v>
      </c>
      <c r="J1" s="29" t="s">
        <v>1462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</row>
    <row r="2">
      <c r="A2" s="39">
        <v>1.0438487392E10</v>
      </c>
      <c r="B2" s="39" t="s">
        <v>1971</v>
      </c>
      <c r="C2" s="39" t="s">
        <v>1972</v>
      </c>
      <c r="D2" s="39" t="s">
        <v>1973</v>
      </c>
      <c r="E2" s="39" t="s">
        <v>1974</v>
      </c>
      <c r="F2" s="42"/>
      <c r="G2" s="42"/>
      <c r="H2" s="42"/>
      <c r="I2" s="42" t="str">
        <f>VLOOKUP(D2,'Active Employees'!$B$2:$B$498,1,false)</f>
        <v>#N/A</v>
      </c>
      <c r="J2" s="43" t="s">
        <v>1466</v>
      </c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14"/>
      <c r="Z2" s="14"/>
    </row>
    <row r="3">
      <c r="A3" s="39">
        <v>4.7302296459E10</v>
      </c>
      <c r="B3" s="39" t="s">
        <v>1975</v>
      </c>
      <c r="C3" s="39" t="s">
        <v>1972</v>
      </c>
      <c r="D3" s="39" t="s">
        <v>1973</v>
      </c>
      <c r="E3" s="39" t="s">
        <v>1974</v>
      </c>
      <c r="F3" s="42"/>
      <c r="G3" s="42"/>
      <c r="H3" s="42"/>
      <c r="I3" s="42" t="str">
        <f>VLOOKUP(D3,'Active Employees'!$B$2:$B$498,1,false)</f>
        <v>#N/A</v>
      </c>
      <c r="J3" s="43" t="s">
        <v>1466</v>
      </c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14"/>
      <c r="Z3" s="14"/>
    </row>
    <row r="4">
      <c r="A4" s="39">
        <v>5.8264503038E10</v>
      </c>
      <c r="B4" s="39" t="s">
        <v>1976</v>
      </c>
      <c r="C4" s="39" t="s">
        <v>1972</v>
      </c>
      <c r="D4" s="39" t="s">
        <v>1973</v>
      </c>
      <c r="E4" s="39" t="s">
        <v>1974</v>
      </c>
      <c r="F4" s="42"/>
      <c r="G4" s="42"/>
      <c r="H4" s="42"/>
      <c r="I4" s="42" t="str">
        <f>VLOOKUP(D4,'Active Employees'!$B$2:$B$498,1,false)</f>
        <v>#N/A</v>
      </c>
      <c r="J4" s="43" t="s">
        <v>1466</v>
      </c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14"/>
      <c r="Z4" s="14"/>
    </row>
    <row r="5">
      <c r="A5" s="39">
        <v>9.9407438094E10</v>
      </c>
      <c r="B5" s="39" t="s">
        <v>1977</v>
      </c>
      <c r="C5" s="39" t="s">
        <v>1972</v>
      </c>
      <c r="D5" s="39" t="s">
        <v>1973</v>
      </c>
      <c r="E5" s="39" t="s">
        <v>1974</v>
      </c>
      <c r="F5" s="42"/>
      <c r="G5" s="42"/>
      <c r="H5" s="42"/>
      <c r="I5" s="42" t="str">
        <f>VLOOKUP(D5,'Active Employees'!$B$2:$B$498,1,false)</f>
        <v>#N/A</v>
      </c>
      <c r="J5" s="43" t="s">
        <v>1466</v>
      </c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14"/>
      <c r="Z5" s="14"/>
    </row>
    <row r="6">
      <c r="A6" s="39">
        <v>1.11664719423E11</v>
      </c>
      <c r="B6" s="39" t="s">
        <v>1978</v>
      </c>
      <c r="C6" s="39" t="s">
        <v>1972</v>
      </c>
      <c r="D6" s="39" t="s">
        <v>1973</v>
      </c>
      <c r="E6" s="39" t="s">
        <v>1974</v>
      </c>
      <c r="F6" s="42"/>
      <c r="G6" s="42"/>
      <c r="H6" s="42"/>
      <c r="I6" s="42" t="str">
        <f>VLOOKUP(D6,'Active Employees'!$B$2:$B$498,1,false)</f>
        <v>#N/A</v>
      </c>
      <c r="J6" s="43" t="s">
        <v>1466</v>
      </c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14"/>
      <c r="Z6" s="14"/>
    </row>
    <row r="7">
      <c r="A7" s="39">
        <v>1.75142243308E11</v>
      </c>
      <c r="B7" s="39" t="s">
        <v>1979</v>
      </c>
      <c r="C7" s="39" t="s">
        <v>1972</v>
      </c>
      <c r="D7" s="39" t="s">
        <v>1973</v>
      </c>
      <c r="E7" s="39" t="s">
        <v>1974</v>
      </c>
      <c r="F7" s="42"/>
      <c r="G7" s="42"/>
      <c r="H7" s="42"/>
      <c r="I7" s="42" t="str">
        <f>VLOOKUP(D7,'Active Employees'!$B$2:$B$498,1,false)</f>
        <v>#N/A</v>
      </c>
      <c r="J7" s="43" t="s">
        <v>1466</v>
      </c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14"/>
      <c r="Z7" s="14"/>
    </row>
    <row r="8">
      <c r="A8" s="39">
        <v>2.67155176707E11</v>
      </c>
      <c r="B8" s="39" t="s">
        <v>1980</v>
      </c>
      <c r="C8" s="39" t="s">
        <v>1972</v>
      </c>
      <c r="D8" s="39" t="s">
        <v>1973</v>
      </c>
      <c r="E8" s="39" t="s">
        <v>1974</v>
      </c>
      <c r="F8" s="42"/>
      <c r="G8" s="42"/>
      <c r="H8" s="42"/>
      <c r="I8" s="42" t="str">
        <f>VLOOKUP(D8,'Active Employees'!$B$2:$B$498,1,false)</f>
        <v>#N/A</v>
      </c>
      <c r="J8" s="43" t="s">
        <v>1466</v>
      </c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14"/>
      <c r="Z8" s="14"/>
    </row>
    <row r="9">
      <c r="A9" s="39">
        <v>2.77603989202E11</v>
      </c>
      <c r="B9" s="39" t="s">
        <v>1981</v>
      </c>
      <c r="C9" s="39" t="s">
        <v>1972</v>
      </c>
      <c r="D9" s="39" t="s">
        <v>1973</v>
      </c>
      <c r="E9" s="39" t="s">
        <v>1974</v>
      </c>
      <c r="F9" s="42"/>
      <c r="G9" s="42"/>
      <c r="H9" s="42"/>
      <c r="I9" s="42" t="str">
        <f>VLOOKUP(D9,'Active Employees'!$B$2:$B$498,1,false)</f>
        <v>#N/A</v>
      </c>
      <c r="J9" s="43" t="s">
        <v>1466</v>
      </c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14"/>
      <c r="Z9" s="14"/>
    </row>
    <row r="10">
      <c r="A10" s="39">
        <v>3.00042230143E11</v>
      </c>
      <c r="B10" s="39" t="s">
        <v>1982</v>
      </c>
      <c r="C10" s="39" t="s">
        <v>1972</v>
      </c>
      <c r="D10" s="39" t="s">
        <v>1973</v>
      </c>
      <c r="E10" s="39" t="s">
        <v>1974</v>
      </c>
      <c r="F10" s="42"/>
      <c r="G10" s="42"/>
      <c r="H10" s="42"/>
      <c r="I10" s="42" t="str">
        <f>VLOOKUP(D10,'Active Employees'!$B$2:$B$498,1,false)</f>
        <v>#N/A</v>
      </c>
      <c r="J10" s="43" t="s">
        <v>1466</v>
      </c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14"/>
      <c r="Z10" s="14"/>
    </row>
    <row r="11">
      <c r="A11" s="39">
        <v>3.0370012255E11</v>
      </c>
      <c r="B11" s="39" t="s">
        <v>1983</v>
      </c>
      <c r="C11" s="39" t="s">
        <v>1972</v>
      </c>
      <c r="D11" s="39" t="s">
        <v>1973</v>
      </c>
      <c r="E11" s="39" t="s">
        <v>1974</v>
      </c>
      <c r="F11" s="42"/>
      <c r="G11" s="42"/>
      <c r="H11" s="42"/>
      <c r="I11" s="42" t="str">
        <f>VLOOKUP(D11,'Active Employees'!$B$2:$B$498,1,false)</f>
        <v>#N/A</v>
      </c>
      <c r="J11" s="43" t="s">
        <v>1466</v>
      </c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14"/>
      <c r="Z11" s="14"/>
    </row>
    <row r="12">
      <c r="A12" s="39">
        <v>3.13121495448E11</v>
      </c>
      <c r="B12" s="39" t="s">
        <v>1984</v>
      </c>
      <c r="C12" s="39" t="s">
        <v>1972</v>
      </c>
      <c r="D12" s="39" t="s">
        <v>1973</v>
      </c>
      <c r="E12" s="39" t="s">
        <v>1974</v>
      </c>
      <c r="F12" s="42"/>
      <c r="G12" s="42"/>
      <c r="H12" s="42"/>
      <c r="I12" s="42" t="str">
        <f>VLOOKUP(D12,'Active Employees'!$B$2:$B$498,1,false)</f>
        <v>#N/A</v>
      </c>
      <c r="J12" s="43" t="s">
        <v>1466</v>
      </c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14"/>
      <c r="Z12" s="14"/>
    </row>
    <row r="13">
      <c r="A13" s="39">
        <v>3.18510287843E11</v>
      </c>
      <c r="B13" s="39" t="s">
        <v>1985</v>
      </c>
      <c r="C13" s="39" t="s">
        <v>1972</v>
      </c>
      <c r="D13" s="39" t="s">
        <v>1973</v>
      </c>
      <c r="E13" s="39" t="s">
        <v>1974</v>
      </c>
      <c r="F13" s="42"/>
      <c r="G13" s="42"/>
      <c r="H13" s="42"/>
      <c r="I13" s="42" t="str">
        <f>VLOOKUP(D13,'Active Employees'!$B$2:$B$498,1,false)</f>
        <v>#N/A</v>
      </c>
      <c r="J13" s="43" t="s">
        <v>1466</v>
      </c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14"/>
      <c r="Z13" s="14"/>
    </row>
    <row r="14">
      <c r="A14" s="39">
        <v>3.28193795291E11</v>
      </c>
      <c r="B14" s="39" t="s">
        <v>1579</v>
      </c>
      <c r="C14" s="39" t="s">
        <v>1972</v>
      </c>
      <c r="D14" s="39" t="s">
        <v>1973</v>
      </c>
      <c r="E14" s="39" t="s">
        <v>1974</v>
      </c>
      <c r="F14" s="42"/>
      <c r="G14" s="42"/>
      <c r="H14" s="42"/>
      <c r="I14" s="42" t="str">
        <f>VLOOKUP(D14,'Active Employees'!$B$2:$B$498,1,false)</f>
        <v>#N/A</v>
      </c>
      <c r="J14" s="43" t="s">
        <v>1466</v>
      </c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14"/>
      <c r="Z14" s="14"/>
    </row>
    <row r="15">
      <c r="A15" s="39">
        <v>3.45862510308E11</v>
      </c>
      <c r="B15" s="39" t="s">
        <v>1986</v>
      </c>
      <c r="C15" s="39" t="s">
        <v>1972</v>
      </c>
      <c r="D15" s="39" t="s">
        <v>1973</v>
      </c>
      <c r="E15" s="39" t="s">
        <v>1974</v>
      </c>
      <c r="F15" s="42"/>
      <c r="G15" s="42"/>
      <c r="H15" s="42"/>
      <c r="I15" s="42" t="str">
        <f>VLOOKUP(D15,'Active Employees'!$B$2:$B$498,1,false)</f>
        <v>#N/A</v>
      </c>
      <c r="J15" s="43" t="s">
        <v>1466</v>
      </c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14"/>
      <c r="Z15" s="14"/>
    </row>
    <row r="16">
      <c r="A16" s="39">
        <v>3.64430574006E11</v>
      </c>
      <c r="B16" s="39" t="s">
        <v>1987</v>
      </c>
      <c r="C16" s="39" t="s">
        <v>1972</v>
      </c>
      <c r="D16" s="39" t="s">
        <v>1973</v>
      </c>
      <c r="E16" s="39" t="s">
        <v>1974</v>
      </c>
      <c r="F16" s="42"/>
      <c r="G16" s="42"/>
      <c r="H16" s="42"/>
      <c r="I16" s="42" t="str">
        <f>VLOOKUP(D16,'Active Employees'!$B$2:$B$498,1,false)</f>
        <v>#N/A</v>
      </c>
      <c r="J16" s="43" t="s">
        <v>1466</v>
      </c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14"/>
      <c r="Z16" s="14"/>
    </row>
    <row r="17">
      <c r="A17" s="39">
        <v>3.98949996071E11</v>
      </c>
      <c r="B17" s="39" t="s">
        <v>1988</v>
      </c>
      <c r="C17" s="39" t="s">
        <v>1989</v>
      </c>
      <c r="D17" s="39" t="s">
        <v>1973</v>
      </c>
      <c r="E17" s="39" t="s">
        <v>1974</v>
      </c>
      <c r="F17" s="42"/>
      <c r="G17" s="42"/>
      <c r="H17" s="42"/>
      <c r="I17" s="42" t="str">
        <f>VLOOKUP(D17,'Active Employees'!$B$2:$B$498,1,false)</f>
        <v>#N/A</v>
      </c>
      <c r="J17" s="43" t="s">
        <v>1466</v>
      </c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14"/>
      <c r="Z17" s="14"/>
    </row>
    <row r="18">
      <c r="A18" s="39">
        <v>4.33192899833E11</v>
      </c>
      <c r="B18" s="39" t="s">
        <v>1990</v>
      </c>
      <c r="C18" s="39" t="s">
        <v>1972</v>
      </c>
      <c r="D18" s="39" t="s">
        <v>1973</v>
      </c>
      <c r="E18" s="39" t="s">
        <v>1974</v>
      </c>
      <c r="F18" s="42"/>
      <c r="G18" s="42"/>
      <c r="H18" s="42"/>
      <c r="I18" s="42" t="str">
        <f>VLOOKUP(D18,'Active Employees'!$B$2:$B$498,1,false)</f>
        <v>#N/A</v>
      </c>
      <c r="J18" s="43" t="s">
        <v>1466</v>
      </c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14"/>
      <c r="Z18" s="14"/>
    </row>
    <row r="19">
      <c r="A19" s="39">
        <v>4.47924746603E11</v>
      </c>
      <c r="B19" s="39" t="s">
        <v>1991</v>
      </c>
      <c r="C19" s="39" t="s">
        <v>1972</v>
      </c>
      <c r="D19" s="39" t="s">
        <v>1973</v>
      </c>
      <c r="E19" s="39" t="s">
        <v>1974</v>
      </c>
      <c r="F19" s="42"/>
      <c r="G19" s="42"/>
      <c r="H19" s="42"/>
      <c r="I19" s="42" t="str">
        <f>VLOOKUP(D19,'Active Employees'!$B$2:$B$498,1,false)</f>
        <v>#N/A</v>
      </c>
      <c r="J19" s="43" t="s">
        <v>1466</v>
      </c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14"/>
      <c r="Z19" s="14"/>
    </row>
    <row r="20">
      <c r="A20" s="39">
        <v>4.6347093944E11</v>
      </c>
      <c r="B20" s="39" t="s">
        <v>1992</v>
      </c>
      <c r="C20" s="39" t="s">
        <v>1972</v>
      </c>
      <c r="D20" s="39" t="s">
        <v>1973</v>
      </c>
      <c r="E20" s="39" t="s">
        <v>1974</v>
      </c>
      <c r="F20" s="42"/>
      <c r="G20" s="42"/>
      <c r="H20" s="42"/>
      <c r="I20" s="42" t="str">
        <f>VLOOKUP(D20,'Active Employees'!$B$2:$B$498,1,false)</f>
        <v>#N/A</v>
      </c>
      <c r="J20" s="43" t="s">
        <v>1466</v>
      </c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14"/>
      <c r="Z20" s="14"/>
    </row>
    <row r="21">
      <c r="A21" s="39">
        <v>4.77715925773E11</v>
      </c>
      <c r="B21" s="39" t="s">
        <v>1993</v>
      </c>
      <c r="C21" s="39" t="s">
        <v>1972</v>
      </c>
      <c r="D21" s="39" t="s">
        <v>1973</v>
      </c>
      <c r="E21" s="39" t="s">
        <v>1974</v>
      </c>
      <c r="F21" s="42"/>
      <c r="G21" s="42"/>
      <c r="H21" s="42"/>
      <c r="I21" s="42" t="str">
        <f>VLOOKUP(D21,'Active Employees'!$B$2:$B$498,1,false)</f>
        <v>#N/A</v>
      </c>
      <c r="J21" s="43" t="s">
        <v>1466</v>
      </c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14"/>
      <c r="Z21" s="14"/>
    </row>
    <row r="22">
      <c r="A22" s="39">
        <v>5.06620354984E11</v>
      </c>
      <c r="B22" s="39" t="s">
        <v>1994</v>
      </c>
      <c r="C22" s="39" t="s">
        <v>1972</v>
      </c>
      <c r="D22" s="39" t="s">
        <v>1973</v>
      </c>
      <c r="E22" s="39" t="s">
        <v>1974</v>
      </c>
      <c r="F22" s="42"/>
      <c r="G22" s="42"/>
      <c r="H22" s="42"/>
      <c r="I22" s="42" t="str">
        <f>VLOOKUP(D22,'Active Employees'!$B$2:$B$498,1,false)</f>
        <v>#N/A</v>
      </c>
      <c r="J22" s="43" t="s">
        <v>1466</v>
      </c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14"/>
      <c r="Z22" s="14"/>
    </row>
    <row r="23">
      <c r="A23" s="39">
        <v>5.39272219385E11</v>
      </c>
      <c r="B23" s="39" t="s">
        <v>1995</v>
      </c>
      <c r="C23" s="39" t="s">
        <v>1972</v>
      </c>
      <c r="D23" s="39" t="s">
        <v>1973</v>
      </c>
      <c r="E23" s="39" t="s">
        <v>1974</v>
      </c>
      <c r="F23" s="42"/>
      <c r="G23" s="42"/>
      <c r="H23" s="42"/>
      <c r="I23" s="42" t="str">
        <f>VLOOKUP(D23,'Active Employees'!$B$2:$B$498,1,false)</f>
        <v>#N/A</v>
      </c>
      <c r="J23" s="43" t="s">
        <v>1466</v>
      </c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14"/>
      <c r="Z23" s="14"/>
    </row>
    <row r="24">
      <c r="A24" s="39">
        <v>5.40898635624E11</v>
      </c>
      <c r="B24" s="39" t="s">
        <v>1996</v>
      </c>
      <c r="C24" s="39" t="s">
        <v>1972</v>
      </c>
      <c r="D24" s="39" t="s">
        <v>1973</v>
      </c>
      <c r="E24" s="39" t="s">
        <v>1974</v>
      </c>
      <c r="F24" s="42"/>
      <c r="G24" s="42"/>
      <c r="H24" s="42"/>
      <c r="I24" s="42" t="str">
        <f>VLOOKUP(D24,'Active Employees'!$B$2:$B$498,1,false)</f>
        <v>#N/A</v>
      </c>
      <c r="J24" s="43" t="s">
        <v>1466</v>
      </c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14"/>
      <c r="Z24" s="14"/>
    </row>
    <row r="25">
      <c r="A25" s="39">
        <v>6.02326734147E11</v>
      </c>
      <c r="B25" s="39" t="s">
        <v>1997</v>
      </c>
      <c r="C25" s="39" t="s">
        <v>1972</v>
      </c>
      <c r="D25" s="39" t="s">
        <v>1973</v>
      </c>
      <c r="E25" s="39" t="s">
        <v>1974</v>
      </c>
      <c r="F25" s="42"/>
      <c r="G25" s="42"/>
      <c r="H25" s="42"/>
      <c r="I25" s="42" t="str">
        <f>VLOOKUP(D25,'Active Employees'!$B$2:$B$498,1,false)</f>
        <v>#N/A</v>
      </c>
      <c r="J25" s="43" t="s">
        <v>1466</v>
      </c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14"/>
      <c r="Z25" s="14"/>
    </row>
    <row r="26">
      <c r="A26" s="39">
        <v>6.22992712626E11</v>
      </c>
      <c r="B26" s="39" t="s">
        <v>1998</v>
      </c>
      <c r="C26" s="39" t="s">
        <v>1972</v>
      </c>
      <c r="D26" s="39" t="s">
        <v>1973</v>
      </c>
      <c r="E26" s="39" t="s">
        <v>1974</v>
      </c>
      <c r="F26" s="42"/>
      <c r="G26" s="42"/>
      <c r="H26" s="42"/>
      <c r="I26" s="42" t="str">
        <f>VLOOKUP(D26,'Active Employees'!$B$2:$B$498,1,false)</f>
        <v>#N/A</v>
      </c>
      <c r="J26" s="43" t="s">
        <v>1466</v>
      </c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14"/>
      <c r="Z26" s="14"/>
    </row>
    <row r="27">
      <c r="A27" s="39">
        <v>6.37423373108E11</v>
      </c>
      <c r="B27" s="39" t="s">
        <v>1999</v>
      </c>
      <c r="C27" s="39" t="s">
        <v>1972</v>
      </c>
      <c r="D27" s="39" t="s">
        <v>1973</v>
      </c>
      <c r="E27" s="39" t="s">
        <v>1974</v>
      </c>
      <c r="F27" s="42"/>
      <c r="G27" s="42"/>
      <c r="H27" s="42"/>
      <c r="I27" s="42" t="str">
        <f>VLOOKUP(D27,'Active Employees'!$B$2:$B$498,1,false)</f>
        <v>#N/A</v>
      </c>
      <c r="J27" s="43" t="s">
        <v>1466</v>
      </c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14"/>
      <c r="Z27" s="14"/>
    </row>
    <row r="28">
      <c r="A28" s="39">
        <v>6.53834391849E11</v>
      </c>
      <c r="B28" s="39" t="s">
        <v>2000</v>
      </c>
      <c r="C28" s="39" t="s">
        <v>1972</v>
      </c>
      <c r="D28" s="39" t="s">
        <v>1973</v>
      </c>
      <c r="E28" s="39" t="s">
        <v>1974</v>
      </c>
      <c r="F28" s="42"/>
      <c r="G28" s="42"/>
      <c r="H28" s="42"/>
      <c r="I28" s="42" t="str">
        <f>VLOOKUP(D28,'Active Employees'!$B$2:$B$498,1,false)</f>
        <v>#N/A</v>
      </c>
      <c r="J28" s="43" t="s">
        <v>1466</v>
      </c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14"/>
      <c r="Z28" s="14"/>
    </row>
    <row r="29">
      <c r="A29" s="39">
        <v>6.54089975909E11</v>
      </c>
      <c r="B29" s="39" t="s">
        <v>2001</v>
      </c>
      <c r="C29" s="39" t="s">
        <v>1972</v>
      </c>
      <c r="D29" s="39" t="s">
        <v>1973</v>
      </c>
      <c r="E29" s="39" t="s">
        <v>1974</v>
      </c>
      <c r="F29" s="42"/>
      <c r="G29" s="42"/>
      <c r="H29" s="42"/>
      <c r="I29" s="42" t="str">
        <f>VLOOKUP(D29,'Active Employees'!$B$2:$B$498,1,false)</f>
        <v>#N/A</v>
      </c>
      <c r="J29" s="43" t="s">
        <v>1466</v>
      </c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14"/>
      <c r="Z29" s="14"/>
    </row>
    <row r="30">
      <c r="A30" s="39">
        <v>6.54654578585E11</v>
      </c>
      <c r="B30" s="39" t="s">
        <v>2002</v>
      </c>
      <c r="C30" s="39" t="s">
        <v>1972</v>
      </c>
      <c r="D30" s="39" t="s">
        <v>1973</v>
      </c>
      <c r="E30" s="39" t="s">
        <v>1974</v>
      </c>
      <c r="F30" s="42"/>
      <c r="G30" s="42"/>
      <c r="H30" s="42"/>
      <c r="I30" s="42" t="str">
        <f>VLOOKUP(D30,'Active Employees'!$B$2:$B$498,1,false)</f>
        <v>#N/A</v>
      </c>
      <c r="J30" s="43" t="s">
        <v>1466</v>
      </c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14"/>
      <c r="Z30" s="14"/>
    </row>
    <row r="31">
      <c r="A31" s="39">
        <v>6.76043725699E11</v>
      </c>
      <c r="B31" s="39" t="s">
        <v>2003</v>
      </c>
      <c r="C31" s="39" t="s">
        <v>1972</v>
      </c>
      <c r="D31" s="39" t="s">
        <v>1973</v>
      </c>
      <c r="E31" s="39" t="s">
        <v>1974</v>
      </c>
      <c r="F31" s="42"/>
      <c r="G31" s="42"/>
      <c r="H31" s="42"/>
      <c r="I31" s="42" t="str">
        <f>VLOOKUP(D31,'Active Employees'!$B$2:$B$498,1,false)</f>
        <v>#N/A</v>
      </c>
      <c r="J31" s="43" t="s">
        <v>1466</v>
      </c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14"/>
      <c r="Z31" s="14"/>
    </row>
    <row r="32">
      <c r="A32" s="39">
        <v>6.89740959397E11</v>
      </c>
      <c r="B32" s="39" t="s">
        <v>2004</v>
      </c>
      <c r="C32" s="39" t="s">
        <v>1972</v>
      </c>
      <c r="D32" s="39" t="s">
        <v>1973</v>
      </c>
      <c r="E32" s="39" t="s">
        <v>1974</v>
      </c>
      <c r="F32" s="42"/>
      <c r="G32" s="42"/>
      <c r="H32" s="42"/>
      <c r="I32" s="42" t="str">
        <f>VLOOKUP(D32,'Active Employees'!$B$2:$B$498,1,false)</f>
        <v>#N/A</v>
      </c>
      <c r="J32" s="43" t="s">
        <v>1466</v>
      </c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14"/>
      <c r="Z32" s="14"/>
    </row>
    <row r="33">
      <c r="A33" s="39">
        <v>7.10015040892E11</v>
      </c>
      <c r="B33" s="39" t="s">
        <v>2005</v>
      </c>
      <c r="C33" s="39" t="s">
        <v>1972</v>
      </c>
      <c r="D33" s="39" t="s">
        <v>1973</v>
      </c>
      <c r="E33" s="39" t="s">
        <v>1974</v>
      </c>
      <c r="F33" s="42"/>
      <c r="G33" s="42"/>
      <c r="H33" s="42"/>
      <c r="I33" s="42" t="str">
        <f>VLOOKUP(D33,'Active Employees'!$B$2:$B$498,1,false)</f>
        <v>#N/A</v>
      </c>
      <c r="J33" s="43" t="s">
        <v>1466</v>
      </c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14"/>
      <c r="Z33" s="14"/>
    </row>
    <row r="34">
      <c r="A34" s="39">
        <v>7.15809519905E11</v>
      </c>
      <c r="B34" s="39" t="s">
        <v>2006</v>
      </c>
      <c r="C34" s="39" t="s">
        <v>1972</v>
      </c>
      <c r="D34" s="39" t="s">
        <v>1973</v>
      </c>
      <c r="E34" s="39" t="s">
        <v>1974</v>
      </c>
      <c r="F34" s="42"/>
      <c r="G34" s="42"/>
      <c r="H34" s="42"/>
      <c r="I34" s="42" t="str">
        <f>VLOOKUP(D34,'Active Employees'!$B$2:$B$498,1,false)</f>
        <v>#N/A</v>
      </c>
      <c r="J34" s="43" t="s">
        <v>1466</v>
      </c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14"/>
      <c r="Z34" s="14"/>
    </row>
    <row r="35">
      <c r="A35" s="39">
        <v>7.25113757135E11</v>
      </c>
      <c r="B35" s="39" t="s">
        <v>2007</v>
      </c>
      <c r="C35" s="39" t="s">
        <v>1972</v>
      </c>
      <c r="D35" s="39" t="s">
        <v>1973</v>
      </c>
      <c r="E35" s="39" t="s">
        <v>1974</v>
      </c>
      <c r="F35" s="42"/>
      <c r="G35" s="42"/>
      <c r="H35" s="42"/>
      <c r="I35" s="42" t="str">
        <f>VLOOKUP(D35,'Active Employees'!$B$2:$B$498,1,false)</f>
        <v>#N/A</v>
      </c>
      <c r="J35" s="43" t="s">
        <v>1466</v>
      </c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14"/>
      <c r="Z35" s="14"/>
    </row>
    <row r="36">
      <c r="A36" s="39">
        <v>7.41686272442E11</v>
      </c>
      <c r="B36" s="39" t="s">
        <v>2008</v>
      </c>
      <c r="C36" s="39" t="s">
        <v>1972</v>
      </c>
      <c r="D36" s="39" t="s">
        <v>1973</v>
      </c>
      <c r="E36" s="39" t="s">
        <v>1974</v>
      </c>
      <c r="F36" s="42"/>
      <c r="G36" s="42"/>
      <c r="H36" s="42"/>
      <c r="I36" s="42" t="str">
        <f>VLOOKUP(D36,'Active Employees'!$B$2:$B$498,1,false)</f>
        <v>#N/A</v>
      </c>
      <c r="J36" s="43" t="s">
        <v>1466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14"/>
      <c r="Z36" s="14"/>
    </row>
    <row r="37">
      <c r="A37" s="39">
        <v>8.01373416553E11</v>
      </c>
      <c r="B37" s="39" t="s">
        <v>2009</v>
      </c>
      <c r="C37" s="39" t="s">
        <v>1972</v>
      </c>
      <c r="D37" s="39" t="s">
        <v>1973</v>
      </c>
      <c r="E37" s="39" t="s">
        <v>1974</v>
      </c>
      <c r="F37" s="42"/>
      <c r="G37" s="42"/>
      <c r="H37" s="42"/>
      <c r="I37" s="42" t="str">
        <f>VLOOKUP(D37,'Active Employees'!$B$2:$B$498,1,false)</f>
        <v>#N/A</v>
      </c>
      <c r="J37" s="43" t="s">
        <v>1466</v>
      </c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14"/>
      <c r="Z37" s="14"/>
    </row>
    <row r="38">
      <c r="A38" s="39">
        <v>8.37880040897E11</v>
      </c>
      <c r="B38" s="39" t="s">
        <v>2010</v>
      </c>
      <c r="C38" s="39" t="s">
        <v>1972</v>
      </c>
      <c r="D38" s="39" t="s">
        <v>1973</v>
      </c>
      <c r="E38" s="39" t="s">
        <v>1974</v>
      </c>
      <c r="F38" s="42"/>
      <c r="G38" s="42"/>
      <c r="H38" s="42"/>
      <c r="I38" s="42" t="str">
        <f>VLOOKUP(D38,'Active Employees'!$B$2:$B$498,1,false)</f>
        <v>#N/A</v>
      </c>
      <c r="J38" s="43" t="s">
        <v>1466</v>
      </c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14"/>
      <c r="Z38" s="14"/>
    </row>
    <row r="39">
      <c r="A39" s="39">
        <v>8.66613861722E11</v>
      </c>
      <c r="B39" s="39" t="s">
        <v>2011</v>
      </c>
      <c r="C39" s="39" t="s">
        <v>1972</v>
      </c>
      <c r="D39" s="39" t="s">
        <v>1973</v>
      </c>
      <c r="E39" s="39" t="s">
        <v>1974</v>
      </c>
      <c r="F39" s="42"/>
      <c r="G39" s="42"/>
      <c r="H39" s="42"/>
      <c r="I39" s="42" t="str">
        <f>VLOOKUP(D39,'Active Employees'!$B$2:$B$498,1,false)</f>
        <v>#N/A</v>
      </c>
      <c r="J39" s="43" t="s">
        <v>1466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14"/>
      <c r="Z39" s="14"/>
    </row>
    <row r="40">
      <c r="A40" s="39">
        <v>8.7100165961E11</v>
      </c>
      <c r="B40" s="39" t="s">
        <v>2012</v>
      </c>
      <c r="C40" s="39" t="s">
        <v>1972</v>
      </c>
      <c r="D40" s="39" t="s">
        <v>1973</v>
      </c>
      <c r="E40" s="39" t="s">
        <v>1974</v>
      </c>
      <c r="F40" s="42"/>
      <c r="G40" s="42"/>
      <c r="H40" s="42"/>
      <c r="I40" s="42" t="str">
        <f>VLOOKUP(D40,'Active Employees'!$B$2:$B$498,1,false)</f>
        <v>#N/A</v>
      </c>
      <c r="J40" s="43" t="s">
        <v>1466</v>
      </c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14"/>
      <c r="Z40" s="14"/>
    </row>
    <row r="41">
      <c r="A41" s="39">
        <v>8.82892008441E11</v>
      </c>
      <c r="B41" s="39" t="s">
        <v>2013</v>
      </c>
      <c r="C41" s="39" t="s">
        <v>1972</v>
      </c>
      <c r="D41" s="39" t="s">
        <v>1973</v>
      </c>
      <c r="E41" s="39" t="s">
        <v>1974</v>
      </c>
      <c r="F41" s="42"/>
      <c r="G41" s="42"/>
      <c r="H41" s="42"/>
      <c r="I41" s="42" t="str">
        <f>VLOOKUP(D41,'Active Employees'!$B$2:$B$498,1,false)</f>
        <v>#N/A</v>
      </c>
      <c r="J41" s="43" t="s">
        <v>1466</v>
      </c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14"/>
      <c r="Z41" s="14"/>
    </row>
    <row r="42">
      <c r="A42" s="39">
        <v>8.88577047425E11</v>
      </c>
      <c r="B42" s="39" t="s">
        <v>2014</v>
      </c>
      <c r="C42" s="39" t="s">
        <v>1972</v>
      </c>
      <c r="D42" s="39" t="s">
        <v>1973</v>
      </c>
      <c r="E42" s="39" t="s">
        <v>1974</v>
      </c>
      <c r="F42" s="42"/>
      <c r="G42" s="42"/>
      <c r="H42" s="42"/>
      <c r="I42" s="42" t="str">
        <f>VLOOKUP(D42,'Active Employees'!$B$2:$B$498,1,false)</f>
        <v>#N/A</v>
      </c>
      <c r="J42" s="43" t="s">
        <v>1466</v>
      </c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14"/>
      <c r="Z42" s="14"/>
    </row>
    <row r="43">
      <c r="A43" s="39">
        <v>8.91377047271E11</v>
      </c>
      <c r="B43" s="39" t="s">
        <v>2015</v>
      </c>
      <c r="C43" s="39" t="s">
        <v>1972</v>
      </c>
      <c r="D43" s="39" t="s">
        <v>1973</v>
      </c>
      <c r="E43" s="39" t="s">
        <v>1974</v>
      </c>
      <c r="F43" s="42"/>
      <c r="G43" s="42"/>
      <c r="H43" s="42"/>
      <c r="I43" s="42" t="str">
        <f>VLOOKUP(D43,'Active Employees'!$B$2:$B$498,1,false)</f>
        <v>#N/A</v>
      </c>
      <c r="J43" s="43" t="s">
        <v>1466</v>
      </c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14"/>
      <c r="Z43" s="14"/>
    </row>
    <row r="44">
      <c r="A44" s="39">
        <v>9.03032050004E11</v>
      </c>
      <c r="B44" s="39" t="s">
        <v>2016</v>
      </c>
      <c r="C44" s="39" t="s">
        <v>1972</v>
      </c>
      <c r="D44" s="39" t="s">
        <v>1973</v>
      </c>
      <c r="E44" s="39" t="s">
        <v>1974</v>
      </c>
      <c r="F44" s="42"/>
      <c r="G44" s="42"/>
      <c r="H44" s="42"/>
      <c r="I44" s="42" t="str">
        <f>VLOOKUP(D44,'Active Employees'!$B$2:$B$498,1,false)</f>
        <v>#N/A</v>
      </c>
      <c r="J44" s="43" t="s">
        <v>1466</v>
      </c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14"/>
      <c r="Z44" s="14"/>
    </row>
    <row r="45">
      <c r="A45" s="39">
        <v>9.03773873662E11</v>
      </c>
      <c r="B45" s="39" t="s">
        <v>2017</v>
      </c>
      <c r="C45" s="39" t="s">
        <v>1972</v>
      </c>
      <c r="D45" s="39" t="s">
        <v>1973</v>
      </c>
      <c r="E45" s="39" t="s">
        <v>1974</v>
      </c>
      <c r="F45" s="42"/>
      <c r="G45" s="42"/>
      <c r="H45" s="42"/>
      <c r="I45" s="42" t="str">
        <f>VLOOKUP(D45,'Active Employees'!$B$2:$B$498,1,false)</f>
        <v>#N/A</v>
      </c>
      <c r="J45" s="43" t="s">
        <v>1466</v>
      </c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14"/>
      <c r="Z45" s="14"/>
    </row>
    <row r="46">
      <c r="A46" s="39">
        <v>9.12777366807E11</v>
      </c>
      <c r="B46" s="39" t="s">
        <v>2018</v>
      </c>
      <c r="C46" s="39" t="s">
        <v>1972</v>
      </c>
      <c r="D46" s="39" t="s">
        <v>1973</v>
      </c>
      <c r="E46" s="39" t="s">
        <v>1974</v>
      </c>
      <c r="F46" s="42"/>
      <c r="G46" s="42"/>
      <c r="H46" s="42"/>
      <c r="I46" s="42" t="str">
        <f>VLOOKUP(D46,'Active Employees'!$B$2:$B$498,1,false)</f>
        <v>#N/A</v>
      </c>
      <c r="J46" s="43" t="s">
        <v>1466</v>
      </c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14"/>
      <c r="Z46" s="14"/>
    </row>
    <row r="47">
      <c r="A47" s="39">
        <v>9.58563233736E11</v>
      </c>
      <c r="B47" s="39" t="s">
        <v>2019</v>
      </c>
      <c r="C47" s="39" t="s">
        <v>1972</v>
      </c>
      <c r="D47" s="39" t="s">
        <v>1973</v>
      </c>
      <c r="E47" s="39" t="s">
        <v>1974</v>
      </c>
      <c r="F47" s="42"/>
      <c r="G47" s="42"/>
      <c r="H47" s="42"/>
      <c r="I47" s="42" t="str">
        <f>VLOOKUP(D47,'Active Employees'!$B$2:$B$498,1,false)</f>
        <v>#N/A</v>
      </c>
      <c r="J47" s="43" t="s">
        <v>1466</v>
      </c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14"/>
      <c r="Z47" s="14"/>
    </row>
    <row r="48">
      <c r="A48" s="39">
        <v>9.75050170311E11</v>
      </c>
      <c r="B48" s="39" t="s">
        <v>2020</v>
      </c>
      <c r="C48" s="39" t="s">
        <v>1972</v>
      </c>
      <c r="D48" s="39" t="s">
        <v>1973</v>
      </c>
      <c r="E48" s="39" t="s">
        <v>1974</v>
      </c>
      <c r="F48" s="42"/>
      <c r="G48" s="42"/>
      <c r="H48" s="42"/>
      <c r="I48" s="42" t="str">
        <f>VLOOKUP(D48,'Active Employees'!$B$2:$B$498,1,false)</f>
        <v>#N/A</v>
      </c>
      <c r="J48" s="43" t="s">
        <v>1466</v>
      </c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14"/>
      <c r="Z48" s="14"/>
    </row>
    <row r="49">
      <c r="A49" s="39">
        <v>9.91137750147E11</v>
      </c>
      <c r="B49" s="39" t="s">
        <v>2021</v>
      </c>
      <c r="C49" s="39" t="s">
        <v>1972</v>
      </c>
      <c r="D49" s="39" t="s">
        <v>1973</v>
      </c>
      <c r="E49" s="39" t="s">
        <v>1974</v>
      </c>
      <c r="F49" s="42"/>
      <c r="G49" s="42"/>
      <c r="H49" s="42"/>
      <c r="I49" s="42" t="str">
        <f>VLOOKUP(D49,'Active Employees'!$B$2:$B$498,1,false)</f>
        <v>#N/A</v>
      </c>
      <c r="J49" s="43" t="s">
        <v>1466</v>
      </c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14"/>
      <c r="Z49" s="14"/>
    </row>
    <row r="50">
      <c r="A50" s="39">
        <v>1.0438487392E10</v>
      </c>
      <c r="B50" s="39" t="s">
        <v>1971</v>
      </c>
      <c r="C50" s="39" t="s">
        <v>1972</v>
      </c>
      <c r="D50" s="39" t="s">
        <v>1467</v>
      </c>
      <c r="E50" s="39" t="s">
        <v>1974</v>
      </c>
      <c r="F50" s="42"/>
      <c r="G50" s="42"/>
      <c r="H50" s="42"/>
      <c r="I50" s="42" t="str">
        <f>VLOOKUP(D50,'Active Employees'!$B$2:$B$498,1,false)</f>
        <v>#N/A</v>
      </c>
      <c r="J50" s="43" t="s">
        <v>1466</v>
      </c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14"/>
      <c r="Z50" s="14"/>
    </row>
    <row r="51">
      <c r="A51" s="39">
        <v>4.7302296459E10</v>
      </c>
      <c r="B51" s="39" t="s">
        <v>1975</v>
      </c>
      <c r="C51" s="39" t="s">
        <v>1972</v>
      </c>
      <c r="D51" s="39" t="s">
        <v>1467</v>
      </c>
      <c r="E51" s="39" t="s">
        <v>1974</v>
      </c>
      <c r="F51" s="42"/>
      <c r="G51" s="42"/>
      <c r="H51" s="42"/>
      <c r="I51" s="42" t="str">
        <f>VLOOKUP(D51,'Active Employees'!$B$2:$B$498,1,false)</f>
        <v>#N/A</v>
      </c>
      <c r="J51" s="43" t="s">
        <v>1466</v>
      </c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14"/>
      <c r="Z51" s="14"/>
    </row>
    <row r="52">
      <c r="A52" s="39">
        <v>5.8264503038E10</v>
      </c>
      <c r="B52" s="39" t="s">
        <v>1976</v>
      </c>
      <c r="C52" s="39" t="s">
        <v>1972</v>
      </c>
      <c r="D52" s="39" t="s">
        <v>1467</v>
      </c>
      <c r="E52" s="39" t="s">
        <v>1974</v>
      </c>
      <c r="F52" s="42"/>
      <c r="G52" s="42"/>
      <c r="H52" s="42"/>
      <c r="I52" s="42" t="str">
        <f>VLOOKUP(D52,'Active Employees'!$B$2:$B$498,1,false)</f>
        <v>#N/A</v>
      </c>
      <c r="J52" s="43" t="s">
        <v>1466</v>
      </c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14"/>
      <c r="Z52" s="14"/>
    </row>
    <row r="53">
      <c r="A53" s="39">
        <v>9.9407438094E10</v>
      </c>
      <c r="B53" s="39" t="s">
        <v>1977</v>
      </c>
      <c r="C53" s="39" t="s">
        <v>1972</v>
      </c>
      <c r="D53" s="39" t="s">
        <v>1467</v>
      </c>
      <c r="E53" s="39" t="s">
        <v>1974</v>
      </c>
      <c r="F53" s="42"/>
      <c r="G53" s="42"/>
      <c r="H53" s="42"/>
      <c r="I53" s="42" t="str">
        <f>VLOOKUP(D53,'Active Employees'!$B$2:$B$498,1,false)</f>
        <v>#N/A</v>
      </c>
      <c r="J53" s="43" t="s">
        <v>1466</v>
      </c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14"/>
      <c r="Z53" s="14"/>
    </row>
    <row r="54">
      <c r="A54" s="39">
        <v>1.11664719423E11</v>
      </c>
      <c r="B54" s="39" t="s">
        <v>1978</v>
      </c>
      <c r="C54" s="39" t="s">
        <v>1972</v>
      </c>
      <c r="D54" s="39" t="s">
        <v>1467</v>
      </c>
      <c r="E54" s="39" t="s">
        <v>1974</v>
      </c>
      <c r="F54" s="42"/>
      <c r="G54" s="42"/>
      <c r="H54" s="42"/>
      <c r="I54" s="42" t="str">
        <f>VLOOKUP(D54,'Active Employees'!$B$2:$B$498,1,false)</f>
        <v>#N/A</v>
      </c>
      <c r="J54" s="43" t="s">
        <v>1466</v>
      </c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14"/>
      <c r="Z54" s="14"/>
    </row>
    <row r="55">
      <c r="A55" s="39">
        <v>1.75142243308E11</v>
      </c>
      <c r="B55" s="39" t="s">
        <v>1979</v>
      </c>
      <c r="C55" s="39" t="s">
        <v>1972</v>
      </c>
      <c r="D55" s="39" t="s">
        <v>1467</v>
      </c>
      <c r="E55" s="39" t="s">
        <v>1974</v>
      </c>
      <c r="F55" s="42"/>
      <c r="G55" s="42"/>
      <c r="H55" s="42"/>
      <c r="I55" s="42" t="str">
        <f>VLOOKUP(D55,'Active Employees'!$B$2:$B$498,1,false)</f>
        <v>#N/A</v>
      </c>
      <c r="J55" s="43" t="s">
        <v>1466</v>
      </c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14"/>
      <c r="Z55" s="14"/>
    </row>
    <row r="56">
      <c r="A56" s="39">
        <v>2.67155176707E11</v>
      </c>
      <c r="B56" s="39" t="s">
        <v>1980</v>
      </c>
      <c r="C56" s="39" t="s">
        <v>1972</v>
      </c>
      <c r="D56" s="39" t="s">
        <v>1467</v>
      </c>
      <c r="E56" s="39" t="s">
        <v>1974</v>
      </c>
      <c r="F56" s="42"/>
      <c r="G56" s="42"/>
      <c r="H56" s="42"/>
      <c r="I56" s="42" t="str">
        <f>VLOOKUP(D56,'Active Employees'!$B$2:$B$498,1,false)</f>
        <v>#N/A</v>
      </c>
      <c r="J56" s="43" t="s">
        <v>1466</v>
      </c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14"/>
      <c r="Z56" s="14"/>
    </row>
    <row r="57">
      <c r="A57" s="39">
        <v>2.77603989202E11</v>
      </c>
      <c r="B57" s="39" t="s">
        <v>1981</v>
      </c>
      <c r="C57" s="39" t="s">
        <v>1972</v>
      </c>
      <c r="D57" s="39" t="s">
        <v>1467</v>
      </c>
      <c r="E57" s="39" t="s">
        <v>1974</v>
      </c>
      <c r="F57" s="42"/>
      <c r="G57" s="42"/>
      <c r="H57" s="42"/>
      <c r="I57" s="42" t="str">
        <f>VLOOKUP(D57,'Active Employees'!$B$2:$B$498,1,false)</f>
        <v>#N/A</v>
      </c>
      <c r="J57" s="43" t="s">
        <v>1466</v>
      </c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14"/>
      <c r="Z57" s="14"/>
    </row>
    <row r="58">
      <c r="A58" s="39">
        <v>3.00042230143E11</v>
      </c>
      <c r="B58" s="39" t="s">
        <v>1982</v>
      </c>
      <c r="C58" s="39" t="s">
        <v>1972</v>
      </c>
      <c r="D58" s="39" t="s">
        <v>1467</v>
      </c>
      <c r="E58" s="39" t="s">
        <v>1974</v>
      </c>
      <c r="F58" s="42"/>
      <c r="G58" s="42"/>
      <c r="H58" s="42"/>
      <c r="I58" s="42" t="str">
        <f>VLOOKUP(D58,'Active Employees'!$B$2:$B$498,1,false)</f>
        <v>#N/A</v>
      </c>
      <c r="J58" s="43" t="s">
        <v>1466</v>
      </c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14"/>
      <c r="Z58" s="14"/>
    </row>
    <row r="59">
      <c r="A59" s="39">
        <v>3.0370012255E11</v>
      </c>
      <c r="B59" s="39" t="s">
        <v>1983</v>
      </c>
      <c r="C59" s="39" t="s">
        <v>1972</v>
      </c>
      <c r="D59" s="39" t="s">
        <v>1467</v>
      </c>
      <c r="E59" s="39" t="s">
        <v>1974</v>
      </c>
      <c r="F59" s="42"/>
      <c r="G59" s="42"/>
      <c r="H59" s="42"/>
      <c r="I59" s="42" t="str">
        <f>VLOOKUP(D59,'Active Employees'!$B$2:$B$498,1,false)</f>
        <v>#N/A</v>
      </c>
      <c r="J59" s="43" t="s">
        <v>1466</v>
      </c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14"/>
      <c r="Z59" s="14"/>
    </row>
    <row r="60">
      <c r="A60" s="39">
        <v>3.13121495448E11</v>
      </c>
      <c r="B60" s="39" t="s">
        <v>1984</v>
      </c>
      <c r="C60" s="39" t="s">
        <v>1972</v>
      </c>
      <c r="D60" s="39" t="s">
        <v>1467</v>
      </c>
      <c r="E60" s="39" t="s">
        <v>1974</v>
      </c>
      <c r="F60" s="42"/>
      <c r="G60" s="42"/>
      <c r="H60" s="42"/>
      <c r="I60" s="42" t="str">
        <f>VLOOKUP(D60,'Active Employees'!$B$2:$B$498,1,false)</f>
        <v>#N/A</v>
      </c>
      <c r="J60" s="43" t="s">
        <v>1466</v>
      </c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14"/>
      <c r="Z60" s="14"/>
    </row>
    <row r="61">
      <c r="A61" s="39">
        <v>3.18510287843E11</v>
      </c>
      <c r="B61" s="39" t="s">
        <v>1985</v>
      </c>
      <c r="C61" s="39" t="s">
        <v>1972</v>
      </c>
      <c r="D61" s="39" t="s">
        <v>1467</v>
      </c>
      <c r="E61" s="39" t="s">
        <v>1974</v>
      </c>
      <c r="F61" s="42"/>
      <c r="G61" s="42"/>
      <c r="H61" s="42"/>
      <c r="I61" s="42" t="str">
        <f>VLOOKUP(D61,'Active Employees'!$B$2:$B$498,1,false)</f>
        <v>#N/A</v>
      </c>
      <c r="J61" s="43" t="s">
        <v>1466</v>
      </c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14"/>
      <c r="Z61" s="14"/>
    </row>
    <row r="62">
      <c r="A62" s="39">
        <v>3.28193795291E11</v>
      </c>
      <c r="B62" s="39" t="s">
        <v>1579</v>
      </c>
      <c r="C62" s="39" t="s">
        <v>1972</v>
      </c>
      <c r="D62" s="39" t="s">
        <v>1467</v>
      </c>
      <c r="E62" s="39" t="s">
        <v>1974</v>
      </c>
      <c r="F62" s="42"/>
      <c r="G62" s="42"/>
      <c r="H62" s="42"/>
      <c r="I62" s="42" t="str">
        <f>VLOOKUP(D62,'Active Employees'!$B$2:$B$498,1,false)</f>
        <v>#N/A</v>
      </c>
      <c r="J62" s="43" t="s">
        <v>1466</v>
      </c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14"/>
      <c r="Z62" s="14"/>
    </row>
    <row r="63">
      <c r="A63" s="39">
        <v>3.45862510308E11</v>
      </c>
      <c r="B63" s="39" t="s">
        <v>1986</v>
      </c>
      <c r="C63" s="39" t="s">
        <v>1972</v>
      </c>
      <c r="D63" s="39" t="s">
        <v>1467</v>
      </c>
      <c r="E63" s="39" t="s">
        <v>1974</v>
      </c>
      <c r="F63" s="42"/>
      <c r="G63" s="42"/>
      <c r="H63" s="42"/>
      <c r="I63" s="42" t="str">
        <f>VLOOKUP(D63,'Active Employees'!$B$2:$B$498,1,false)</f>
        <v>#N/A</v>
      </c>
      <c r="J63" s="43" t="s">
        <v>1466</v>
      </c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14"/>
      <c r="Z63" s="14"/>
    </row>
    <row r="64">
      <c r="A64" s="39">
        <v>3.64430574006E11</v>
      </c>
      <c r="B64" s="39" t="s">
        <v>1987</v>
      </c>
      <c r="C64" s="39" t="s">
        <v>1972</v>
      </c>
      <c r="D64" s="39" t="s">
        <v>1467</v>
      </c>
      <c r="E64" s="39" t="s">
        <v>1974</v>
      </c>
      <c r="F64" s="42"/>
      <c r="G64" s="42"/>
      <c r="H64" s="42"/>
      <c r="I64" s="42" t="str">
        <f>VLOOKUP(D64,'Active Employees'!$B$2:$B$498,1,false)</f>
        <v>#N/A</v>
      </c>
      <c r="J64" s="43" t="s">
        <v>1466</v>
      </c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14"/>
      <c r="Z64" s="14"/>
    </row>
    <row r="65">
      <c r="A65" s="39">
        <v>3.98949996071E11</v>
      </c>
      <c r="B65" s="39" t="s">
        <v>1988</v>
      </c>
      <c r="C65" s="39" t="s">
        <v>1989</v>
      </c>
      <c r="D65" s="39" t="s">
        <v>1467</v>
      </c>
      <c r="E65" s="39" t="s">
        <v>1974</v>
      </c>
      <c r="F65" s="42"/>
      <c r="G65" s="42"/>
      <c r="H65" s="42"/>
      <c r="I65" s="42" t="str">
        <f>VLOOKUP(D65,'Active Employees'!$B$2:$B$498,1,false)</f>
        <v>#N/A</v>
      </c>
      <c r="J65" s="43" t="s">
        <v>1466</v>
      </c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14"/>
      <c r="Z65" s="14"/>
    </row>
    <row r="66">
      <c r="A66" s="39">
        <v>4.33192899833E11</v>
      </c>
      <c r="B66" s="39" t="s">
        <v>1990</v>
      </c>
      <c r="C66" s="39" t="s">
        <v>1972</v>
      </c>
      <c r="D66" s="39" t="s">
        <v>1467</v>
      </c>
      <c r="E66" s="39" t="s">
        <v>1974</v>
      </c>
      <c r="F66" s="42"/>
      <c r="G66" s="42"/>
      <c r="H66" s="42"/>
      <c r="I66" s="42" t="str">
        <f>VLOOKUP(D66,'Active Employees'!$B$2:$B$498,1,false)</f>
        <v>#N/A</v>
      </c>
      <c r="J66" s="43" t="s">
        <v>1466</v>
      </c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14"/>
      <c r="Z66" s="14"/>
    </row>
    <row r="67">
      <c r="A67" s="39">
        <v>4.47924746603E11</v>
      </c>
      <c r="B67" s="39" t="s">
        <v>1991</v>
      </c>
      <c r="C67" s="39" t="s">
        <v>1972</v>
      </c>
      <c r="D67" s="39" t="s">
        <v>1467</v>
      </c>
      <c r="E67" s="39" t="s">
        <v>1974</v>
      </c>
      <c r="F67" s="42"/>
      <c r="G67" s="42"/>
      <c r="H67" s="42"/>
      <c r="I67" s="42" t="str">
        <f>VLOOKUP(D67,'Active Employees'!$B$2:$B$498,1,false)</f>
        <v>#N/A</v>
      </c>
      <c r="J67" s="43" t="s">
        <v>1466</v>
      </c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14"/>
      <c r="Z67" s="14"/>
    </row>
    <row r="68">
      <c r="A68" s="39">
        <v>4.6347093944E11</v>
      </c>
      <c r="B68" s="39" t="s">
        <v>1992</v>
      </c>
      <c r="C68" s="39" t="s">
        <v>1972</v>
      </c>
      <c r="D68" s="39" t="s">
        <v>1467</v>
      </c>
      <c r="E68" s="39" t="s">
        <v>1974</v>
      </c>
      <c r="F68" s="42"/>
      <c r="G68" s="42"/>
      <c r="H68" s="42"/>
      <c r="I68" s="42" t="str">
        <f>VLOOKUP(D68,'Active Employees'!$B$2:$B$498,1,false)</f>
        <v>#N/A</v>
      </c>
      <c r="J68" s="43" t="s">
        <v>1466</v>
      </c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14"/>
      <c r="Z68" s="14"/>
    </row>
    <row r="69">
      <c r="A69" s="39">
        <v>4.77715925773E11</v>
      </c>
      <c r="B69" s="39" t="s">
        <v>1993</v>
      </c>
      <c r="C69" s="39" t="s">
        <v>1972</v>
      </c>
      <c r="D69" s="39" t="s">
        <v>1467</v>
      </c>
      <c r="E69" s="39" t="s">
        <v>1974</v>
      </c>
      <c r="F69" s="42"/>
      <c r="G69" s="42"/>
      <c r="H69" s="42"/>
      <c r="I69" s="42" t="str">
        <f>VLOOKUP(D69,'Active Employees'!$B$2:$B$498,1,false)</f>
        <v>#N/A</v>
      </c>
      <c r="J69" s="43" t="s">
        <v>1466</v>
      </c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14"/>
      <c r="Z69" s="14"/>
    </row>
    <row r="70">
      <c r="A70" s="39">
        <v>5.06620354984E11</v>
      </c>
      <c r="B70" s="39" t="s">
        <v>1994</v>
      </c>
      <c r="C70" s="39" t="s">
        <v>1972</v>
      </c>
      <c r="D70" s="39" t="s">
        <v>1467</v>
      </c>
      <c r="E70" s="39" t="s">
        <v>1974</v>
      </c>
      <c r="F70" s="42"/>
      <c r="G70" s="42"/>
      <c r="H70" s="42"/>
      <c r="I70" s="42" t="str">
        <f>VLOOKUP(D70,'Active Employees'!$B$2:$B$498,1,false)</f>
        <v>#N/A</v>
      </c>
      <c r="J70" s="43" t="s">
        <v>1466</v>
      </c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14"/>
      <c r="Z70" s="14"/>
    </row>
    <row r="71">
      <c r="A71" s="39">
        <v>5.39272219385E11</v>
      </c>
      <c r="B71" s="39" t="s">
        <v>1995</v>
      </c>
      <c r="C71" s="39" t="s">
        <v>1972</v>
      </c>
      <c r="D71" s="39" t="s">
        <v>1467</v>
      </c>
      <c r="E71" s="39" t="s">
        <v>1974</v>
      </c>
      <c r="F71" s="42"/>
      <c r="G71" s="42"/>
      <c r="H71" s="42"/>
      <c r="I71" s="42" t="str">
        <f>VLOOKUP(D71,'Active Employees'!$B$2:$B$498,1,false)</f>
        <v>#N/A</v>
      </c>
      <c r="J71" s="43" t="s">
        <v>1466</v>
      </c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14"/>
      <c r="Z71" s="14"/>
    </row>
    <row r="72">
      <c r="A72" s="39">
        <v>5.40898635624E11</v>
      </c>
      <c r="B72" s="39" t="s">
        <v>1996</v>
      </c>
      <c r="C72" s="39" t="s">
        <v>1972</v>
      </c>
      <c r="D72" s="39" t="s">
        <v>1467</v>
      </c>
      <c r="E72" s="39" t="s">
        <v>1974</v>
      </c>
      <c r="F72" s="42"/>
      <c r="G72" s="42"/>
      <c r="H72" s="42"/>
      <c r="I72" s="42" t="str">
        <f>VLOOKUP(D72,'Active Employees'!$B$2:$B$498,1,false)</f>
        <v>#N/A</v>
      </c>
      <c r="J72" s="43" t="s">
        <v>1466</v>
      </c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14"/>
      <c r="Z72" s="14"/>
    </row>
    <row r="73">
      <c r="A73" s="39">
        <v>6.02326734147E11</v>
      </c>
      <c r="B73" s="39" t="s">
        <v>1997</v>
      </c>
      <c r="C73" s="39" t="s">
        <v>1972</v>
      </c>
      <c r="D73" s="39" t="s">
        <v>1467</v>
      </c>
      <c r="E73" s="39" t="s">
        <v>1974</v>
      </c>
      <c r="F73" s="42"/>
      <c r="G73" s="42"/>
      <c r="H73" s="42"/>
      <c r="I73" s="42" t="str">
        <f>VLOOKUP(D73,'Active Employees'!$B$2:$B$498,1,false)</f>
        <v>#N/A</v>
      </c>
      <c r="J73" s="43" t="s">
        <v>1466</v>
      </c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14"/>
      <c r="Z73" s="14"/>
    </row>
    <row r="74">
      <c r="A74" s="39">
        <v>6.22992712626E11</v>
      </c>
      <c r="B74" s="39" t="s">
        <v>1998</v>
      </c>
      <c r="C74" s="39" t="s">
        <v>1972</v>
      </c>
      <c r="D74" s="39" t="s">
        <v>1467</v>
      </c>
      <c r="E74" s="39" t="s">
        <v>1974</v>
      </c>
      <c r="F74" s="42"/>
      <c r="G74" s="42"/>
      <c r="H74" s="42"/>
      <c r="I74" s="42" t="str">
        <f>VLOOKUP(D74,'Active Employees'!$B$2:$B$498,1,false)</f>
        <v>#N/A</v>
      </c>
      <c r="J74" s="43" t="s">
        <v>1466</v>
      </c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14"/>
      <c r="Z74" s="14"/>
    </row>
    <row r="75">
      <c r="A75" s="39">
        <v>6.37423373108E11</v>
      </c>
      <c r="B75" s="39" t="s">
        <v>1999</v>
      </c>
      <c r="C75" s="39" t="s">
        <v>1972</v>
      </c>
      <c r="D75" s="39" t="s">
        <v>1467</v>
      </c>
      <c r="E75" s="39" t="s">
        <v>1974</v>
      </c>
      <c r="F75" s="42"/>
      <c r="G75" s="42"/>
      <c r="H75" s="42"/>
      <c r="I75" s="42" t="str">
        <f>VLOOKUP(D75,'Active Employees'!$B$2:$B$498,1,false)</f>
        <v>#N/A</v>
      </c>
      <c r="J75" s="43" t="s">
        <v>1466</v>
      </c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14"/>
      <c r="Z75" s="14"/>
    </row>
    <row r="76">
      <c r="A76" s="39">
        <v>6.53834391849E11</v>
      </c>
      <c r="B76" s="39" t="s">
        <v>2000</v>
      </c>
      <c r="C76" s="39" t="s">
        <v>1972</v>
      </c>
      <c r="D76" s="39" t="s">
        <v>1467</v>
      </c>
      <c r="E76" s="39" t="s">
        <v>1974</v>
      </c>
      <c r="F76" s="42"/>
      <c r="G76" s="42"/>
      <c r="H76" s="42"/>
      <c r="I76" s="42" t="str">
        <f>VLOOKUP(D76,'Active Employees'!$B$2:$B$498,1,false)</f>
        <v>#N/A</v>
      </c>
      <c r="J76" s="43" t="s">
        <v>1466</v>
      </c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14"/>
      <c r="Z76" s="14"/>
    </row>
    <row r="77">
      <c r="A77" s="39">
        <v>6.54089975909E11</v>
      </c>
      <c r="B77" s="39" t="s">
        <v>2001</v>
      </c>
      <c r="C77" s="39" t="s">
        <v>1972</v>
      </c>
      <c r="D77" s="39" t="s">
        <v>1467</v>
      </c>
      <c r="E77" s="39" t="s">
        <v>1974</v>
      </c>
      <c r="F77" s="42"/>
      <c r="G77" s="42"/>
      <c r="H77" s="42"/>
      <c r="I77" s="42" t="str">
        <f>VLOOKUP(D77,'Active Employees'!$B$2:$B$498,1,false)</f>
        <v>#N/A</v>
      </c>
      <c r="J77" s="43" t="s">
        <v>1466</v>
      </c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14"/>
      <c r="Z77" s="14"/>
    </row>
    <row r="78">
      <c r="A78" s="39">
        <v>6.54654578585E11</v>
      </c>
      <c r="B78" s="39" t="s">
        <v>2002</v>
      </c>
      <c r="C78" s="39" t="s">
        <v>1972</v>
      </c>
      <c r="D78" s="39" t="s">
        <v>1467</v>
      </c>
      <c r="E78" s="39" t="s">
        <v>1974</v>
      </c>
      <c r="F78" s="42"/>
      <c r="G78" s="42"/>
      <c r="H78" s="42"/>
      <c r="I78" s="42" t="str">
        <f>VLOOKUP(D78,'Active Employees'!$B$2:$B$498,1,false)</f>
        <v>#N/A</v>
      </c>
      <c r="J78" s="43" t="s">
        <v>1466</v>
      </c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14"/>
      <c r="Z78" s="14"/>
    </row>
    <row r="79">
      <c r="A79" s="39">
        <v>6.76043725699E11</v>
      </c>
      <c r="B79" s="39" t="s">
        <v>2003</v>
      </c>
      <c r="C79" s="39" t="s">
        <v>1972</v>
      </c>
      <c r="D79" s="39" t="s">
        <v>1467</v>
      </c>
      <c r="E79" s="39" t="s">
        <v>1974</v>
      </c>
      <c r="F79" s="42"/>
      <c r="G79" s="42"/>
      <c r="H79" s="42"/>
      <c r="I79" s="42" t="str">
        <f>VLOOKUP(D79,'Active Employees'!$B$2:$B$498,1,false)</f>
        <v>#N/A</v>
      </c>
      <c r="J79" s="43" t="s">
        <v>1466</v>
      </c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14"/>
      <c r="Z79" s="14"/>
    </row>
    <row r="80">
      <c r="A80" s="39">
        <v>6.89740959397E11</v>
      </c>
      <c r="B80" s="39" t="s">
        <v>2004</v>
      </c>
      <c r="C80" s="39" t="s">
        <v>1972</v>
      </c>
      <c r="D80" s="39" t="s">
        <v>1467</v>
      </c>
      <c r="E80" s="39" t="s">
        <v>1974</v>
      </c>
      <c r="F80" s="42"/>
      <c r="G80" s="42"/>
      <c r="H80" s="42"/>
      <c r="I80" s="42" t="str">
        <f>VLOOKUP(D80,'Active Employees'!$B$2:$B$498,1,false)</f>
        <v>#N/A</v>
      </c>
      <c r="J80" s="43" t="s">
        <v>1466</v>
      </c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14"/>
      <c r="Z80" s="14"/>
    </row>
    <row r="81">
      <c r="A81" s="39">
        <v>7.10015040892E11</v>
      </c>
      <c r="B81" s="39" t="s">
        <v>2005</v>
      </c>
      <c r="C81" s="39" t="s">
        <v>1972</v>
      </c>
      <c r="D81" s="39" t="s">
        <v>1467</v>
      </c>
      <c r="E81" s="39" t="s">
        <v>1974</v>
      </c>
      <c r="F81" s="42"/>
      <c r="G81" s="42"/>
      <c r="H81" s="42"/>
      <c r="I81" s="42" t="str">
        <f>VLOOKUP(D81,'Active Employees'!$B$2:$B$498,1,false)</f>
        <v>#N/A</v>
      </c>
      <c r="J81" s="43" t="s">
        <v>1466</v>
      </c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14"/>
      <c r="Z81" s="14"/>
    </row>
    <row r="82">
      <c r="A82" s="39">
        <v>7.15809519905E11</v>
      </c>
      <c r="B82" s="39" t="s">
        <v>2006</v>
      </c>
      <c r="C82" s="39" t="s">
        <v>1972</v>
      </c>
      <c r="D82" s="39" t="s">
        <v>1467</v>
      </c>
      <c r="E82" s="39" t="s">
        <v>1974</v>
      </c>
      <c r="F82" s="42"/>
      <c r="G82" s="42"/>
      <c r="H82" s="42"/>
      <c r="I82" s="42" t="str">
        <f>VLOOKUP(D82,'Active Employees'!$B$2:$B$498,1,false)</f>
        <v>#N/A</v>
      </c>
      <c r="J82" s="43" t="s">
        <v>1466</v>
      </c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14"/>
      <c r="Z82" s="14"/>
    </row>
    <row r="83">
      <c r="A83" s="39">
        <v>7.25113757135E11</v>
      </c>
      <c r="B83" s="39" t="s">
        <v>2007</v>
      </c>
      <c r="C83" s="39" t="s">
        <v>1972</v>
      </c>
      <c r="D83" s="39" t="s">
        <v>1467</v>
      </c>
      <c r="E83" s="39" t="s">
        <v>1974</v>
      </c>
      <c r="F83" s="42"/>
      <c r="G83" s="42"/>
      <c r="H83" s="42"/>
      <c r="I83" s="42" t="str">
        <f>VLOOKUP(D83,'Active Employees'!$B$2:$B$498,1,false)</f>
        <v>#N/A</v>
      </c>
      <c r="J83" s="43" t="s">
        <v>1466</v>
      </c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14"/>
      <c r="Z83" s="14"/>
    </row>
    <row r="84">
      <c r="A84" s="39">
        <v>7.41686272442E11</v>
      </c>
      <c r="B84" s="39" t="s">
        <v>2008</v>
      </c>
      <c r="C84" s="39" t="s">
        <v>1972</v>
      </c>
      <c r="D84" s="39" t="s">
        <v>1467</v>
      </c>
      <c r="E84" s="39" t="s">
        <v>1974</v>
      </c>
      <c r="F84" s="42"/>
      <c r="G84" s="42"/>
      <c r="H84" s="42"/>
      <c r="I84" s="42" t="str">
        <f>VLOOKUP(D84,'Active Employees'!$B$2:$B$498,1,false)</f>
        <v>#N/A</v>
      </c>
      <c r="J84" s="43" t="s">
        <v>1466</v>
      </c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14"/>
      <c r="Z84" s="14"/>
    </row>
    <row r="85">
      <c r="A85" s="39">
        <v>8.01373416553E11</v>
      </c>
      <c r="B85" s="39" t="s">
        <v>2009</v>
      </c>
      <c r="C85" s="39" t="s">
        <v>1972</v>
      </c>
      <c r="D85" s="39" t="s">
        <v>1467</v>
      </c>
      <c r="E85" s="39" t="s">
        <v>1974</v>
      </c>
      <c r="F85" s="42"/>
      <c r="G85" s="42"/>
      <c r="H85" s="42"/>
      <c r="I85" s="42" t="str">
        <f>VLOOKUP(D85,'Active Employees'!$B$2:$B$498,1,false)</f>
        <v>#N/A</v>
      </c>
      <c r="J85" s="43" t="s">
        <v>1466</v>
      </c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14"/>
      <c r="Z85" s="14"/>
    </row>
    <row r="86">
      <c r="A86" s="39">
        <v>8.37880040897E11</v>
      </c>
      <c r="B86" s="39" t="s">
        <v>2010</v>
      </c>
      <c r="C86" s="39" t="s">
        <v>1972</v>
      </c>
      <c r="D86" s="39" t="s">
        <v>1467</v>
      </c>
      <c r="E86" s="39" t="s">
        <v>1974</v>
      </c>
      <c r="F86" s="42"/>
      <c r="G86" s="42"/>
      <c r="H86" s="42"/>
      <c r="I86" s="42" t="str">
        <f>VLOOKUP(D86,'Active Employees'!$B$2:$B$498,1,false)</f>
        <v>#N/A</v>
      </c>
      <c r="J86" s="43" t="s">
        <v>1466</v>
      </c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14"/>
      <c r="Z86" s="14"/>
    </row>
    <row r="87">
      <c r="A87" s="39">
        <v>8.66613861722E11</v>
      </c>
      <c r="B87" s="39" t="s">
        <v>2011</v>
      </c>
      <c r="C87" s="39" t="s">
        <v>1972</v>
      </c>
      <c r="D87" s="39" t="s">
        <v>1467</v>
      </c>
      <c r="E87" s="39" t="s">
        <v>1974</v>
      </c>
      <c r="F87" s="42"/>
      <c r="G87" s="42"/>
      <c r="H87" s="42"/>
      <c r="I87" s="42" t="str">
        <f>VLOOKUP(D87,'Active Employees'!$B$2:$B$498,1,false)</f>
        <v>#N/A</v>
      </c>
      <c r="J87" s="43" t="s">
        <v>1466</v>
      </c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14"/>
      <c r="Z87" s="14"/>
    </row>
    <row r="88">
      <c r="A88" s="39">
        <v>8.7100165961E11</v>
      </c>
      <c r="B88" s="39" t="s">
        <v>2012</v>
      </c>
      <c r="C88" s="39" t="s">
        <v>1972</v>
      </c>
      <c r="D88" s="39" t="s">
        <v>1467</v>
      </c>
      <c r="E88" s="39" t="s">
        <v>1974</v>
      </c>
      <c r="F88" s="42"/>
      <c r="G88" s="42"/>
      <c r="H88" s="42"/>
      <c r="I88" s="42" t="str">
        <f>VLOOKUP(D88,'Active Employees'!$B$2:$B$498,1,false)</f>
        <v>#N/A</v>
      </c>
      <c r="J88" s="43" t="s">
        <v>1466</v>
      </c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14"/>
      <c r="Z88" s="14"/>
    </row>
    <row r="89">
      <c r="A89" s="39">
        <v>8.82892008441E11</v>
      </c>
      <c r="B89" s="39" t="s">
        <v>2013</v>
      </c>
      <c r="C89" s="39" t="s">
        <v>1972</v>
      </c>
      <c r="D89" s="39" t="s">
        <v>1467</v>
      </c>
      <c r="E89" s="39" t="s">
        <v>1974</v>
      </c>
      <c r="F89" s="42"/>
      <c r="G89" s="42"/>
      <c r="H89" s="42"/>
      <c r="I89" s="42" t="str">
        <f>VLOOKUP(D89,'Active Employees'!$B$2:$B$498,1,false)</f>
        <v>#N/A</v>
      </c>
      <c r="J89" s="43" t="s">
        <v>1466</v>
      </c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14"/>
      <c r="Z89" s="14"/>
    </row>
    <row r="90">
      <c r="A90" s="39">
        <v>8.88577047425E11</v>
      </c>
      <c r="B90" s="39" t="s">
        <v>2014</v>
      </c>
      <c r="C90" s="39" t="s">
        <v>1972</v>
      </c>
      <c r="D90" s="39" t="s">
        <v>1467</v>
      </c>
      <c r="E90" s="39" t="s">
        <v>1974</v>
      </c>
      <c r="F90" s="42"/>
      <c r="G90" s="42"/>
      <c r="H90" s="42"/>
      <c r="I90" s="42" t="str">
        <f>VLOOKUP(D90,'Active Employees'!$B$2:$B$498,1,false)</f>
        <v>#N/A</v>
      </c>
      <c r="J90" s="43" t="s">
        <v>1466</v>
      </c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14"/>
      <c r="Z90" s="14"/>
    </row>
    <row r="91">
      <c r="A91" s="39">
        <v>8.91377047271E11</v>
      </c>
      <c r="B91" s="39" t="s">
        <v>2015</v>
      </c>
      <c r="C91" s="39" t="s">
        <v>1972</v>
      </c>
      <c r="D91" s="39" t="s">
        <v>1467</v>
      </c>
      <c r="E91" s="39" t="s">
        <v>1974</v>
      </c>
      <c r="F91" s="42"/>
      <c r="G91" s="42"/>
      <c r="H91" s="42"/>
      <c r="I91" s="42" t="str">
        <f>VLOOKUP(D91,'Active Employees'!$B$2:$B$498,1,false)</f>
        <v>#N/A</v>
      </c>
      <c r="J91" s="43" t="s">
        <v>1466</v>
      </c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14"/>
      <c r="Z91" s="14"/>
    </row>
    <row r="92">
      <c r="A92" s="39">
        <v>9.03032050004E11</v>
      </c>
      <c r="B92" s="39" t="s">
        <v>2016</v>
      </c>
      <c r="C92" s="39" t="s">
        <v>1972</v>
      </c>
      <c r="D92" s="39" t="s">
        <v>1467</v>
      </c>
      <c r="E92" s="39" t="s">
        <v>1974</v>
      </c>
      <c r="F92" s="42"/>
      <c r="G92" s="42"/>
      <c r="H92" s="42"/>
      <c r="I92" s="42" t="str">
        <f>VLOOKUP(D92,'Active Employees'!$B$2:$B$498,1,false)</f>
        <v>#N/A</v>
      </c>
      <c r="J92" s="43" t="s">
        <v>1466</v>
      </c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14"/>
      <c r="Z92" s="14"/>
    </row>
    <row r="93">
      <c r="A93" s="39">
        <v>9.03773873662E11</v>
      </c>
      <c r="B93" s="39" t="s">
        <v>2017</v>
      </c>
      <c r="C93" s="39" t="s">
        <v>1972</v>
      </c>
      <c r="D93" s="39" t="s">
        <v>1467</v>
      </c>
      <c r="E93" s="39" t="s">
        <v>1974</v>
      </c>
      <c r="F93" s="42"/>
      <c r="G93" s="42"/>
      <c r="H93" s="42"/>
      <c r="I93" s="42" t="str">
        <f>VLOOKUP(D93,'Active Employees'!$B$2:$B$498,1,false)</f>
        <v>#N/A</v>
      </c>
      <c r="J93" s="43" t="s">
        <v>1466</v>
      </c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14"/>
      <c r="Z93" s="14"/>
    </row>
    <row r="94">
      <c r="A94" s="39">
        <v>9.12777366807E11</v>
      </c>
      <c r="B94" s="39" t="s">
        <v>2018</v>
      </c>
      <c r="C94" s="39" t="s">
        <v>1972</v>
      </c>
      <c r="D94" s="39" t="s">
        <v>1467</v>
      </c>
      <c r="E94" s="39" t="s">
        <v>1974</v>
      </c>
      <c r="F94" s="42"/>
      <c r="G94" s="42"/>
      <c r="H94" s="42"/>
      <c r="I94" s="42" t="str">
        <f>VLOOKUP(D94,'Active Employees'!$B$2:$B$498,1,false)</f>
        <v>#N/A</v>
      </c>
      <c r="J94" s="43" t="s">
        <v>1466</v>
      </c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14"/>
      <c r="Z94" s="14"/>
    </row>
    <row r="95">
      <c r="A95" s="39">
        <v>9.58563233736E11</v>
      </c>
      <c r="B95" s="39" t="s">
        <v>2019</v>
      </c>
      <c r="C95" s="39" t="s">
        <v>1972</v>
      </c>
      <c r="D95" s="39" t="s">
        <v>1467</v>
      </c>
      <c r="E95" s="39" t="s">
        <v>1974</v>
      </c>
      <c r="F95" s="42"/>
      <c r="G95" s="42"/>
      <c r="H95" s="42"/>
      <c r="I95" s="42" t="str">
        <f>VLOOKUP(D95,'Active Employees'!$B$2:$B$498,1,false)</f>
        <v>#N/A</v>
      </c>
      <c r="J95" s="43" t="s">
        <v>1466</v>
      </c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14"/>
      <c r="Z95" s="14"/>
    </row>
    <row r="96">
      <c r="A96" s="39">
        <v>9.75050170311E11</v>
      </c>
      <c r="B96" s="39" t="s">
        <v>2020</v>
      </c>
      <c r="C96" s="39" t="s">
        <v>1972</v>
      </c>
      <c r="D96" s="39" t="s">
        <v>1467</v>
      </c>
      <c r="E96" s="39" t="s">
        <v>1974</v>
      </c>
      <c r="F96" s="42"/>
      <c r="G96" s="42"/>
      <c r="H96" s="42"/>
      <c r="I96" s="42" t="str">
        <f>VLOOKUP(D96,'Active Employees'!$B$2:$B$498,1,false)</f>
        <v>#N/A</v>
      </c>
      <c r="J96" s="43" t="s">
        <v>1466</v>
      </c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14"/>
      <c r="Z96" s="14"/>
    </row>
    <row r="97">
      <c r="A97" s="39">
        <v>9.91137750147E11</v>
      </c>
      <c r="B97" s="39" t="s">
        <v>2021</v>
      </c>
      <c r="C97" s="39" t="s">
        <v>1972</v>
      </c>
      <c r="D97" s="39" t="s">
        <v>1467</v>
      </c>
      <c r="E97" s="39" t="s">
        <v>1974</v>
      </c>
      <c r="F97" s="42"/>
      <c r="G97" s="42"/>
      <c r="H97" s="42"/>
      <c r="I97" s="42" t="str">
        <f>VLOOKUP(D97,'Active Employees'!$B$2:$B$498,1,false)</f>
        <v>#N/A</v>
      </c>
      <c r="J97" s="43" t="s">
        <v>1466</v>
      </c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14"/>
      <c r="Z97" s="14"/>
    </row>
    <row r="98">
      <c r="A98" s="39">
        <v>1.0438487392E10</v>
      </c>
      <c r="B98" s="39" t="s">
        <v>1971</v>
      </c>
      <c r="C98" s="39" t="s">
        <v>1972</v>
      </c>
      <c r="D98" s="39" t="s">
        <v>2022</v>
      </c>
      <c r="E98" s="39" t="s">
        <v>1974</v>
      </c>
      <c r="F98" s="42"/>
      <c r="G98" s="42"/>
      <c r="H98" s="42"/>
      <c r="I98" s="42" t="str">
        <f>VLOOKUP(D98,'Active Employees'!$B$2:$B$498,1,false)</f>
        <v>#N/A</v>
      </c>
      <c r="J98" s="43" t="s">
        <v>1466</v>
      </c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14"/>
      <c r="Z98" s="14"/>
    </row>
    <row r="99">
      <c r="A99" s="39">
        <v>4.7302296459E10</v>
      </c>
      <c r="B99" s="39" t="s">
        <v>1975</v>
      </c>
      <c r="C99" s="39" t="s">
        <v>1972</v>
      </c>
      <c r="D99" s="39" t="s">
        <v>2022</v>
      </c>
      <c r="E99" s="39" t="s">
        <v>1974</v>
      </c>
      <c r="F99" s="42"/>
      <c r="G99" s="42"/>
      <c r="H99" s="42"/>
      <c r="I99" s="42" t="str">
        <f>VLOOKUP(D99,'Active Employees'!$B$2:$B$498,1,false)</f>
        <v>#N/A</v>
      </c>
      <c r="J99" s="43" t="s">
        <v>1466</v>
      </c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14"/>
      <c r="Z99" s="14"/>
    </row>
    <row r="100">
      <c r="A100" s="39">
        <v>5.8264503038E10</v>
      </c>
      <c r="B100" s="39" t="s">
        <v>1976</v>
      </c>
      <c r="C100" s="39" t="s">
        <v>1972</v>
      </c>
      <c r="D100" s="39" t="s">
        <v>2022</v>
      </c>
      <c r="E100" s="39" t="s">
        <v>1974</v>
      </c>
      <c r="F100" s="42"/>
      <c r="G100" s="42"/>
      <c r="H100" s="42"/>
      <c r="I100" s="42" t="str">
        <f>VLOOKUP(D100,'Active Employees'!$B$2:$B$498,1,false)</f>
        <v>#N/A</v>
      </c>
      <c r="J100" s="43" t="s">
        <v>1466</v>
      </c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14"/>
      <c r="Z100" s="14"/>
    </row>
    <row r="101">
      <c r="A101" s="39">
        <v>9.9407438094E10</v>
      </c>
      <c r="B101" s="39" t="s">
        <v>1977</v>
      </c>
      <c r="C101" s="39" t="s">
        <v>1972</v>
      </c>
      <c r="D101" s="39" t="s">
        <v>2022</v>
      </c>
      <c r="E101" s="39" t="s">
        <v>1974</v>
      </c>
      <c r="F101" s="42"/>
      <c r="G101" s="42"/>
      <c r="H101" s="42"/>
      <c r="I101" s="42" t="str">
        <f>VLOOKUP(D101,'Active Employees'!$B$2:$B$498,1,false)</f>
        <v>#N/A</v>
      </c>
      <c r="J101" s="43" t="s">
        <v>1466</v>
      </c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14"/>
      <c r="Z101" s="14"/>
    </row>
    <row r="102">
      <c r="A102" s="39">
        <v>1.11664719423E11</v>
      </c>
      <c r="B102" s="39" t="s">
        <v>1978</v>
      </c>
      <c r="C102" s="39" t="s">
        <v>1972</v>
      </c>
      <c r="D102" s="39" t="s">
        <v>2022</v>
      </c>
      <c r="E102" s="39" t="s">
        <v>1974</v>
      </c>
      <c r="F102" s="42"/>
      <c r="G102" s="42"/>
      <c r="H102" s="42"/>
      <c r="I102" s="42" t="str">
        <f>VLOOKUP(D102,'Active Employees'!$B$2:$B$498,1,false)</f>
        <v>#N/A</v>
      </c>
      <c r="J102" s="43" t="s">
        <v>1466</v>
      </c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14"/>
      <c r="Z102" s="14"/>
    </row>
    <row r="103">
      <c r="A103" s="39">
        <v>1.75142243308E11</v>
      </c>
      <c r="B103" s="39" t="s">
        <v>1979</v>
      </c>
      <c r="C103" s="39" t="s">
        <v>1972</v>
      </c>
      <c r="D103" s="39" t="s">
        <v>2022</v>
      </c>
      <c r="E103" s="39" t="s">
        <v>1974</v>
      </c>
      <c r="F103" s="42"/>
      <c r="G103" s="42"/>
      <c r="H103" s="42"/>
      <c r="I103" s="42" t="str">
        <f>VLOOKUP(D103,'Active Employees'!$B$2:$B$498,1,false)</f>
        <v>#N/A</v>
      </c>
      <c r="J103" s="43" t="s">
        <v>1466</v>
      </c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14"/>
      <c r="Z103" s="14"/>
    </row>
    <row r="104">
      <c r="A104" s="39">
        <v>2.67155176707E11</v>
      </c>
      <c r="B104" s="39" t="s">
        <v>1980</v>
      </c>
      <c r="C104" s="39" t="s">
        <v>1972</v>
      </c>
      <c r="D104" s="39" t="s">
        <v>2022</v>
      </c>
      <c r="E104" s="39" t="s">
        <v>1974</v>
      </c>
      <c r="F104" s="42"/>
      <c r="G104" s="42"/>
      <c r="H104" s="42"/>
      <c r="I104" s="42" t="str">
        <f>VLOOKUP(D104,'Active Employees'!$B$2:$B$498,1,false)</f>
        <v>#N/A</v>
      </c>
      <c r="J104" s="43" t="s">
        <v>1466</v>
      </c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14"/>
      <c r="Z104" s="14"/>
    </row>
    <row r="105">
      <c r="A105" s="39">
        <v>2.77603989202E11</v>
      </c>
      <c r="B105" s="39" t="s">
        <v>1981</v>
      </c>
      <c r="C105" s="39" t="s">
        <v>1972</v>
      </c>
      <c r="D105" s="39" t="s">
        <v>2022</v>
      </c>
      <c r="E105" s="39" t="s">
        <v>1974</v>
      </c>
      <c r="F105" s="42"/>
      <c r="G105" s="42"/>
      <c r="H105" s="42"/>
      <c r="I105" s="42" t="str">
        <f>VLOOKUP(D105,'Active Employees'!$B$2:$B$498,1,false)</f>
        <v>#N/A</v>
      </c>
      <c r="J105" s="43" t="s">
        <v>1466</v>
      </c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14"/>
      <c r="Z105" s="14"/>
    </row>
    <row r="106">
      <c r="A106" s="39">
        <v>3.00042230143E11</v>
      </c>
      <c r="B106" s="39" t="s">
        <v>1982</v>
      </c>
      <c r="C106" s="39" t="s">
        <v>1972</v>
      </c>
      <c r="D106" s="39" t="s">
        <v>2022</v>
      </c>
      <c r="E106" s="39" t="s">
        <v>1974</v>
      </c>
      <c r="F106" s="42"/>
      <c r="G106" s="42"/>
      <c r="H106" s="42"/>
      <c r="I106" s="42" t="str">
        <f>VLOOKUP(D106,'Active Employees'!$B$2:$B$498,1,false)</f>
        <v>#N/A</v>
      </c>
      <c r="J106" s="43" t="s">
        <v>1466</v>
      </c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14"/>
      <c r="Z106" s="14"/>
    </row>
    <row r="107">
      <c r="A107" s="39">
        <v>3.0370012255E11</v>
      </c>
      <c r="B107" s="39" t="s">
        <v>1983</v>
      </c>
      <c r="C107" s="39" t="s">
        <v>1972</v>
      </c>
      <c r="D107" s="39" t="s">
        <v>2022</v>
      </c>
      <c r="E107" s="39" t="s">
        <v>1974</v>
      </c>
      <c r="F107" s="42"/>
      <c r="G107" s="42"/>
      <c r="H107" s="42"/>
      <c r="I107" s="42" t="str">
        <f>VLOOKUP(D107,'Active Employees'!$B$2:$B$498,1,false)</f>
        <v>#N/A</v>
      </c>
      <c r="J107" s="43" t="s">
        <v>1466</v>
      </c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14"/>
      <c r="Z107" s="14"/>
    </row>
    <row r="108">
      <c r="A108" s="39">
        <v>3.13121495448E11</v>
      </c>
      <c r="B108" s="39" t="s">
        <v>1984</v>
      </c>
      <c r="C108" s="39" t="s">
        <v>1972</v>
      </c>
      <c r="D108" s="39" t="s">
        <v>2022</v>
      </c>
      <c r="E108" s="39" t="s">
        <v>1974</v>
      </c>
      <c r="F108" s="42"/>
      <c r="G108" s="42"/>
      <c r="H108" s="42"/>
      <c r="I108" s="42" t="str">
        <f>VLOOKUP(D108,'Active Employees'!$B$2:$B$498,1,false)</f>
        <v>#N/A</v>
      </c>
      <c r="J108" s="43" t="s">
        <v>1466</v>
      </c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14"/>
      <c r="Z108" s="14"/>
    </row>
    <row r="109">
      <c r="A109" s="39">
        <v>3.18510287843E11</v>
      </c>
      <c r="B109" s="39" t="s">
        <v>1985</v>
      </c>
      <c r="C109" s="39" t="s">
        <v>1972</v>
      </c>
      <c r="D109" s="39" t="s">
        <v>2022</v>
      </c>
      <c r="E109" s="39" t="s">
        <v>1974</v>
      </c>
      <c r="F109" s="42"/>
      <c r="G109" s="42"/>
      <c r="H109" s="42"/>
      <c r="I109" s="42" t="str">
        <f>VLOOKUP(D109,'Active Employees'!$B$2:$B$498,1,false)</f>
        <v>#N/A</v>
      </c>
      <c r="J109" s="43" t="s">
        <v>1466</v>
      </c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14"/>
      <c r="Z109" s="14"/>
    </row>
    <row r="110">
      <c r="A110" s="39">
        <v>3.28193795291E11</v>
      </c>
      <c r="B110" s="39" t="s">
        <v>1579</v>
      </c>
      <c r="C110" s="39" t="s">
        <v>1972</v>
      </c>
      <c r="D110" s="39" t="s">
        <v>2022</v>
      </c>
      <c r="E110" s="39" t="s">
        <v>1974</v>
      </c>
      <c r="F110" s="42"/>
      <c r="G110" s="42"/>
      <c r="H110" s="42"/>
      <c r="I110" s="42" t="str">
        <f>VLOOKUP(D110,'Active Employees'!$B$2:$B$498,1,false)</f>
        <v>#N/A</v>
      </c>
      <c r="J110" s="43" t="s">
        <v>1466</v>
      </c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14"/>
      <c r="Z110" s="14"/>
    </row>
    <row r="111">
      <c r="A111" s="39">
        <v>3.45862510308E11</v>
      </c>
      <c r="B111" s="39" t="s">
        <v>1986</v>
      </c>
      <c r="C111" s="39" t="s">
        <v>1972</v>
      </c>
      <c r="D111" s="39" t="s">
        <v>2022</v>
      </c>
      <c r="E111" s="39" t="s">
        <v>1974</v>
      </c>
      <c r="F111" s="42"/>
      <c r="G111" s="42"/>
      <c r="H111" s="42"/>
      <c r="I111" s="42" t="str">
        <f>VLOOKUP(D111,'Active Employees'!$B$2:$B$498,1,false)</f>
        <v>#N/A</v>
      </c>
      <c r="J111" s="43" t="s">
        <v>1466</v>
      </c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14"/>
      <c r="Z111" s="14"/>
    </row>
    <row r="112">
      <c r="A112" s="39">
        <v>3.64430574006E11</v>
      </c>
      <c r="B112" s="39" t="s">
        <v>1987</v>
      </c>
      <c r="C112" s="39" t="s">
        <v>1972</v>
      </c>
      <c r="D112" s="39" t="s">
        <v>2022</v>
      </c>
      <c r="E112" s="39" t="s">
        <v>1974</v>
      </c>
      <c r="F112" s="42"/>
      <c r="G112" s="42"/>
      <c r="H112" s="42"/>
      <c r="I112" s="42" t="str">
        <f>VLOOKUP(D112,'Active Employees'!$B$2:$B$498,1,false)</f>
        <v>#N/A</v>
      </c>
      <c r="J112" s="43" t="s">
        <v>1466</v>
      </c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14"/>
      <c r="Z112" s="14"/>
    </row>
    <row r="113">
      <c r="A113" s="39">
        <v>3.98949996071E11</v>
      </c>
      <c r="B113" s="39" t="s">
        <v>1988</v>
      </c>
      <c r="C113" s="39" t="s">
        <v>1989</v>
      </c>
      <c r="D113" s="39" t="s">
        <v>2022</v>
      </c>
      <c r="E113" s="39" t="s">
        <v>1974</v>
      </c>
      <c r="F113" s="42"/>
      <c r="G113" s="42"/>
      <c r="H113" s="42"/>
      <c r="I113" s="42" t="str">
        <f>VLOOKUP(D113,'Active Employees'!$B$2:$B$498,1,false)</f>
        <v>#N/A</v>
      </c>
      <c r="J113" s="43" t="s">
        <v>1466</v>
      </c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14"/>
      <c r="Z113" s="14"/>
    </row>
    <row r="114">
      <c r="A114" s="39">
        <v>4.33192899833E11</v>
      </c>
      <c r="B114" s="39" t="s">
        <v>1990</v>
      </c>
      <c r="C114" s="39" t="s">
        <v>1972</v>
      </c>
      <c r="D114" s="39" t="s">
        <v>2022</v>
      </c>
      <c r="E114" s="39" t="s">
        <v>1974</v>
      </c>
      <c r="F114" s="42"/>
      <c r="G114" s="42"/>
      <c r="H114" s="42"/>
      <c r="I114" s="42" t="str">
        <f>VLOOKUP(D114,'Active Employees'!$B$2:$B$498,1,false)</f>
        <v>#N/A</v>
      </c>
      <c r="J114" s="43" t="s">
        <v>1466</v>
      </c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14"/>
      <c r="Z114" s="14"/>
    </row>
    <row r="115">
      <c r="A115" s="39">
        <v>4.47924746603E11</v>
      </c>
      <c r="B115" s="39" t="s">
        <v>1991</v>
      </c>
      <c r="C115" s="39" t="s">
        <v>1972</v>
      </c>
      <c r="D115" s="39" t="s">
        <v>2022</v>
      </c>
      <c r="E115" s="39" t="s">
        <v>1974</v>
      </c>
      <c r="F115" s="42"/>
      <c r="G115" s="42"/>
      <c r="H115" s="42"/>
      <c r="I115" s="42" t="str">
        <f>VLOOKUP(D115,'Active Employees'!$B$2:$B$498,1,false)</f>
        <v>#N/A</v>
      </c>
      <c r="J115" s="43" t="s">
        <v>1466</v>
      </c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14"/>
      <c r="Z115" s="14"/>
    </row>
    <row r="116">
      <c r="A116" s="39">
        <v>4.6347093944E11</v>
      </c>
      <c r="B116" s="39" t="s">
        <v>1992</v>
      </c>
      <c r="C116" s="39" t="s">
        <v>1972</v>
      </c>
      <c r="D116" s="39" t="s">
        <v>2022</v>
      </c>
      <c r="E116" s="39" t="s">
        <v>1974</v>
      </c>
      <c r="F116" s="42"/>
      <c r="G116" s="42"/>
      <c r="H116" s="42"/>
      <c r="I116" s="42" t="str">
        <f>VLOOKUP(D116,'Active Employees'!$B$2:$B$498,1,false)</f>
        <v>#N/A</v>
      </c>
      <c r="J116" s="43" t="s">
        <v>1466</v>
      </c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14"/>
      <c r="Z116" s="14"/>
    </row>
    <row r="117">
      <c r="A117" s="39">
        <v>4.77715925773E11</v>
      </c>
      <c r="B117" s="39" t="s">
        <v>1993</v>
      </c>
      <c r="C117" s="39" t="s">
        <v>1972</v>
      </c>
      <c r="D117" s="39" t="s">
        <v>2022</v>
      </c>
      <c r="E117" s="39" t="s">
        <v>1974</v>
      </c>
      <c r="F117" s="42"/>
      <c r="G117" s="42"/>
      <c r="H117" s="42"/>
      <c r="I117" s="42" t="str">
        <f>VLOOKUP(D117,'Active Employees'!$B$2:$B$498,1,false)</f>
        <v>#N/A</v>
      </c>
      <c r="J117" s="43" t="s">
        <v>1466</v>
      </c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14"/>
      <c r="Z117" s="14"/>
    </row>
    <row r="118">
      <c r="A118" s="39">
        <v>5.06620354984E11</v>
      </c>
      <c r="B118" s="39" t="s">
        <v>1994</v>
      </c>
      <c r="C118" s="39" t="s">
        <v>1972</v>
      </c>
      <c r="D118" s="39" t="s">
        <v>2022</v>
      </c>
      <c r="E118" s="39" t="s">
        <v>1974</v>
      </c>
      <c r="F118" s="42"/>
      <c r="G118" s="42"/>
      <c r="H118" s="42"/>
      <c r="I118" s="42" t="str">
        <f>VLOOKUP(D118,'Active Employees'!$B$2:$B$498,1,false)</f>
        <v>#N/A</v>
      </c>
      <c r="J118" s="43" t="s">
        <v>1466</v>
      </c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14"/>
      <c r="Z118" s="14"/>
    </row>
    <row r="119">
      <c r="A119" s="39">
        <v>5.39272219385E11</v>
      </c>
      <c r="B119" s="39" t="s">
        <v>1995</v>
      </c>
      <c r="C119" s="39" t="s">
        <v>1972</v>
      </c>
      <c r="D119" s="39" t="s">
        <v>2022</v>
      </c>
      <c r="E119" s="39" t="s">
        <v>1974</v>
      </c>
      <c r="F119" s="42"/>
      <c r="G119" s="42"/>
      <c r="H119" s="42"/>
      <c r="I119" s="42" t="str">
        <f>VLOOKUP(D119,'Active Employees'!$B$2:$B$498,1,false)</f>
        <v>#N/A</v>
      </c>
      <c r="J119" s="43" t="s">
        <v>1466</v>
      </c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14"/>
      <c r="Z119" s="14"/>
    </row>
    <row r="120">
      <c r="A120" s="39">
        <v>5.40898635624E11</v>
      </c>
      <c r="B120" s="39" t="s">
        <v>1996</v>
      </c>
      <c r="C120" s="39" t="s">
        <v>1972</v>
      </c>
      <c r="D120" s="39" t="s">
        <v>2022</v>
      </c>
      <c r="E120" s="39" t="s">
        <v>1974</v>
      </c>
      <c r="F120" s="42"/>
      <c r="G120" s="42"/>
      <c r="H120" s="42"/>
      <c r="I120" s="42" t="str">
        <f>VLOOKUP(D120,'Active Employees'!$B$2:$B$498,1,false)</f>
        <v>#N/A</v>
      </c>
      <c r="J120" s="43" t="s">
        <v>1466</v>
      </c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14"/>
      <c r="Z120" s="14"/>
    </row>
    <row r="121">
      <c r="A121" s="39">
        <v>6.02326734147E11</v>
      </c>
      <c r="B121" s="39" t="s">
        <v>1997</v>
      </c>
      <c r="C121" s="39" t="s">
        <v>1972</v>
      </c>
      <c r="D121" s="39" t="s">
        <v>2022</v>
      </c>
      <c r="E121" s="39" t="s">
        <v>1974</v>
      </c>
      <c r="F121" s="42"/>
      <c r="G121" s="42"/>
      <c r="H121" s="42"/>
      <c r="I121" s="42" t="str">
        <f>VLOOKUP(D121,'Active Employees'!$B$2:$B$498,1,false)</f>
        <v>#N/A</v>
      </c>
      <c r="J121" s="43" t="s">
        <v>1466</v>
      </c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14"/>
      <c r="Z121" s="14"/>
    </row>
    <row r="122">
      <c r="A122" s="39">
        <v>6.22992712626E11</v>
      </c>
      <c r="B122" s="39" t="s">
        <v>1998</v>
      </c>
      <c r="C122" s="39" t="s">
        <v>1972</v>
      </c>
      <c r="D122" s="39" t="s">
        <v>2022</v>
      </c>
      <c r="E122" s="39" t="s">
        <v>1974</v>
      </c>
      <c r="F122" s="42"/>
      <c r="G122" s="42"/>
      <c r="H122" s="42"/>
      <c r="I122" s="42" t="str">
        <f>VLOOKUP(D122,'Active Employees'!$B$2:$B$498,1,false)</f>
        <v>#N/A</v>
      </c>
      <c r="J122" s="43" t="s">
        <v>1466</v>
      </c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14"/>
      <c r="Z122" s="14"/>
    </row>
    <row r="123">
      <c r="A123" s="39">
        <v>6.37423373108E11</v>
      </c>
      <c r="B123" s="39" t="s">
        <v>1999</v>
      </c>
      <c r="C123" s="39" t="s">
        <v>1972</v>
      </c>
      <c r="D123" s="39" t="s">
        <v>2022</v>
      </c>
      <c r="E123" s="39" t="s">
        <v>1974</v>
      </c>
      <c r="F123" s="42"/>
      <c r="G123" s="42"/>
      <c r="H123" s="42"/>
      <c r="I123" s="42" t="str">
        <f>VLOOKUP(D123,'Active Employees'!$B$2:$B$498,1,false)</f>
        <v>#N/A</v>
      </c>
      <c r="J123" s="43" t="s">
        <v>1466</v>
      </c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14"/>
      <c r="Z123" s="14"/>
    </row>
    <row r="124">
      <c r="A124" s="39">
        <v>6.53834391849E11</v>
      </c>
      <c r="B124" s="39" t="s">
        <v>2000</v>
      </c>
      <c r="C124" s="39" t="s">
        <v>1972</v>
      </c>
      <c r="D124" s="39" t="s">
        <v>2022</v>
      </c>
      <c r="E124" s="39" t="s">
        <v>1974</v>
      </c>
      <c r="F124" s="42"/>
      <c r="G124" s="42"/>
      <c r="H124" s="42"/>
      <c r="I124" s="42" t="str">
        <f>VLOOKUP(D124,'Active Employees'!$B$2:$B$498,1,false)</f>
        <v>#N/A</v>
      </c>
      <c r="J124" s="43" t="s">
        <v>1466</v>
      </c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14"/>
      <c r="Z124" s="14"/>
    </row>
    <row r="125">
      <c r="A125" s="39">
        <v>6.54089975909E11</v>
      </c>
      <c r="B125" s="39" t="s">
        <v>2001</v>
      </c>
      <c r="C125" s="39" t="s">
        <v>1972</v>
      </c>
      <c r="D125" s="39" t="s">
        <v>2022</v>
      </c>
      <c r="E125" s="39" t="s">
        <v>1974</v>
      </c>
      <c r="F125" s="42"/>
      <c r="G125" s="42"/>
      <c r="H125" s="42"/>
      <c r="I125" s="42" t="str">
        <f>VLOOKUP(D125,'Active Employees'!$B$2:$B$498,1,false)</f>
        <v>#N/A</v>
      </c>
      <c r="J125" s="43" t="s">
        <v>1466</v>
      </c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14"/>
      <c r="Z125" s="14"/>
    </row>
    <row r="126">
      <c r="A126" s="39">
        <v>6.54654578585E11</v>
      </c>
      <c r="B126" s="39" t="s">
        <v>2002</v>
      </c>
      <c r="C126" s="39" t="s">
        <v>1972</v>
      </c>
      <c r="D126" s="39" t="s">
        <v>2022</v>
      </c>
      <c r="E126" s="39" t="s">
        <v>1974</v>
      </c>
      <c r="F126" s="42"/>
      <c r="G126" s="42"/>
      <c r="H126" s="42"/>
      <c r="I126" s="42" t="str">
        <f>VLOOKUP(D126,'Active Employees'!$B$2:$B$498,1,false)</f>
        <v>#N/A</v>
      </c>
      <c r="J126" s="43" t="s">
        <v>1466</v>
      </c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14"/>
      <c r="Z126" s="14"/>
    </row>
    <row r="127">
      <c r="A127" s="39">
        <v>6.76043725699E11</v>
      </c>
      <c r="B127" s="39" t="s">
        <v>2003</v>
      </c>
      <c r="C127" s="39" t="s">
        <v>1972</v>
      </c>
      <c r="D127" s="39" t="s">
        <v>2022</v>
      </c>
      <c r="E127" s="39" t="s">
        <v>1974</v>
      </c>
      <c r="F127" s="42"/>
      <c r="G127" s="42"/>
      <c r="H127" s="42"/>
      <c r="I127" s="42" t="str">
        <f>VLOOKUP(D127,'Active Employees'!$B$2:$B$498,1,false)</f>
        <v>#N/A</v>
      </c>
      <c r="J127" s="43" t="s">
        <v>1466</v>
      </c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14"/>
      <c r="Z127" s="14"/>
    </row>
    <row r="128">
      <c r="A128" s="39">
        <v>6.89740959397E11</v>
      </c>
      <c r="B128" s="39" t="s">
        <v>2004</v>
      </c>
      <c r="C128" s="39" t="s">
        <v>1972</v>
      </c>
      <c r="D128" s="39" t="s">
        <v>2022</v>
      </c>
      <c r="E128" s="39" t="s">
        <v>1974</v>
      </c>
      <c r="F128" s="42"/>
      <c r="G128" s="42"/>
      <c r="H128" s="42"/>
      <c r="I128" s="42" t="str">
        <f>VLOOKUP(D128,'Active Employees'!$B$2:$B$498,1,false)</f>
        <v>#N/A</v>
      </c>
      <c r="J128" s="43" t="s">
        <v>1466</v>
      </c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14"/>
      <c r="Z128" s="14"/>
    </row>
    <row r="129">
      <c r="A129" s="39">
        <v>7.10015040892E11</v>
      </c>
      <c r="B129" s="39" t="s">
        <v>2005</v>
      </c>
      <c r="C129" s="39" t="s">
        <v>1972</v>
      </c>
      <c r="D129" s="39" t="s">
        <v>2022</v>
      </c>
      <c r="E129" s="39" t="s">
        <v>1974</v>
      </c>
      <c r="F129" s="42"/>
      <c r="G129" s="42"/>
      <c r="H129" s="42"/>
      <c r="I129" s="42" t="str">
        <f>VLOOKUP(D129,'Active Employees'!$B$2:$B$498,1,false)</f>
        <v>#N/A</v>
      </c>
      <c r="J129" s="43" t="s">
        <v>1466</v>
      </c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14"/>
      <c r="Z129" s="14"/>
    </row>
    <row r="130">
      <c r="A130" s="39">
        <v>7.15809519905E11</v>
      </c>
      <c r="B130" s="39" t="s">
        <v>2006</v>
      </c>
      <c r="C130" s="39" t="s">
        <v>1972</v>
      </c>
      <c r="D130" s="39" t="s">
        <v>2022</v>
      </c>
      <c r="E130" s="39" t="s">
        <v>1974</v>
      </c>
      <c r="F130" s="42"/>
      <c r="G130" s="42"/>
      <c r="H130" s="42"/>
      <c r="I130" s="42" t="str">
        <f>VLOOKUP(D130,'Active Employees'!$B$2:$B$498,1,false)</f>
        <v>#N/A</v>
      </c>
      <c r="J130" s="43" t="s">
        <v>1466</v>
      </c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14"/>
      <c r="Z130" s="14"/>
    </row>
    <row r="131">
      <c r="A131" s="39">
        <v>7.25113757135E11</v>
      </c>
      <c r="B131" s="39" t="s">
        <v>2007</v>
      </c>
      <c r="C131" s="39" t="s">
        <v>1972</v>
      </c>
      <c r="D131" s="39" t="s">
        <v>2022</v>
      </c>
      <c r="E131" s="39" t="s">
        <v>1974</v>
      </c>
      <c r="F131" s="42"/>
      <c r="G131" s="42"/>
      <c r="H131" s="42"/>
      <c r="I131" s="42" t="str">
        <f>VLOOKUP(D131,'Active Employees'!$B$2:$B$498,1,false)</f>
        <v>#N/A</v>
      </c>
      <c r="J131" s="43" t="s">
        <v>1466</v>
      </c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14"/>
      <c r="Z131" s="14"/>
    </row>
    <row r="132">
      <c r="A132" s="39">
        <v>7.41686272442E11</v>
      </c>
      <c r="B132" s="39" t="s">
        <v>2008</v>
      </c>
      <c r="C132" s="39" t="s">
        <v>1972</v>
      </c>
      <c r="D132" s="39" t="s">
        <v>2022</v>
      </c>
      <c r="E132" s="39" t="s">
        <v>1974</v>
      </c>
      <c r="F132" s="42"/>
      <c r="G132" s="42"/>
      <c r="H132" s="42"/>
      <c r="I132" s="42" t="str">
        <f>VLOOKUP(D132,'Active Employees'!$B$2:$B$498,1,false)</f>
        <v>#N/A</v>
      </c>
      <c r="J132" s="43" t="s">
        <v>1466</v>
      </c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14"/>
      <c r="Z132" s="14"/>
    </row>
    <row r="133">
      <c r="A133" s="39">
        <v>8.01373416553E11</v>
      </c>
      <c r="B133" s="39" t="s">
        <v>2009</v>
      </c>
      <c r="C133" s="39" t="s">
        <v>1972</v>
      </c>
      <c r="D133" s="39" t="s">
        <v>2022</v>
      </c>
      <c r="E133" s="39" t="s">
        <v>1974</v>
      </c>
      <c r="F133" s="42"/>
      <c r="G133" s="42"/>
      <c r="H133" s="42"/>
      <c r="I133" s="42" t="str">
        <f>VLOOKUP(D133,'Active Employees'!$B$2:$B$498,1,false)</f>
        <v>#N/A</v>
      </c>
      <c r="J133" s="43" t="s">
        <v>1466</v>
      </c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14"/>
      <c r="Z133" s="14"/>
    </row>
    <row r="134">
      <c r="A134" s="39">
        <v>8.37880040897E11</v>
      </c>
      <c r="B134" s="39" t="s">
        <v>2010</v>
      </c>
      <c r="C134" s="39" t="s">
        <v>1972</v>
      </c>
      <c r="D134" s="39" t="s">
        <v>2022</v>
      </c>
      <c r="E134" s="39" t="s">
        <v>1974</v>
      </c>
      <c r="F134" s="42"/>
      <c r="G134" s="42"/>
      <c r="H134" s="42"/>
      <c r="I134" s="42" t="str">
        <f>VLOOKUP(D134,'Active Employees'!$B$2:$B$498,1,false)</f>
        <v>#N/A</v>
      </c>
      <c r="J134" s="43" t="s">
        <v>1466</v>
      </c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14"/>
      <c r="Z134" s="14"/>
    </row>
    <row r="135">
      <c r="A135" s="39">
        <v>8.66613861722E11</v>
      </c>
      <c r="B135" s="39" t="s">
        <v>2011</v>
      </c>
      <c r="C135" s="39" t="s">
        <v>1972</v>
      </c>
      <c r="D135" s="39" t="s">
        <v>2022</v>
      </c>
      <c r="E135" s="39" t="s">
        <v>1974</v>
      </c>
      <c r="F135" s="42"/>
      <c r="G135" s="42"/>
      <c r="H135" s="42"/>
      <c r="I135" s="42" t="str">
        <f>VLOOKUP(D135,'Active Employees'!$B$2:$B$498,1,false)</f>
        <v>#N/A</v>
      </c>
      <c r="J135" s="43" t="s">
        <v>1466</v>
      </c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14"/>
      <c r="Z135" s="14"/>
    </row>
    <row r="136">
      <c r="A136" s="39">
        <v>8.7100165961E11</v>
      </c>
      <c r="B136" s="39" t="s">
        <v>2012</v>
      </c>
      <c r="C136" s="39" t="s">
        <v>1972</v>
      </c>
      <c r="D136" s="39" t="s">
        <v>2022</v>
      </c>
      <c r="E136" s="39" t="s">
        <v>1974</v>
      </c>
      <c r="F136" s="42"/>
      <c r="G136" s="42"/>
      <c r="H136" s="42"/>
      <c r="I136" s="42" t="str">
        <f>VLOOKUP(D136,'Active Employees'!$B$2:$B$498,1,false)</f>
        <v>#N/A</v>
      </c>
      <c r="J136" s="43" t="s">
        <v>1466</v>
      </c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14"/>
      <c r="Z136" s="14"/>
    </row>
    <row r="137">
      <c r="A137" s="39">
        <v>8.82892008441E11</v>
      </c>
      <c r="B137" s="39" t="s">
        <v>2013</v>
      </c>
      <c r="C137" s="39" t="s">
        <v>1972</v>
      </c>
      <c r="D137" s="39" t="s">
        <v>2022</v>
      </c>
      <c r="E137" s="39" t="s">
        <v>1974</v>
      </c>
      <c r="F137" s="42"/>
      <c r="G137" s="42"/>
      <c r="H137" s="42"/>
      <c r="I137" s="42" t="str">
        <f>VLOOKUP(D137,'Active Employees'!$B$2:$B$498,1,false)</f>
        <v>#N/A</v>
      </c>
      <c r="J137" s="43" t="s">
        <v>1466</v>
      </c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14"/>
      <c r="Z137" s="14"/>
    </row>
    <row r="138">
      <c r="A138" s="39">
        <v>8.88577047425E11</v>
      </c>
      <c r="B138" s="39" t="s">
        <v>2014</v>
      </c>
      <c r="C138" s="39" t="s">
        <v>1972</v>
      </c>
      <c r="D138" s="39" t="s">
        <v>2022</v>
      </c>
      <c r="E138" s="39" t="s">
        <v>1974</v>
      </c>
      <c r="F138" s="42"/>
      <c r="G138" s="42"/>
      <c r="H138" s="42"/>
      <c r="I138" s="42" t="str">
        <f>VLOOKUP(D138,'Active Employees'!$B$2:$B$498,1,false)</f>
        <v>#N/A</v>
      </c>
      <c r="J138" s="43" t="s">
        <v>1466</v>
      </c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14"/>
      <c r="Z138" s="14"/>
    </row>
    <row r="139">
      <c r="A139" s="39">
        <v>8.91377047271E11</v>
      </c>
      <c r="B139" s="39" t="s">
        <v>2015</v>
      </c>
      <c r="C139" s="39" t="s">
        <v>1972</v>
      </c>
      <c r="D139" s="39" t="s">
        <v>2022</v>
      </c>
      <c r="E139" s="39" t="s">
        <v>1974</v>
      </c>
      <c r="F139" s="42"/>
      <c r="G139" s="42"/>
      <c r="H139" s="42"/>
      <c r="I139" s="42" t="str">
        <f>VLOOKUP(D139,'Active Employees'!$B$2:$B$498,1,false)</f>
        <v>#N/A</v>
      </c>
      <c r="J139" s="43" t="s">
        <v>1466</v>
      </c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14"/>
      <c r="Z139" s="14"/>
    </row>
    <row r="140">
      <c r="A140" s="39">
        <v>9.03032050004E11</v>
      </c>
      <c r="B140" s="39" t="s">
        <v>2016</v>
      </c>
      <c r="C140" s="39" t="s">
        <v>1972</v>
      </c>
      <c r="D140" s="39" t="s">
        <v>2022</v>
      </c>
      <c r="E140" s="39" t="s">
        <v>1974</v>
      </c>
      <c r="F140" s="42"/>
      <c r="G140" s="42"/>
      <c r="H140" s="42"/>
      <c r="I140" s="42" t="str">
        <f>VLOOKUP(D140,'Active Employees'!$B$2:$B$498,1,false)</f>
        <v>#N/A</v>
      </c>
      <c r="J140" s="43" t="s">
        <v>1466</v>
      </c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14"/>
      <c r="Z140" s="14"/>
    </row>
    <row r="141">
      <c r="A141" s="39">
        <v>9.03773873662E11</v>
      </c>
      <c r="B141" s="39" t="s">
        <v>2017</v>
      </c>
      <c r="C141" s="39" t="s">
        <v>1972</v>
      </c>
      <c r="D141" s="39" t="s">
        <v>2022</v>
      </c>
      <c r="E141" s="39" t="s">
        <v>1974</v>
      </c>
      <c r="F141" s="42"/>
      <c r="G141" s="42"/>
      <c r="H141" s="42"/>
      <c r="I141" s="42" t="str">
        <f>VLOOKUP(D141,'Active Employees'!$B$2:$B$498,1,false)</f>
        <v>#N/A</v>
      </c>
      <c r="J141" s="43" t="s">
        <v>1466</v>
      </c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14"/>
      <c r="Z141" s="14"/>
    </row>
    <row r="142">
      <c r="A142" s="39">
        <v>9.12777366807E11</v>
      </c>
      <c r="B142" s="39" t="s">
        <v>2018</v>
      </c>
      <c r="C142" s="39" t="s">
        <v>1972</v>
      </c>
      <c r="D142" s="39" t="s">
        <v>2022</v>
      </c>
      <c r="E142" s="39" t="s">
        <v>1974</v>
      </c>
      <c r="F142" s="42"/>
      <c r="G142" s="42"/>
      <c r="H142" s="42"/>
      <c r="I142" s="42" t="str">
        <f>VLOOKUP(D142,'Active Employees'!$B$2:$B$498,1,false)</f>
        <v>#N/A</v>
      </c>
      <c r="J142" s="43" t="s">
        <v>1466</v>
      </c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14"/>
      <c r="Z142" s="14"/>
    </row>
    <row r="143">
      <c r="A143" s="39">
        <v>9.58563233736E11</v>
      </c>
      <c r="B143" s="39" t="s">
        <v>2019</v>
      </c>
      <c r="C143" s="39" t="s">
        <v>1972</v>
      </c>
      <c r="D143" s="39" t="s">
        <v>2022</v>
      </c>
      <c r="E143" s="39" t="s">
        <v>1974</v>
      </c>
      <c r="F143" s="42"/>
      <c r="G143" s="42"/>
      <c r="H143" s="42"/>
      <c r="I143" s="42" t="str">
        <f>VLOOKUP(D143,'Active Employees'!$B$2:$B$498,1,false)</f>
        <v>#N/A</v>
      </c>
      <c r="J143" s="43" t="s">
        <v>1466</v>
      </c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14"/>
      <c r="Z143" s="14"/>
    </row>
    <row r="144">
      <c r="A144" s="39">
        <v>9.75050170311E11</v>
      </c>
      <c r="B144" s="39" t="s">
        <v>2020</v>
      </c>
      <c r="C144" s="39" t="s">
        <v>1972</v>
      </c>
      <c r="D144" s="39" t="s">
        <v>2022</v>
      </c>
      <c r="E144" s="39" t="s">
        <v>1974</v>
      </c>
      <c r="F144" s="42"/>
      <c r="G144" s="42"/>
      <c r="H144" s="42"/>
      <c r="I144" s="42" t="str">
        <f>VLOOKUP(D144,'Active Employees'!$B$2:$B$498,1,false)</f>
        <v>#N/A</v>
      </c>
      <c r="J144" s="43" t="s">
        <v>1466</v>
      </c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14"/>
      <c r="Z144" s="14"/>
    </row>
    <row r="145">
      <c r="A145" s="39">
        <v>9.91137750147E11</v>
      </c>
      <c r="B145" s="39" t="s">
        <v>2021</v>
      </c>
      <c r="C145" s="39" t="s">
        <v>1972</v>
      </c>
      <c r="D145" s="39" t="s">
        <v>2022</v>
      </c>
      <c r="E145" s="39" t="s">
        <v>1974</v>
      </c>
      <c r="F145" s="42"/>
      <c r="G145" s="42"/>
      <c r="H145" s="42"/>
      <c r="I145" s="42" t="str">
        <f>VLOOKUP(D145,'Active Employees'!$B$2:$B$498,1,false)</f>
        <v>#N/A</v>
      </c>
      <c r="J145" s="43" t="s">
        <v>1466</v>
      </c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14"/>
      <c r="Z145" s="14"/>
    </row>
    <row r="146">
      <c r="A146" s="39">
        <v>1.0438487392E10</v>
      </c>
      <c r="B146" s="39" t="s">
        <v>1971</v>
      </c>
      <c r="C146" s="39" t="s">
        <v>1972</v>
      </c>
      <c r="D146" s="39" t="s">
        <v>1698</v>
      </c>
      <c r="E146" s="39" t="s">
        <v>1974</v>
      </c>
      <c r="F146" s="42"/>
      <c r="G146" s="42"/>
      <c r="H146" s="42"/>
      <c r="I146" s="42" t="str">
        <f>VLOOKUP(D146,'Active Employees'!$B$2:$B$498,1,false)</f>
        <v>#N/A</v>
      </c>
      <c r="J146" s="43" t="s">
        <v>1466</v>
      </c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14"/>
      <c r="Z146" s="14"/>
    </row>
    <row r="147">
      <c r="A147" s="39">
        <v>4.7302296459E10</v>
      </c>
      <c r="B147" s="39" t="s">
        <v>1975</v>
      </c>
      <c r="C147" s="39" t="s">
        <v>1972</v>
      </c>
      <c r="D147" s="39" t="s">
        <v>1698</v>
      </c>
      <c r="E147" s="39" t="s">
        <v>1974</v>
      </c>
      <c r="F147" s="42"/>
      <c r="G147" s="42"/>
      <c r="H147" s="42"/>
      <c r="I147" s="42" t="str">
        <f>VLOOKUP(D147,'Active Employees'!$B$2:$B$498,1,false)</f>
        <v>#N/A</v>
      </c>
      <c r="J147" s="43" t="s">
        <v>1466</v>
      </c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14"/>
      <c r="Z147" s="14"/>
    </row>
    <row r="148">
      <c r="A148" s="39">
        <v>5.8264503038E10</v>
      </c>
      <c r="B148" s="39" t="s">
        <v>1976</v>
      </c>
      <c r="C148" s="39" t="s">
        <v>1972</v>
      </c>
      <c r="D148" s="39" t="s">
        <v>1698</v>
      </c>
      <c r="E148" s="39" t="s">
        <v>1974</v>
      </c>
      <c r="F148" s="42"/>
      <c r="G148" s="42"/>
      <c r="H148" s="42"/>
      <c r="I148" s="42" t="str">
        <f>VLOOKUP(D148,'Active Employees'!$B$2:$B$498,1,false)</f>
        <v>#N/A</v>
      </c>
      <c r="J148" s="43" t="s">
        <v>1466</v>
      </c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14"/>
      <c r="Z148" s="14"/>
    </row>
    <row r="149">
      <c r="A149" s="39">
        <v>9.9407438094E10</v>
      </c>
      <c r="B149" s="39" t="s">
        <v>1977</v>
      </c>
      <c r="C149" s="39" t="s">
        <v>1972</v>
      </c>
      <c r="D149" s="39" t="s">
        <v>1698</v>
      </c>
      <c r="E149" s="39" t="s">
        <v>1974</v>
      </c>
      <c r="F149" s="42"/>
      <c r="G149" s="42"/>
      <c r="H149" s="42"/>
      <c r="I149" s="42" t="str">
        <f>VLOOKUP(D149,'Active Employees'!$B$2:$B$498,1,false)</f>
        <v>#N/A</v>
      </c>
      <c r="J149" s="43" t="s">
        <v>1466</v>
      </c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14"/>
      <c r="Z149" s="14"/>
    </row>
    <row r="150">
      <c r="A150" s="39">
        <v>1.11664719423E11</v>
      </c>
      <c r="B150" s="39" t="s">
        <v>1978</v>
      </c>
      <c r="C150" s="39" t="s">
        <v>1972</v>
      </c>
      <c r="D150" s="39" t="s">
        <v>1698</v>
      </c>
      <c r="E150" s="39" t="s">
        <v>1974</v>
      </c>
      <c r="F150" s="42"/>
      <c r="G150" s="42"/>
      <c r="H150" s="42"/>
      <c r="I150" s="42" t="str">
        <f>VLOOKUP(D150,'Active Employees'!$B$2:$B$498,1,false)</f>
        <v>#N/A</v>
      </c>
      <c r="J150" s="43" t="s">
        <v>1466</v>
      </c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14"/>
      <c r="Z150" s="14"/>
    </row>
    <row r="151">
      <c r="A151" s="39">
        <v>1.75142243308E11</v>
      </c>
      <c r="B151" s="39" t="s">
        <v>1979</v>
      </c>
      <c r="C151" s="39" t="s">
        <v>1972</v>
      </c>
      <c r="D151" s="39" t="s">
        <v>1698</v>
      </c>
      <c r="E151" s="39" t="s">
        <v>1974</v>
      </c>
      <c r="F151" s="42"/>
      <c r="G151" s="42"/>
      <c r="H151" s="42"/>
      <c r="I151" s="42" t="str">
        <f>VLOOKUP(D151,'Active Employees'!$B$2:$B$498,1,false)</f>
        <v>#N/A</v>
      </c>
      <c r="J151" s="43" t="s">
        <v>1466</v>
      </c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14"/>
      <c r="Z151" s="14"/>
    </row>
    <row r="152">
      <c r="A152" s="39">
        <v>2.67155176707E11</v>
      </c>
      <c r="B152" s="39" t="s">
        <v>1980</v>
      </c>
      <c r="C152" s="39" t="s">
        <v>1972</v>
      </c>
      <c r="D152" s="39" t="s">
        <v>1698</v>
      </c>
      <c r="E152" s="39" t="s">
        <v>1974</v>
      </c>
      <c r="F152" s="42"/>
      <c r="G152" s="42"/>
      <c r="H152" s="42"/>
      <c r="I152" s="42" t="str">
        <f>VLOOKUP(D152,'Active Employees'!$B$2:$B$498,1,false)</f>
        <v>#N/A</v>
      </c>
      <c r="J152" s="43" t="s">
        <v>1466</v>
      </c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14"/>
      <c r="Z152" s="14"/>
    </row>
    <row r="153">
      <c r="A153" s="39">
        <v>2.77603989202E11</v>
      </c>
      <c r="B153" s="39" t="s">
        <v>1981</v>
      </c>
      <c r="C153" s="39" t="s">
        <v>1972</v>
      </c>
      <c r="D153" s="39" t="s">
        <v>1698</v>
      </c>
      <c r="E153" s="39" t="s">
        <v>1974</v>
      </c>
      <c r="F153" s="42"/>
      <c r="G153" s="42"/>
      <c r="H153" s="42"/>
      <c r="I153" s="42" t="str">
        <f>VLOOKUP(D153,'Active Employees'!$B$2:$B$498,1,false)</f>
        <v>#N/A</v>
      </c>
      <c r="J153" s="43" t="s">
        <v>1466</v>
      </c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14"/>
      <c r="Z153" s="14"/>
    </row>
    <row r="154">
      <c r="A154" s="39">
        <v>3.00042230143E11</v>
      </c>
      <c r="B154" s="39" t="s">
        <v>1982</v>
      </c>
      <c r="C154" s="39" t="s">
        <v>1972</v>
      </c>
      <c r="D154" s="39" t="s">
        <v>1698</v>
      </c>
      <c r="E154" s="39" t="s">
        <v>1974</v>
      </c>
      <c r="F154" s="42"/>
      <c r="G154" s="42"/>
      <c r="H154" s="42"/>
      <c r="I154" s="42" t="str">
        <f>VLOOKUP(D154,'Active Employees'!$B$2:$B$498,1,false)</f>
        <v>#N/A</v>
      </c>
      <c r="J154" s="43" t="s">
        <v>1466</v>
      </c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14"/>
      <c r="Z154" s="14"/>
    </row>
    <row r="155">
      <c r="A155" s="39">
        <v>3.0370012255E11</v>
      </c>
      <c r="B155" s="39" t="s">
        <v>1983</v>
      </c>
      <c r="C155" s="39" t="s">
        <v>1972</v>
      </c>
      <c r="D155" s="39" t="s">
        <v>1698</v>
      </c>
      <c r="E155" s="39" t="s">
        <v>1974</v>
      </c>
      <c r="F155" s="42"/>
      <c r="G155" s="42"/>
      <c r="H155" s="42"/>
      <c r="I155" s="42" t="str">
        <f>VLOOKUP(D155,'Active Employees'!$B$2:$B$498,1,false)</f>
        <v>#N/A</v>
      </c>
      <c r="J155" s="43" t="s">
        <v>1466</v>
      </c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14"/>
      <c r="Z155" s="14"/>
    </row>
    <row r="156">
      <c r="A156" s="39">
        <v>3.13121495448E11</v>
      </c>
      <c r="B156" s="39" t="s">
        <v>1984</v>
      </c>
      <c r="C156" s="39" t="s">
        <v>1972</v>
      </c>
      <c r="D156" s="39" t="s">
        <v>1698</v>
      </c>
      <c r="E156" s="39" t="s">
        <v>1974</v>
      </c>
      <c r="F156" s="42"/>
      <c r="G156" s="42"/>
      <c r="H156" s="42"/>
      <c r="I156" s="42" t="str">
        <f>VLOOKUP(D156,'Active Employees'!$B$2:$B$498,1,false)</f>
        <v>#N/A</v>
      </c>
      <c r="J156" s="43" t="s">
        <v>1466</v>
      </c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14"/>
      <c r="Z156" s="14"/>
    </row>
    <row r="157">
      <c r="A157" s="39">
        <v>3.18510287843E11</v>
      </c>
      <c r="B157" s="39" t="s">
        <v>1985</v>
      </c>
      <c r="C157" s="39" t="s">
        <v>1972</v>
      </c>
      <c r="D157" s="39" t="s">
        <v>1698</v>
      </c>
      <c r="E157" s="39" t="s">
        <v>1974</v>
      </c>
      <c r="F157" s="42"/>
      <c r="G157" s="42"/>
      <c r="H157" s="42"/>
      <c r="I157" s="42" t="str">
        <f>VLOOKUP(D157,'Active Employees'!$B$2:$B$498,1,false)</f>
        <v>#N/A</v>
      </c>
      <c r="J157" s="43" t="s">
        <v>1466</v>
      </c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14"/>
      <c r="Z157" s="14"/>
    </row>
    <row r="158">
      <c r="A158" s="39">
        <v>3.28193795291E11</v>
      </c>
      <c r="B158" s="39" t="s">
        <v>1579</v>
      </c>
      <c r="C158" s="39" t="s">
        <v>1972</v>
      </c>
      <c r="D158" s="39" t="s">
        <v>1698</v>
      </c>
      <c r="E158" s="39" t="s">
        <v>1974</v>
      </c>
      <c r="F158" s="42"/>
      <c r="G158" s="42"/>
      <c r="H158" s="42"/>
      <c r="I158" s="42" t="str">
        <f>VLOOKUP(D158,'Active Employees'!$B$2:$B$498,1,false)</f>
        <v>#N/A</v>
      </c>
      <c r="J158" s="43" t="s">
        <v>1466</v>
      </c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14"/>
      <c r="Z158" s="14"/>
    </row>
    <row r="159">
      <c r="A159" s="39">
        <v>3.45862510308E11</v>
      </c>
      <c r="B159" s="39" t="s">
        <v>1986</v>
      </c>
      <c r="C159" s="39" t="s">
        <v>1972</v>
      </c>
      <c r="D159" s="39" t="s">
        <v>1698</v>
      </c>
      <c r="E159" s="39" t="s">
        <v>1974</v>
      </c>
      <c r="F159" s="42"/>
      <c r="G159" s="42"/>
      <c r="H159" s="42"/>
      <c r="I159" s="42" t="str">
        <f>VLOOKUP(D159,'Active Employees'!$B$2:$B$498,1,false)</f>
        <v>#N/A</v>
      </c>
      <c r="J159" s="43" t="s">
        <v>1466</v>
      </c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14"/>
      <c r="Z159" s="14"/>
    </row>
    <row r="160">
      <c r="A160" s="39">
        <v>3.64430574006E11</v>
      </c>
      <c r="B160" s="39" t="s">
        <v>1987</v>
      </c>
      <c r="C160" s="39" t="s">
        <v>1972</v>
      </c>
      <c r="D160" s="39" t="s">
        <v>1698</v>
      </c>
      <c r="E160" s="39" t="s">
        <v>1974</v>
      </c>
      <c r="F160" s="42"/>
      <c r="G160" s="42"/>
      <c r="H160" s="42"/>
      <c r="I160" s="42" t="str">
        <f>VLOOKUP(D160,'Active Employees'!$B$2:$B$498,1,false)</f>
        <v>#N/A</v>
      </c>
      <c r="J160" s="43" t="s">
        <v>1466</v>
      </c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14"/>
      <c r="Z160" s="14"/>
    </row>
    <row r="161">
      <c r="A161" s="39">
        <v>3.98949996071E11</v>
      </c>
      <c r="B161" s="39" t="s">
        <v>1988</v>
      </c>
      <c r="C161" s="39" t="s">
        <v>1989</v>
      </c>
      <c r="D161" s="39" t="s">
        <v>1698</v>
      </c>
      <c r="E161" s="39" t="s">
        <v>1974</v>
      </c>
      <c r="F161" s="42"/>
      <c r="G161" s="42"/>
      <c r="H161" s="42"/>
      <c r="I161" s="42" t="str">
        <f>VLOOKUP(D161,'Active Employees'!$B$2:$B$498,1,false)</f>
        <v>#N/A</v>
      </c>
      <c r="J161" s="43" t="s">
        <v>1466</v>
      </c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14"/>
      <c r="Z161" s="14"/>
    </row>
    <row r="162">
      <c r="A162" s="39">
        <v>4.33192899833E11</v>
      </c>
      <c r="B162" s="39" t="s">
        <v>1990</v>
      </c>
      <c r="C162" s="39" t="s">
        <v>1972</v>
      </c>
      <c r="D162" s="39" t="s">
        <v>1698</v>
      </c>
      <c r="E162" s="39" t="s">
        <v>1974</v>
      </c>
      <c r="F162" s="42"/>
      <c r="G162" s="42"/>
      <c r="H162" s="42"/>
      <c r="I162" s="42" t="str">
        <f>VLOOKUP(D162,'Active Employees'!$B$2:$B$498,1,false)</f>
        <v>#N/A</v>
      </c>
      <c r="J162" s="43" t="s">
        <v>1466</v>
      </c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14"/>
      <c r="Z162" s="14"/>
    </row>
    <row r="163">
      <c r="A163" s="39">
        <v>4.47924746603E11</v>
      </c>
      <c r="B163" s="39" t="s">
        <v>1991</v>
      </c>
      <c r="C163" s="39" t="s">
        <v>1972</v>
      </c>
      <c r="D163" s="39" t="s">
        <v>1698</v>
      </c>
      <c r="E163" s="39" t="s">
        <v>1974</v>
      </c>
      <c r="F163" s="42"/>
      <c r="G163" s="42"/>
      <c r="H163" s="42"/>
      <c r="I163" s="42" t="str">
        <f>VLOOKUP(D163,'Active Employees'!$B$2:$B$498,1,false)</f>
        <v>#N/A</v>
      </c>
      <c r="J163" s="43" t="s">
        <v>1466</v>
      </c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14"/>
      <c r="Z163" s="14"/>
    </row>
    <row r="164">
      <c r="A164" s="39">
        <v>4.6347093944E11</v>
      </c>
      <c r="B164" s="39" t="s">
        <v>1992</v>
      </c>
      <c r="C164" s="39" t="s">
        <v>1972</v>
      </c>
      <c r="D164" s="39" t="s">
        <v>1698</v>
      </c>
      <c r="E164" s="39" t="s">
        <v>1974</v>
      </c>
      <c r="F164" s="42"/>
      <c r="G164" s="42"/>
      <c r="H164" s="42"/>
      <c r="I164" s="42" t="str">
        <f>VLOOKUP(D164,'Active Employees'!$B$2:$B$498,1,false)</f>
        <v>#N/A</v>
      </c>
      <c r="J164" s="43" t="s">
        <v>1466</v>
      </c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14"/>
      <c r="Z164" s="14"/>
    </row>
    <row r="165">
      <c r="A165" s="39">
        <v>4.77715925773E11</v>
      </c>
      <c r="B165" s="39" t="s">
        <v>1993</v>
      </c>
      <c r="C165" s="39" t="s">
        <v>1972</v>
      </c>
      <c r="D165" s="39" t="s">
        <v>1698</v>
      </c>
      <c r="E165" s="39" t="s">
        <v>1974</v>
      </c>
      <c r="F165" s="42"/>
      <c r="G165" s="42"/>
      <c r="H165" s="42"/>
      <c r="I165" s="42" t="str">
        <f>VLOOKUP(D165,'Active Employees'!$B$2:$B$498,1,false)</f>
        <v>#N/A</v>
      </c>
      <c r="J165" s="43" t="s">
        <v>1466</v>
      </c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14"/>
      <c r="Z165" s="14"/>
    </row>
    <row r="166">
      <c r="A166" s="39">
        <v>5.06620354984E11</v>
      </c>
      <c r="B166" s="39" t="s">
        <v>1994</v>
      </c>
      <c r="C166" s="39" t="s">
        <v>1972</v>
      </c>
      <c r="D166" s="39" t="s">
        <v>1698</v>
      </c>
      <c r="E166" s="39" t="s">
        <v>1974</v>
      </c>
      <c r="F166" s="42"/>
      <c r="G166" s="42"/>
      <c r="H166" s="42"/>
      <c r="I166" s="42" t="str">
        <f>VLOOKUP(D166,'Active Employees'!$B$2:$B$498,1,false)</f>
        <v>#N/A</v>
      </c>
      <c r="J166" s="43" t="s">
        <v>1466</v>
      </c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14"/>
      <c r="Z166" s="14"/>
    </row>
    <row r="167">
      <c r="A167" s="39">
        <v>5.39272219385E11</v>
      </c>
      <c r="B167" s="39" t="s">
        <v>1995</v>
      </c>
      <c r="C167" s="39" t="s">
        <v>1972</v>
      </c>
      <c r="D167" s="39" t="s">
        <v>1698</v>
      </c>
      <c r="E167" s="39" t="s">
        <v>1974</v>
      </c>
      <c r="F167" s="42"/>
      <c r="G167" s="42"/>
      <c r="H167" s="42"/>
      <c r="I167" s="42" t="str">
        <f>VLOOKUP(D167,'Active Employees'!$B$2:$B$498,1,false)</f>
        <v>#N/A</v>
      </c>
      <c r="J167" s="43" t="s">
        <v>1466</v>
      </c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14"/>
      <c r="Z167" s="14"/>
    </row>
    <row r="168">
      <c r="A168" s="39">
        <v>5.40898635624E11</v>
      </c>
      <c r="B168" s="39" t="s">
        <v>1996</v>
      </c>
      <c r="C168" s="39" t="s">
        <v>1972</v>
      </c>
      <c r="D168" s="39" t="s">
        <v>1698</v>
      </c>
      <c r="E168" s="39" t="s">
        <v>1974</v>
      </c>
      <c r="F168" s="42"/>
      <c r="G168" s="42"/>
      <c r="H168" s="42"/>
      <c r="I168" s="42" t="str">
        <f>VLOOKUP(D168,'Active Employees'!$B$2:$B$498,1,false)</f>
        <v>#N/A</v>
      </c>
      <c r="J168" s="43" t="s">
        <v>1466</v>
      </c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14"/>
      <c r="Z168" s="14"/>
    </row>
    <row r="169">
      <c r="A169" s="39">
        <v>6.02326734147E11</v>
      </c>
      <c r="B169" s="39" t="s">
        <v>1997</v>
      </c>
      <c r="C169" s="39" t="s">
        <v>1972</v>
      </c>
      <c r="D169" s="39" t="s">
        <v>1698</v>
      </c>
      <c r="E169" s="39" t="s">
        <v>1974</v>
      </c>
      <c r="F169" s="42"/>
      <c r="G169" s="42"/>
      <c r="H169" s="42"/>
      <c r="I169" s="42" t="str">
        <f>VLOOKUP(D169,'Active Employees'!$B$2:$B$498,1,false)</f>
        <v>#N/A</v>
      </c>
      <c r="J169" s="43" t="s">
        <v>1466</v>
      </c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14"/>
      <c r="Z169" s="14"/>
    </row>
    <row r="170">
      <c r="A170" s="39">
        <v>6.22992712626E11</v>
      </c>
      <c r="B170" s="39" t="s">
        <v>1998</v>
      </c>
      <c r="C170" s="39" t="s">
        <v>1972</v>
      </c>
      <c r="D170" s="39" t="s">
        <v>1698</v>
      </c>
      <c r="E170" s="39" t="s">
        <v>1974</v>
      </c>
      <c r="F170" s="42"/>
      <c r="G170" s="42"/>
      <c r="H170" s="42"/>
      <c r="I170" s="42" t="str">
        <f>VLOOKUP(D170,'Active Employees'!$B$2:$B$498,1,false)</f>
        <v>#N/A</v>
      </c>
      <c r="J170" s="43" t="s">
        <v>1466</v>
      </c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14"/>
      <c r="Z170" s="14"/>
    </row>
    <row r="171">
      <c r="A171" s="39">
        <v>6.37423373108E11</v>
      </c>
      <c r="B171" s="39" t="s">
        <v>1999</v>
      </c>
      <c r="C171" s="39" t="s">
        <v>1972</v>
      </c>
      <c r="D171" s="39" t="s">
        <v>1698</v>
      </c>
      <c r="E171" s="39" t="s">
        <v>1974</v>
      </c>
      <c r="F171" s="42"/>
      <c r="G171" s="42"/>
      <c r="H171" s="42"/>
      <c r="I171" s="42" t="str">
        <f>VLOOKUP(D171,'Active Employees'!$B$2:$B$498,1,false)</f>
        <v>#N/A</v>
      </c>
      <c r="J171" s="43" t="s">
        <v>1466</v>
      </c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14"/>
      <c r="Z171" s="14"/>
    </row>
    <row r="172">
      <c r="A172" s="39">
        <v>6.53834391849E11</v>
      </c>
      <c r="B172" s="39" t="s">
        <v>2000</v>
      </c>
      <c r="C172" s="39" t="s">
        <v>1972</v>
      </c>
      <c r="D172" s="39" t="s">
        <v>1698</v>
      </c>
      <c r="E172" s="39" t="s">
        <v>1974</v>
      </c>
      <c r="F172" s="42"/>
      <c r="G172" s="42"/>
      <c r="H172" s="42"/>
      <c r="I172" s="42" t="str">
        <f>VLOOKUP(D172,'Active Employees'!$B$2:$B$498,1,false)</f>
        <v>#N/A</v>
      </c>
      <c r="J172" s="43" t="s">
        <v>1466</v>
      </c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14"/>
      <c r="Z172" s="14"/>
    </row>
    <row r="173">
      <c r="A173" s="39">
        <v>6.54089975909E11</v>
      </c>
      <c r="B173" s="39" t="s">
        <v>2001</v>
      </c>
      <c r="C173" s="39" t="s">
        <v>1972</v>
      </c>
      <c r="D173" s="39" t="s">
        <v>1698</v>
      </c>
      <c r="E173" s="39" t="s">
        <v>1974</v>
      </c>
      <c r="F173" s="42"/>
      <c r="G173" s="42"/>
      <c r="H173" s="42"/>
      <c r="I173" s="42" t="str">
        <f>VLOOKUP(D173,'Active Employees'!$B$2:$B$498,1,false)</f>
        <v>#N/A</v>
      </c>
      <c r="J173" s="43" t="s">
        <v>1466</v>
      </c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14"/>
      <c r="Z173" s="14"/>
    </row>
    <row r="174">
      <c r="A174" s="39">
        <v>6.54654578585E11</v>
      </c>
      <c r="B174" s="39" t="s">
        <v>2002</v>
      </c>
      <c r="C174" s="39" t="s">
        <v>1972</v>
      </c>
      <c r="D174" s="39" t="s">
        <v>1698</v>
      </c>
      <c r="E174" s="39" t="s">
        <v>1974</v>
      </c>
      <c r="F174" s="42"/>
      <c r="G174" s="42"/>
      <c r="H174" s="42"/>
      <c r="I174" s="42" t="str">
        <f>VLOOKUP(D174,'Active Employees'!$B$2:$B$498,1,false)</f>
        <v>#N/A</v>
      </c>
      <c r="J174" s="43" t="s">
        <v>1466</v>
      </c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14"/>
      <c r="Z174" s="14"/>
    </row>
    <row r="175">
      <c r="A175" s="39">
        <v>6.76043725699E11</v>
      </c>
      <c r="B175" s="39" t="s">
        <v>2003</v>
      </c>
      <c r="C175" s="39" t="s">
        <v>1972</v>
      </c>
      <c r="D175" s="39" t="s">
        <v>1698</v>
      </c>
      <c r="E175" s="39" t="s">
        <v>1974</v>
      </c>
      <c r="F175" s="42"/>
      <c r="G175" s="42"/>
      <c r="H175" s="42"/>
      <c r="I175" s="42" t="str">
        <f>VLOOKUP(D175,'Active Employees'!$B$2:$B$498,1,false)</f>
        <v>#N/A</v>
      </c>
      <c r="J175" s="43" t="s">
        <v>1466</v>
      </c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14"/>
      <c r="Z175" s="14"/>
    </row>
    <row r="176">
      <c r="A176" s="39">
        <v>6.89740959397E11</v>
      </c>
      <c r="B176" s="39" t="s">
        <v>2004</v>
      </c>
      <c r="C176" s="39" t="s">
        <v>1972</v>
      </c>
      <c r="D176" s="39" t="s">
        <v>1698</v>
      </c>
      <c r="E176" s="39" t="s">
        <v>1974</v>
      </c>
      <c r="F176" s="42"/>
      <c r="G176" s="42"/>
      <c r="H176" s="42"/>
      <c r="I176" s="42" t="str">
        <f>VLOOKUP(D176,'Active Employees'!$B$2:$B$498,1,false)</f>
        <v>#N/A</v>
      </c>
      <c r="J176" s="43" t="s">
        <v>1466</v>
      </c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14"/>
      <c r="Z176" s="14"/>
    </row>
    <row r="177">
      <c r="A177" s="39">
        <v>7.10015040892E11</v>
      </c>
      <c r="B177" s="39" t="s">
        <v>2005</v>
      </c>
      <c r="C177" s="39" t="s">
        <v>1972</v>
      </c>
      <c r="D177" s="39" t="s">
        <v>1698</v>
      </c>
      <c r="E177" s="39" t="s">
        <v>1974</v>
      </c>
      <c r="F177" s="42"/>
      <c r="G177" s="42"/>
      <c r="H177" s="42"/>
      <c r="I177" s="42" t="str">
        <f>VLOOKUP(D177,'Active Employees'!$B$2:$B$498,1,false)</f>
        <v>#N/A</v>
      </c>
      <c r="J177" s="43" t="s">
        <v>1466</v>
      </c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14"/>
      <c r="Z177" s="14"/>
    </row>
    <row r="178">
      <c r="A178" s="39">
        <v>7.15809519905E11</v>
      </c>
      <c r="B178" s="39" t="s">
        <v>2006</v>
      </c>
      <c r="C178" s="39" t="s">
        <v>1972</v>
      </c>
      <c r="D178" s="39" t="s">
        <v>1698</v>
      </c>
      <c r="E178" s="39" t="s">
        <v>1974</v>
      </c>
      <c r="F178" s="42"/>
      <c r="G178" s="42"/>
      <c r="H178" s="42"/>
      <c r="I178" s="42" t="str">
        <f>VLOOKUP(D178,'Active Employees'!$B$2:$B$498,1,false)</f>
        <v>#N/A</v>
      </c>
      <c r="J178" s="43" t="s">
        <v>1466</v>
      </c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14"/>
      <c r="Z178" s="14"/>
    </row>
    <row r="179">
      <c r="A179" s="39">
        <v>7.25113757135E11</v>
      </c>
      <c r="B179" s="39" t="s">
        <v>2007</v>
      </c>
      <c r="C179" s="39" t="s">
        <v>1972</v>
      </c>
      <c r="D179" s="39" t="s">
        <v>1698</v>
      </c>
      <c r="E179" s="39" t="s">
        <v>1974</v>
      </c>
      <c r="F179" s="42"/>
      <c r="G179" s="42"/>
      <c r="H179" s="42"/>
      <c r="I179" s="42" t="str">
        <f>VLOOKUP(D179,'Active Employees'!$B$2:$B$498,1,false)</f>
        <v>#N/A</v>
      </c>
      <c r="J179" s="43" t="s">
        <v>1466</v>
      </c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14"/>
      <c r="Z179" s="14"/>
    </row>
    <row r="180">
      <c r="A180" s="39">
        <v>7.41686272442E11</v>
      </c>
      <c r="B180" s="39" t="s">
        <v>2008</v>
      </c>
      <c r="C180" s="39" t="s">
        <v>1972</v>
      </c>
      <c r="D180" s="39" t="s">
        <v>1698</v>
      </c>
      <c r="E180" s="39" t="s">
        <v>1974</v>
      </c>
      <c r="F180" s="42"/>
      <c r="G180" s="42"/>
      <c r="H180" s="42"/>
      <c r="I180" s="42" t="str">
        <f>VLOOKUP(D180,'Active Employees'!$B$2:$B$498,1,false)</f>
        <v>#N/A</v>
      </c>
      <c r="J180" s="43" t="s">
        <v>1466</v>
      </c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14"/>
      <c r="Z180" s="14"/>
    </row>
    <row r="181">
      <c r="A181" s="39">
        <v>8.01373416553E11</v>
      </c>
      <c r="B181" s="39" t="s">
        <v>2009</v>
      </c>
      <c r="C181" s="39" t="s">
        <v>1972</v>
      </c>
      <c r="D181" s="39" t="s">
        <v>1698</v>
      </c>
      <c r="E181" s="39" t="s">
        <v>1974</v>
      </c>
      <c r="F181" s="42"/>
      <c r="G181" s="42"/>
      <c r="H181" s="42"/>
      <c r="I181" s="42" t="str">
        <f>VLOOKUP(D181,'Active Employees'!$B$2:$B$498,1,false)</f>
        <v>#N/A</v>
      </c>
      <c r="J181" s="43" t="s">
        <v>1466</v>
      </c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14"/>
      <c r="Z181" s="14"/>
    </row>
    <row r="182">
      <c r="A182" s="39">
        <v>8.37880040897E11</v>
      </c>
      <c r="B182" s="39" t="s">
        <v>2010</v>
      </c>
      <c r="C182" s="39" t="s">
        <v>1972</v>
      </c>
      <c r="D182" s="39" t="s">
        <v>1698</v>
      </c>
      <c r="E182" s="39" t="s">
        <v>1974</v>
      </c>
      <c r="F182" s="42"/>
      <c r="G182" s="42"/>
      <c r="H182" s="42"/>
      <c r="I182" s="42" t="str">
        <f>VLOOKUP(D182,'Active Employees'!$B$2:$B$498,1,false)</f>
        <v>#N/A</v>
      </c>
      <c r="J182" s="43" t="s">
        <v>1466</v>
      </c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14"/>
      <c r="Z182" s="14"/>
    </row>
    <row r="183">
      <c r="A183" s="39">
        <v>8.66613861722E11</v>
      </c>
      <c r="B183" s="39" t="s">
        <v>2011</v>
      </c>
      <c r="C183" s="39" t="s">
        <v>1972</v>
      </c>
      <c r="D183" s="39" t="s">
        <v>1698</v>
      </c>
      <c r="E183" s="39" t="s">
        <v>1974</v>
      </c>
      <c r="F183" s="42"/>
      <c r="G183" s="42"/>
      <c r="H183" s="42"/>
      <c r="I183" s="42" t="str">
        <f>VLOOKUP(D183,'Active Employees'!$B$2:$B$498,1,false)</f>
        <v>#N/A</v>
      </c>
      <c r="J183" s="43" t="s">
        <v>1466</v>
      </c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14"/>
      <c r="Z183" s="14"/>
    </row>
    <row r="184">
      <c r="A184" s="39">
        <v>8.7100165961E11</v>
      </c>
      <c r="B184" s="39" t="s">
        <v>2012</v>
      </c>
      <c r="C184" s="39" t="s">
        <v>1972</v>
      </c>
      <c r="D184" s="39" t="s">
        <v>1698</v>
      </c>
      <c r="E184" s="39" t="s">
        <v>1974</v>
      </c>
      <c r="F184" s="42"/>
      <c r="G184" s="42"/>
      <c r="H184" s="42"/>
      <c r="I184" s="42" t="str">
        <f>VLOOKUP(D184,'Active Employees'!$B$2:$B$498,1,false)</f>
        <v>#N/A</v>
      </c>
      <c r="J184" s="43" t="s">
        <v>1466</v>
      </c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14"/>
      <c r="Z184" s="14"/>
    </row>
    <row r="185">
      <c r="A185" s="39">
        <v>8.82892008441E11</v>
      </c>
      <c r="B185" s="39" t="s">
        <v>2013</v>
      </c>
      <c r="C185" s="39" t="s">
        <v>1972</v>
      </c>
      <c r="D185" s="39" t="s">
        <v>1698</v>
      </c>
      <c r="E185" s="39" t="s">
        <v>1974</v>
      </c>
      <c r="F185" s="42"/>
      <c r="G185" s="42"/>
      <c r="H185" s="42"/>
      <c r="I185" s="42" t="str">
        <f>VLOOKUP(D185,'Active Employees'!$B$2:$B$498,1,false)</f>
        <v>#N/A</v>
      </c>
      <c r="J185" s="43" t="s">
        <v>1466</v>
      </c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14"/>
      <c r="Z185" s="14"/>
    </row>
    <row r="186">
      <c r="A186" s="39">
        <v>8.88577047425E11</v>
      </c>
      <c r="B186" s="39" t="s">
        <v>2014</v>
      </c>
      <c r="C186" s="39" t="s">
        <v>1972</v>
      </c>
      <c r="D186" s="39" t="s">
        <v>1698</v>
      </c>
      <c r="E186" s="39" t="s">
        <v>1974</v>
      </c>
      <c r="F186" s="42"/>
      <c r="G186" s="42"/>
      <c r="H186" s="42"/>
      <c r="I186" s="42" t="str">
        <f>VLOOKUP(D186,'Active Employees'!$B$2:$B$498,1,false)</f>
        <v>#N/A</v>
      </c>
      <c r="J186" s="43" t="s">
        <v>1466</v>
      </c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14"/>
      <c r="Z186" s="14"/>
    </row>
    <row r="187">
      <c r="A187" s="39">
        <v>8.91377047271E11</v>
      </c>
      <c r="B187" s="39" t="s">
        <v>2015</v>
      </c>
      <c r="C187" s="39" t="s">
        <v>1972</v>
      </c>
      <c r="D187" s="39" t="s">
        <v>1698</v>
      </c>
      <c r="E187" s="39" t="s">
        <v>1974</v>
      </c>
      <c r="F187" s="42"/>
      <c r="G187" s="42"/>
      <c r="H187" s="42"/>
      <c r="I187" s="42" t="str">
        <f>VLOOKUP(D187,'Active Employees'!$B$2:$B$498,1,false)</f>
        <v>#N/A</v>
      </c>
      <c r="J187" s="43" t="s">
        <v>1466</v>
      </c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14"/>
      <c r="Z187" s="14"/>
    </row>
    <row r="188">
      <c r="A188" s="39">
        <v>9.03032050004E11</v>
      </c>
      <c r="B188" s="39" t="s">
        <v>2016</v>
      </c>
      <c r="C188" s="39" t="s">
        <v>1972</v>
      </c>
      <c r="D188" s="39" t="s">
        <v>1698</v>
      </c>
      <c r="E188" s="39" t="s">
        <v>1974</v>
      </c>
      <c r="F188" s="42"/>
      <c r="G188" s="42"/>
      <c r="H188" s="42"/>
      <c r="I188" s="42" t="str">
        <f>VLOOKUP(D188,'Active Employees'!$B$2:$B$498,1,false)</f>
        <v>#N/A</v>
      </c>
      <c r="J188" s="43" t="s">
        <v>1466</v>
      </c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14"/>
      <c r="Z188" s="14"/>
    </row>
    <row r="189">
      <c r="A189" s="39">
        <v>9.03773873662E11</v>
      </c>
      <c r="B189" s="39" t="s">
        <v>2017</v>
      </c>
      <c r="C189" s="39" t="s">
        <v>1972</v>
      </c>
      <c r="D189" s="39" t="s">
        <v>1698</v>
      </c>
      <c r="E189" s="39" t="s">
        <v>1974</v>
      </c>
      <c r="F189" s="42"/>
      <c r="G189" s="42"/>
      <c r="H189" s="42"/>
      <c r="I189" s="42" t="str">
        <f>VLOOKUP(D189,'Active Employees'!$B$2:$B$498,1,false)</f>
        <v>#N/A</v>
      </c>
      <c r="J189" s="43" t="s">
        <v>1466</v>
      </c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14"/>
      <c r="Z189" s="14"/>
    </row>
    <row r="190">
      <c r="A190" s="39">
        <v>9.12777366807E11</v>
      </c>
      <c r="B190" s="39" t="s">
        <v>2018</v>
      </c>
      <c r="C190" s="39" t="s">
        <v>1972</v>
      </c>
      <c r="D190" s="39" t="s">
        <v>1698</v>
      </c>
      <c r="E190" s="39" t="s">
        <v>1974</v>
      </c>
      <c r="F190" s="42"/>
      <c r="G190" s="42"/>
      <c r="H190" s="42"/>
      <c r="I190" s="42" t="str">
        <f>VLOOKUP(D190,'Active Employees'!$B$2:$B$498,1,false)</f>
        <v>#N/A</v>
      </c>
      <c r="J190" s="43" t="s">
        <v>1466</v>
      </c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14"/>
      <c r="Z190" s="14"/>
    </row>
    <row r="191">
      <c r="A191" s="39">
        <v>9.58563233736E11</v>
      </c>
      <c r="B191" s="39" t="s">
        <v>2019</v>
      </c>
      <c r="C191" s="39" t="s">
        <v>1972</v>
      </c>
      <c r="D191" s="39" t="s">
        <v>1698</v>
      </c>
      <c r="E191" s="39" t="s">
        <v>1974</v>
      </c>
      <c r="F191" s="42"/>
      <c r="G191" s="42"/>
      <c r="H191" s="42"/>
      <c r="I191" s="42" t="str">
        <f>VLOOKUP(D191,'Active Employees'!$B$2:$B$498,1,false)</f>
        <v>#N/A</v>
      </c>
      <c r="J191" s="43" t="s">
        <v>1466</v>
      </c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14"/>
      <c r="Z191" s="14"/>
    </row>
    <row r="192">
      <c r="A192" s="39">
        <v>9.75050170311E11</v>
      </c>
      <c r="B192" s="39" t="s">
        <v>2020</v>
      </c>
      <c r="C192" s="39" t="s">
        <v>1972</v>
      </c>
      <c r="D192" s="39" t="s">
        <v>1698</v>
      </c>
      <c r="E192" s="39" t="s">
        <v>1974</v>
      </c>
      <c r="F192" s="42"/>
      <c r="G192" s="42"/>
      <c r="H192" s="42"/>
      <c r="I192" s="42" t="str">
        <f>VLOOKUP(D192,'Active Employees'!$B$2:$B$498,1,false)</f>
        <v>#N/A</v>
      </c>
      <c r="J192" s="43" t="s">
        <v>1466</v>
      </c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14"/>
      <c r="Z192" s="14"/>
    </row>
    <row r="193">
      <c r="A193" s="39">
        <v>9.91137750147E11</v>
      </c>
      <c r="B193" s="39" t="s">
        <v>2021</v>
      </c>
      <c r="C193" s="39" t="s">
        <v>1972</v>
      </c>
      <c r="D193" s="39" t="s">
        <v>1698</v>
      </c>
      <c r="E193" s="39" t="s">
        <v>1974</v>
      </c>
      <c r="F193" s="42"/>
      <c r="G193" s="42"/>
      <c r="H193" s="42"/>
      <c r="I193" s="42" t="str">
        <f>VLOOKUP(D193,'Active Employees'!$B$2:$B$498,1,false)</f>
        <v>#N/A</v>
      </c>
      <c r="J193" s="43" t="s">
        <v>1466</v>
      </c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14"/>
      <c r="Z193" s="14"/>
    </row>
    <row r="194">
      <c r="A194" s="31">
        <v>1.0438487392E10</v>
      </c>
      <c r="B194" s="31" t="s">
        <v>1971</v>
      </c>
      <c r="C194" s="31" t="s">
        <v>1972</v>
      </c>
      <c r="D194" s="31" t="s">
        <v>724</v>
      </c>
      <c r="E194" s="31" t="s">
        <v>1974</v>
      </c>
      <c r="F194" s="30"/>
      <c r="G194" s="30"/>
      <c r="H194" s="30"/>
      <c r="I194" s="30" t="str">
        <f>VLOOKUP(D194,'Active Employees'!$B$2:$B$498,1,false)</f>
        <v>alex.hokanson@docker.com</v>
      </c>
      <c r="J194" s="33" t="s">
        <v>1469</v>
      </c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</row>
    <row r="195">
      <c r="A195" s="31">
        <v>4.7302296459E10</v>
      </c>
      <c r="B195" s="31" t="s">
        <v>1975</v>
      </c>
      <c r="C195" s="31" t="s">
        <v>1972</v>
      </c>
      <c r="D195" s="31" t="s">
        <v>724</v>
      </c>
      <c r="E195" s="31" t="s">
        <v>1974</v>
      </c>
      <c r="F195" s="30"/>
      <c r="G195" s="30"/>
      <c r="H195" s="30"/>
      <c r="I195" s="30" t="str">
        <f>VLOOKUP(D195,'Active Employees'!$B$2:$B$498,1,false)</f>
        <v>alex.hokanson@docker.com</v>
      </c>
      <c r="J195" s="33" t="s">
        <v>1469</v>
      </c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</row>
    <row r="196">
      <c r="A196" s="31">
        <v>5.8264503038E10</v>
      </c>
      <c r="B196" s="31" t="s">
        <v>1976</v>
      </c>
      <c r="C196" s="31" t="s">
        <v>1972</v>
      </c>
      <c r="D196" s="31" t="s">
        <v>724</v>
      </c>
      <c r="E196" s="31" t="s">
        <v>1974</v>
      </c>
      <c r="F196" s="30"/>
      <c r="G196" s="30"/>
      <c r="H196" s="30"/>
      <c r="I196" s="30" t="str">
        <f>VLOOKUP(D196,'Active Employees'!$B$2:$B$498,1,false)</f>
        <v>alex.hokanson@docker.com</v>
      </c>
      <c r="J196" s="33" t="s">
        <v>1469</v>
      </c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</row>
    <row r="197">
      <c r="A197" s="31">
        <v>9.9407438094E10</v>
      </c>
      <c r="B197" s="31" t="s">
        <v>1977</v>
      </c>
      <c r="C197" s="31" t="s">
        <v>1972</v>
      </c>
      <c r="D197" s="31" t="s">
        <v>724</v>
      </c>
      <c r="E197" s="31" t="s">
        <v>1974</v>
      </c>
      <c r="F197" s="30"/>
      <c r="G197" s="30"/>
      <c r="H197" s="30"/>
      <c r="I197" s="30" t="str">
        <f>VLOOKUP(D197,'Active Employees'!$B$2:$B$498,1,false)</f>
        <v>alex.hokanson@docker.com</v>
      </c>
      <c r="J197" s="33" t="s">
        <v>1469</v>
      </c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</row>
    <row r="198">
      <c r="A198" s="31">
        <v>1.11664719423E11</v>
      </c>
      <c r="B198" s="31" t="s">
        <v>1978</v>
      </c>
      <c r="C198" s="31" t="s">
        <v>1972</v>
      </c>
      <c r="D198" s="31" t="s">
        <v>724</v>
      </c>
      <c r="E198" s="31" t="s">
        <v>1974</v>
      </c>
      <c r="F198" s="30"/>
      <c r="G198" s="30"/>
      <c r="H198" s="30"/>
      <c r="I198" s="30" t="str">
        <f>VLOOKUP(D198,'Active Employees'!$B$2:$B$498,1,false)</f>
        <v>alex.hokanson@docker.com</v>
      </c>
      <c r="J198" s="33" t="s">
        <v>1469</v>
      </c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</row>
    <row r="199">
      <c r="A199" s="31">
        <v>1.75142243308E11</v>
      </c>
      <c r="B199" s="31" t="s">
        <v>1979</v>
      </c>
      <c r="C199" s="31" t="s">
        <v>1972</v>
      </c>
      <c r="D199" s="31" t="s">
        <v>724</v>
      </c>
      <c r="E199" s="31" t="s">
        <v>1974</v>
      </c>
      <c r="F199" s="30"/>
      <c r="G199" s="30"/>
      <c r="H199" s="30"/>
      <c r="I199" s="30" t="str">
        <f>VLOOKUP(D199,'Active Employees'!$B$2:$B$498,1,false)</f>
        <v>alex.hokanson@docker.com</v>
      </c>
      <c r="J199" s="33" t="s">
        <v>1469</v>
      </c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</row>
    <row r="200">
      <c r="A200" s="31">
        <v>2.67155176707E11</v>
      </c>
      <c r="B200" s="31" t="s">
        <v>1980</v>
      </c>
      <c r="C200" s="31" t="s">
        <v>1972</v>
      </c>
      <c r="D200" s="31" t="s">
        <v>724</v>
      </c>
      <c r="E200" s="31" t="s">
        <v>1974</v>
      </c>
      <c r="F200" s="30"/>
      <c r="G200" s="30"/>
      <c r="H200" s="30"/>
      <c r="I200" s="30" t="str">
        <f>VLOOKUP(D200,'Active Employees'!$B$2:$B$498,1,false)</f>
        <v>alex.hokanson@docker.com</v>
      </c>
      <c r="J200" s="33" t="s">
        <v>1469</v>
      </c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</row>
    <row r="201">
      <c r="A201" s="31">
        <v>2.77603989202E11</v>
      </c>
      <c r="B201" s="31" t="s">
        <v>1981</v>
      </c>
      <c r="C201" s="31" t="s">
        <v>1972</v>
      </c>
      <c r="D201" s="31" t="s">
        <v>724</v>
      </c>
      <c r="E201" s="31" t="s">
        <v>1974</v>
      </c>
      <c r="F201" s="30"/>
      <c r="G201" s="30"/>
      <c r="H201" s="30"/>
      <c r="I201" s="30" t="str">
        <f>VLOOKUP(D201,'Active Employees'!$B$2:$B$498,1,false)</f>
        <v>alex.hokanson@docker.com</v>
      </c>
      <c r="J201" s="33" t="s">
        <v>1469</v>
      </c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</row>
    <row r="202">
      <c r="A202" s="31">
        <v>3.00042230143E11</v>
      </c>
      <c r="B202" s="31" t="s">
        <v>1982</v>
      </c>
      <c r="C202" s="31" t="s">
        <v>1972</v>
      </c>
      <c r="D202" s="31" t="s">
        <v>724</v>
      </c>
      <c r="E202" s="31" t="s">
        <v>1974</v>
      </c>
      <c r="F202" s="30"/>
      <c r="G202" s="30"/>
      <c r="H202" s="30"/>
      <c r="I202" s="30" t="str">
        <f>VLOOKUP(D202,'Active Employees'!$B$2:$B$498,1,false)</f>
        <v>alex.hokanson@docker.com</v>
      </c>
      <c r="J202" s="33" t="s">
        <v>1469</v>
      </c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</row>
    <row r="203">
      <c r="A203" s="31">
        <v>3.0370012255E11</v>
      </c>
      <c r="B203" s="31" t="s">
        <v>1983</v>
      </c>
      <c r="C203" s="31" t="s">
        <v>1972</v>
      </c>
      <c r="D203" s="31" t="s">
        <v>724</v>
      </c>
      <c r="E203" s="31" t="s">
        <v>1974</v>
      </c>
      <c r="F203" s="30"/>
      <c r="G203" s="30"/>
      <c r="H203" s="30"/>
      <c r="I203" s="30" t="str">
        <f>VLOOKUP(D203,'Active Employees'!$B$2:$B$498,1,false)</f>
        <v>alex.hokanson@docker.com</v>
      </c>
      <c r="J203" s="33" t="s">
        <v>1469</v>
      </c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</row>
    <row r="204">
      <c r="A204" s="31">
        <v>3.13121495448E11</v>
      </c>
      <c r="B204" s="31" t="s">
        <v>1984</v>
      </c>
      <c r="C204" s="31" t="s">
        <v>1972</v>
      </c>
      <c r="D204" s="31" t="s">
        <v>724</v>
      </c>
      <c r="E204" s="31" t="s">
        <v>1974</v>
      </c>
      <c r="F204" s="30"/>
      <c r="G204" s="30"/>
      <c r="H204" s="30"/>
      <c r="I204" s="30" t="str">
        <f>VLOOKUP(D204,'Active Employees'!$B$2:$B$498,1,false)</f>
        <v>alex.hokanson@docker.com</v>
      </c>
      <c r="J204" s="33" t="s">
        <v>1469</v>
      </c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</row>
    <row r="205">
      <c r="A205" s="31">
        <v>3.18510287843E11</v>
      </c>
      <c r="B205" s="31" t="s">
        <v>1985</v>
      </c>
      <c r="C205" s="31" t="s">
        <v>1972</v>
      </c>
      <c r="D205" s="31" t="s">
        <v>724</v>
      </c>
      <c r="E205" s="31" t="s">
        <v>1974</v>
      </c>
      <c r="F205" s="30"/>
      <c r="G205" s="30"/>
      <c r="H205" s="30"/>
      <c r="I205" s="30" t="str">
        <f>VLOOKUP(D205,'Active Employees'!$B$2:$B$498,1,false)</f>
        <v>alex.hokanson@docker.com</v>
      </c>
      <c r="J205" s="33" t="s">
        <v>1469</v>
      </c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</row>
    <row r="206">
      <c r="A206" s="31">
        <v>3.28193795291E11</v>
      </c>
      <c r="B206" s="31" t="s">
        <v>1579</v>
      </c>
      <c r="C206" s="31" t="s">
        <v>1972</v>
      </c>
      <c r="D206" s="31" t="s">
        <v>724</v>
      </c>
      <c r="E206" s="31" t="s">
        <v>1974</v>
      </c>
      <c r="F206" s="30"/>
      <c r="G206" s="30"/>
      <c r="H206" s="30"/>
      <c r="I206" s="30" t="str">
        <f>VLOOKUP(D206,'Active Employees'!$B$2:$B$498,1,false)</f>
        <v>alex.hokanson@docker.com</v>
      </c>
      <c r="J206" s="33" t="s">
        <v>1469</v>
      </c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</row>
    <row r="207">
      <c r="A207" s="31">
        <v>3.45862510308E11</v>
      </c>
      <c r="B207" s="31" t="s">
        <v>1986</v>
      </c>
      <c r="C207" s="31" t="s">
        <v>1972</v>
      </c>
      <c r="D207" s="31" t="s">
        <v>724</v>
      </c>
      <c r="E207" s="31" t="s">
        <v>1974</v>
      </c>
      <c r="F207" s="30"/>
      <c r="G207" s="30"/>
      <c r="H207" s="30"/>
      <c r="I207" s="30" t="str">
        <f>VLOOKUP(D207,'Active Employees'!$B$2:$B$498,1,false)</f>
        <v>alex.hokanson@docker.com</v>
      </c>
      <c r="J207" s="33" t="s">
        <v>1469</v>
      </c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</row>
    <row r="208">
      <c r="A208" s="31">
        <v>3.64430574006E11</v>
      </c>
      <c r="B208" s="31" t="s">
        <v>1987</v>
      </c>
      <c r="C208" s="31" t="s">
        <v>1972</v>
      </c>
      <c r="D208" s="31" t="s">
        <v>724</v>
      </c>
      <c r="E208" s="31" t="s">
        <v>1974</v>
      </c>
      <c r="F208" s="30"/>
      <c r="G208" s="30"/>
      <c r="H208" s="30"/>
      <c r="I208" s="30" t="str">
        <f>VLOOKUP(D208,'Active Employees'!$B$2:$B$498,1,false)</f>
        <v>alex.hokanson@docker.com</v>
      </c>
      <c r="J208" s="33" t="s">
        <v>1469</v>
      </c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</row>
    <row r="209">
      <c r="A209" s="31">
        <v>3.98949996071E11</v>
      </c>
      <c r="B209" s="31" t="s">
        <v>1988</v>
      </c>
      <c r="C209" s="31" t="s">
        <v>1989</v>
      </c>
      <c r="D209" s="31" t="s">
        <v>724</v>
      </c>
      <c r="E209" s="31" t="s">
        <v>1974</v>
      </c>
      <c r="F209" s="30"/>
      <c r="G209" s="30"/>
      <c r="H209" s="30"/>
      <c r="I209" s="30" t="str">
        <f>VLOOKUP(D209,'Active Employees'!$B$2:$B$498,1,false)</f>
        <v>alex.hokanson@docker.com</v>
      </c>
      <c r="J209" s="33" t="s">
        <v>1469</v>
      </c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</row>
    <row r="210">
      <c r="A210" s="31">
        <v>4.33192899833E11</v>
      </c>
      <c r="B210" s="31" t="s">
        <v>1990</v>
      </c>
      <c r="C210" s="31" t="s">
        <v>1972</v>
      </c>
      <c r="D210" s="31" t="s">
        <v>724</v>
      </c>
      <c r="E210" s="31" t="s">
        <v>1974</v>
      </c>
      <c r="F210" s="30"/>
      <c r="G210" s="30"/>
      <c r="H210" s="30"/>
      <c r="I210" s="30" t="str">
        <f>VLOOKUP(D210,'Active Employees'!$B$2:$B$498,1,false)</f>
        <v>alex.hokanson@docker.com</v>
      </c>
      <c r="J210" s="33" t="s">
        <v>1469</v>
      </c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</row>
    <row r="211">
      <c r="A211" s="31">
        <v>4.47924746603E11</v>
      </c>
      <c r="B211" s="31" t="s">
        <v>1991</v>
      </c>
      <c r="C211" s="31" t="s">
        <v>1972</v>
      </c>
      <c r="D211" s="31" t="s">
        <v>724</v>
      </c>
      <c r="E211" s="31" t="s">
        <v>1974</v>
      </c>
      <c r="F211" s="30"/>
      <c r="G211" s="30"/>
      <c r="H211" s="30"/>
      <c r="I211" s="30" t="str">
        <f>VLOOKUP(D211,'Active Employees'!$B$2:$B$498,1,false)</f>
        <v>alex.hokanson@docker.com</v>
      </c>
      <c r="J211" s="33" t="s">
        <v>1469</v>
      </c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</row>
    <row r="212">
      <c r="A212" s="31">
        <v>4.6347093944E11</v>
      </c>
      <c r="B212" s="31" t="s">
        <v>1992</v>
      </c>
      <c r="C212" s="31" t="s">
        <v>1972</v>
      </c>
      <c r="D212" s="31" t="s">
        <v>724</v>
      </c>
      <c r="E212" s="31" t="s">
        <v>1974</v>
      </c>
      <c r="F212" s="30"/>
      <c r="G212" s="30"/>
      <c r="H212" s="30"/>
      <c r="I212" s="30" t="str">
        <f>VLOOKUP(D212,'Active Employees'!$B$2:$B$498,1,false)</f>
        <v>alex.hokanson@docker.com</v>
      </c>
      <c r="J212" s="33" t="s">
        <v>1469</v>
      </c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</row>
    <row r="213">
      <c r="A213" s="31">
        <v>4.77715925773E11</v>
      </c>
      <c r="B213" s="31" t="s">
        <v>1993</v>
      </c>
      <c r="C213" s="31" t="s">
        <v>1972</v>
      </c>
      <c r="D213" s="31" t="s">
        <v>724</v>
      </c>
      <c r="E213" s="31" t="s">
        <v>1974</v>
      </c>
      <c r="F213" s="30"/>
      <c r="G213" s="30"/>
      <c r="H213" s="30"/>
      <c r="I213" s="30" t="str">
        <f>VLOOKUP(D213,'Active Employees'!$B$2:$B$498,1,false)</f>
        <v>alex.hokanson@docker.com</v>
      </c>
      <c r="J213" s="33" t="s">
        <v>1469</v>
      </c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</row>
    <row r="214">
      <c r="A214" s="31">
        <v>5.06620354984E11</v>
      </c>
      <c r="B214" s="31" t="s">
        <v>1994</v>
      </c>
      <c r="C214" s="31" t="s">
        <v>1972</v>
      </c>
      <c r="D214" s="31" t="s">
        <v>724</v>
      </c>
      <c r="E214" s="31" t="s">
        <v>1974</v>
      </c>
      <c r="F214" s="30"/>
      <c r="G214" s="30"/>
      <c r="H214" s="30"/>
      <c r="I214" s="30" t="str">
        <f>VLOOKUP(D214,'Active Employees'!$B$2:$B$498,1,false)</f>
        <v>alex.hokanson@docker.com</v>
      </c>
      <c r="J214" s="33" t="s">
        <v>1469</v>
      </c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</row>
    <row r="215">
      <c r="A215" s="31">
        <v>5.39272219385E11</v>
      </c>
      <c r="B215" s="31" t="s">
        <v>1995</v>
      </c>
      <c r="C215" s="31" t="s">
        <v>1972</v>
      </c>
      <c r="D215" s="31" t="s">
        <v>724</v>
      </c>
      <c r="E215" s="31" t="s">
        <v>1974</v>
      </c>
      <c r="F215" s="30"/>
      <c r="G215" s="30"/>
      <c r="H215" s="30"/>
      <c r="I215" s="30" t="str">
        <f>VLOOKUP(D215,'Active Employees'!$B$2:$B$498,1,false)</f>
        <v>alex.hokanson@docker.com</v>
      </c>
      <c r="J215" s="33" t="s">
        <v>1469</v>
      </c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</row>
    <row r="216">
      <c r="A216" s="31">
        <v>5.40898635624E11</v>
      </c>
      <c r="B216" s="31" t="s">
        <v>1996</v>
      </c>
      <c r="C216" s="31" t="s">
        <v>1972</v>
      </c>
      <c r="D216" s="31" t="s">
        <v>724</v>
      </c>
      <c r="E216" s="31" t="s">
        <v>1974</v>
      </c>
      <c r="F216" s="30"/>
      <c r="G216" s="30"/>
      <c r="H216" s="30"/>
      <c r="I216" s="30" t="str">
        <f>VLOOKUP(D216,'Active Employees'!$B$2:$B$498,1,false)</f>
        <v>alex.hokanson@docker.com</v>
      </c>
      <c r="J216" s="33" t="s">
        <v>1469</v>
      </c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</row>
    <row r="217">
      <c r="A217" s="31">
        <v>6.02326734147E11</v>
      </c>
      <c r="B217" s="31" t="s">
        <v>1997</v>
      </c>
      <c r="C217" s="31" t="s">
        <v>1972</v>
      </c>
      <c r="D217" s="31" t="s">
        <v>724</v>
      </c>
      <c r="E217" s="31" t="s">
        <v>1974</v>
      </c>
      <c r="F217" s="30"/>
      <c r="G217" s="30"/>
      <c r="H217" s="30"/>
      <c r="I217" s="30" t="str">
        <f>VLOOKUP(D217,'Active Employees'!$B$2:$B$498,1,false)</f>
        <v>alex.hokanson@docker.com</v>
      </c>
      <c r="J217" s="33" t="s">
        <v>1469</v>
      </c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</row>
    <row r="218">
      <c r="A218" s="31">
        <v>6.22992712626E11</v>
      </c>
      <c r="B218" s="31" t="s">
        <v>1998</v>
      </c>
      <c r="C218" s="31" t="s">
        <v>1972</v>
      </c>
      <c r="D218" s="31" t="s">
        <v>724</v>
      </c>
      <c r="E218" s="31" t="s">
        <v>1974</v>
      </c>
      <c r="F218" s="30"/>
      <c r="G218" s="30"/>
      <c r="H218" s="30"/>
      <c r="I218" s="30" t="str">
        <f>VLOOKUP(D218,'Active Employees'!$B$2:$B$498,1,false)</f>
        <v>alex.hokanson@docker.com</v>
      </c>
      <c r="J218" s="33" t="s">
        <v>1469</v>
      </c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</row>
    <row r="219">
      <c r="A219" s="31">
        <v>6.37423373108E11</v>
      </c>
      <c r="B219" s="31" t="s">
        <v>1999</v>
      </c>
      <c r="C219" s="31" t="s">
        <v>1972</v>
      </c>
      <c r="D219" s="31" t="s">
        <v>724</v>
      </c>
      <c r="E219" s="31" t="s">
        <v>1974</v>
      </c>
      <c r="F219" s="30"/>
      <c r="G219" s="30"/>
      <c r="H219" s="30"/>
      <c r="I219" s="30" t="str">
        <f>VLOOKUP(D219,'Active Employees'!$B$2:$B$498,1,false)</f>
        <v>alex.hokanson@docker.com</v>
      </c>
      <c r="J219" s="33" t="s">
        <v>1469</v>
      </c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</row>
    <row r="220">
      <c r="A220" s="31">
        <v>6.53834391849E11</v>
      </c>
      <c r="B220" s="31" t="s">
        <v>2000</v>
      </c>
      <c r="C220" s="31" t="s">
        <v>1972</v>
      </c>
      <c r="D220" s="31" t="s">
        <v>724</v>
      </c>
      <c r="E220" s="31" t="s">
        <v>1974</v>
      </c>
      <c r="F220" s="30"/>
      <c r="G220" s="30"/>
      <c r="H220" s="30"/>
      <c r="I220" s="30" t="str">
        <f>VLOOKUP(D220,'Active Employees'!$B$2:$B$498,1,false)</f>
        <v>alex.hokanson@docker.com</v>
      </c>
      <c r="J220" s="33" t="s">
        <v>1469</v>
      </c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</row>
    <row r="221">
      <c r="A221" s="31">
        <v>6.54089975909E11</v>
      </c>
      <c r="B221" s="31" t="s">
        <v>2001</v>
      </c>
      <c r="C221" s="31" t="s">
        <v>1972</v>
      </c>
      <c r="D221" s="31" t="s">
        <v>724</v>
      </c>
      <c r="E221" s="31" t="s">
        <v>1974</v>
      </c>
      <c r="F221" s="30"/>
      <c r="G221" s="30"/>
      <c r="H221" s="30"/>
      <c r="I221" s="30" t="str">
        <f>VLOOKUP(D221,'Active Employees'!$B$2:$B$498,1,false)</f>
        <v>alex.hokanson@docker.com</v>
      </c>
      <c r="J221" s="33" t="s">
        <v>1469</v>
      </c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</row>
    <row r="222">
      <c r="A222" s="31">
        <v>6.54654578585E11</v>
      </c>
      <c r="B222" s="31" t="s">
        <v>2002</v>
      </c>
      <c r="C222" s="31" t="s">
        <v>1972</v>
      </c>
      <c r="D222" s="31" t="s">
        <v>724</v>
      </c>
      <c r="E222" s="31" t="s">
        <v>1974</v>
      </c>
      <c r="F222" s="30"/>
      <c r="G222" s="30"/>
      <c r="H222" s="30"/>
      <c r="I222" s="30" t="str">
        <f>VLOOKUP(D222,'Active Employees'!$B$2:$B$498,1,false)</f>
        <v>alex.hokanson@docker.com</v>
      </c>
      <c r="J222" s="33" t="s">
        <v>1469</v>
      </c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</row>
    <row r="223">
      <c r="A223" s="31">
        <v>6.76043725699E11</v>
      </c>
      <c r="B223" s="31" t="s">
        <v>2003</v>
      </c>
      <c r="C223" s="31" t="s">
        <v>1972</v>
      </c>
      <c r="D223" s="31" t="s">
        <v>724</v>
      </c>
      <c r="E223" s="31" t="s">
        <v>1974</v>
      </c>
      <c r="F223" s="30"/>
      <c r="G223" s="30"/>
      <c r="H223" s="30"/>
      <c r="I223" s="30" t="str">
        <f>VLOOKUP(D223,'Active Employees'!$B$2:$B$498,1,false)</f>
        <v>alex.hokanson@docker.com</v>
      </c>
      <c r="J223" s="33" t="s">
        <v>1469</v>
      </c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</row>
    <row r="224">
      <c r="A224" s="31">
        <v>6.89740959397E11</v>
      </c>
      <c r="B224" s="31" t="s">
        <v>2004</v>
      </c>
      <c r="C224" s="31" t="s">
        <v>1972</v>
      </c>
      <c r="D224" s="31" t="s">
        <v>724</v>
      </c>
      <c r="E224" s="31" t="s">
        <v>1974</v>
      </c>
      <c r="F224" s="30"/>
      <c r="G224" s="30"/>
      <c r="H224" s="30"/>
      <c r="I224" s="30" t="str">
        <f>VLOOKUP(D224,'Active Employees'!$B$2:$B$498,1,false)</f>
        <v>alex.hokanson@docker.com</v>
      </c>
      <c r="J224" s="33" t="s">
        <v>1469</v>
      </c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</row>
    <row r="225">
      <c r="A225" s="31">
        <v>7.10015040892E11</v>
      </c>
      <c r="B225" s="31" t="s">
        <v>2005</v>
      </c>
      <c r="C225" s="31" t="s">
        <v>1972</v>
      </c>
      <c r="D225" s="31" t="s">
        <v>724</v>
      </c>
      <c r="E225" s="31" t="s">
        <v>1974</v>
      </c>
      <c r="F225" s="30"/>
      <c r="G225" s="30"/>
      <c r="H225" s="30"/>
      <c r="I225" s="30" t="str">
        <f>VLOOKUP(D225,'Active Employees'!$B$2:$B$498,1,false)</f>
        <v>alex.hokanson@docker.com</v>
      </c>
      <c r="J225" s="33" t="s">
        <v>1469</v>
      </c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</row>
    <row r="226">
      <c r="A226" s="31">
        <v>7.15809519905E11</v>
      </c>
      <c r="B226" s="31" t="s">
        <v>2006</v>
      </c>
      <c r="C226" s="31" t="s">
        <v>1972</v>
      </c>
      <c r="D226" s="31" t="s">
        <v>724</v>
      </c>
      <c r="E226" s="31" t="s">
        <v>1974</v>
      </c>
      <c r="F226" s="30"/>
      <c r="G226" s="30"/>
      <c r="H226" s="30"/>
      <c r="I226" s="30" t="str">
        <f>VLOOKUP(D226,'Active Employees'!$B$2:$B$498,1,false)</f>
        <v>alex.hokanson@docker.com</v>
      </c>
      <c r="J226" s="33" t="s">
        <v>1469</v>
      </c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</row>
    <row r="227">
      <c r="A227" s="31">
        <v>7.25113757135E11</v>
      </c>
      <c r="B227" s="31" t="s">
        <v>2007</v>
      </c>
      <c r="C227" s="31" t="s">
        <v>1972</v>
      </c>
      <c r="D227" s="31" t="s">
        <v>724</v>
      </c>
      <c r="E227" s="31" t="s">
        <v>1974</v>
      </c>
      <c r="F227" s="30"/>
      <c r="G227" s="30"/>
      <c r="H227" s="30"/>
      <c r="I227" s="30" t="str">
        <f>VLOOKUP(D227,'Active Employees'!$B$2:$B$498,1,false)</f>
        <v>alex.hokanson@docker.com</v>
      </c>
      <c r="J227" s="33" t="s">
        <v>1469</v>
      </c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</row>
    <row r="228">
      <c r="A228" s="31">
        <v>7.41686272442E11</v>
      </c>
      <c r="B228" s="31" t="s">
        <v>2008</v>
      </c>
      <c r="C228" s="31" t="s">
        <v>1972</v>
      </c>
      <c r="D228" s="31" t="s">
        <v>724</v>
      </c>
      <c r="E228" s="31" t="s">
        <v>1974</v>
      </c>
      <c r="F228" s="30"/>
      <c r="G228" s="30"/>
      <c r="H228" s="30"/>
      <c r="I228" s="30" t="str">
        <f>VLOOKUP(D228,'Active Employees'!$B$2:$B$498,1,false)</f>
        <v>alex.hokanson@docker.com</v>
      </c>
      <c r="J228" s="33" t="s">
        <v>1469</v>
      </c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</row>
    <row r="229">
      <c r="A229" s="31">
        <v>8.01373416553E11</v>
      </c>
      <c r="B229" s="31" t="s">
        <v>2009</v>
      </c>
      <c r="C229" s="31" t="s">
        <v>1972</v>
      </c>
      <c r="D229" s="31" t="s">
        <v>724</v>
      </c>
      <c r="E229" s="31" t="s">
        <v>1974</v>
      </c>
      <c r="F229" s="30"/>
      <c r="G229" s="30"/>
      <c r="H229" s="30"/>
      <c r="I229" s="30" t="str">
        <f>VLOOKUP(D229,'Active Employees'!$B$2:$B$498,1,false)</f>
        <v>alex.hokanson@docker.com</v>
      </c>
      <c r="J229" s="33" t="s">
        <v>1469</v>
      </c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</row>
    <row r="230">
      <c r="A230" s="31">
        <v>8.37880040897E11</v>
      </c>
      <c r="B230" s="31" t="s">
        <v>2010</v>
      </c>
      <c r="C230" s="31" t="s">
        <v>1972</v>
      </c>
      <c r="D230" s="31" t="s">
        <v>724</v>
      </c>
      <c r="E230" s="31" t="s">
        <v>1974</v>
      </c>
      <c r="F230" s="30"/>
      <c r="G230" s="30"/>
      <c r="H230" s="30"/>
      <c r="I230" s="30" t="str">
        <f>VLOOKUP(D230,'Active Employees'!$B$2:$B$498,1,false)</f>
        <v>alex.hokanson@docker.com</v>
      </c>
      <c r="J230" s="33" t="s">
        <v>1469</v>
      </c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</row>
    <row r="231">
      <c r="A231" s="31">
        <v>8.66613861722E11</v>
      </c>
      <c r="B231" s="31" t="s">
        <v>2011</v>
      </c>
      <c r="C231" s="31" t="s">
        <v>1972</v>
      </c>
      <c r="D231" s="31" t="s">
        <v>724</v>
      </c>
      <c r="E231" s="31" t="s">
        <v>1974</v>
      </c>
      <c r="F231" s="30"/>
      <c r="G231" s="30"/>
      <c r="H231" s="30"/>
      <c r="I231" s="30" t="str">
        <f>VLOOKUP(D231,'Active Employees'!$B$2:$B$498,1,false)</f>
        <v>alex.hokanson@docker.com</v>
      </c>
      <c r="J231" s="33" t="s">
        <v>1469</v>
      </c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</row>
    <row r="232">
      <c r="A232" s="31">
        <v>8.7100165961E11</v>
      </c>
      <c r="B232" s="31" t="s">
        <v>2012</v>
      </c>
      <c r="C232" s="31" t="s">
        <v>1972</v>
      </c>
      <c r="D232" s="31" t="s">
        <v>724</v>
      </c>
      <c r="E232" s="31" t="s">
        <v>1974</v>
      </c>
      <c r="F232" s="30"/>
      <c r="G232" s="30"/>
      <c r="H232" s="30"/>
      <c r="I232" s="30" t="str">
        <f>VLOOKUP(D232,'Active Employees'!$B$2:$B$498,1,false)</f>
        <v>alex.hokanson@docker.com</v>
      </c>
      <c r="J232" s="33" t="s">
        <v>1469</v>
      </c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</row>
    <row r="233">
      <c r="A233" s="31">
        <v>8.82892008441E11</v>
      </c>
      <c r="B233" s="31" t="s">
        <v>2013</v>
      </c>
      <c r="C233" s="31" t="s">
        <v>1972</v>
      </c>
      <c r="D233" s="31" t="s">
        <v>724</v>
      </c>
      <c r="E233" s="31" t="s">
        <v>1974</v>
      </c>
      <c r="F233" s="30"/>
      <c r="G233" s="30"/>
      <c r="H233" s="30"/>
      <c r="I233" s="30" t="str">
        <f>VLOOKUP(D233,'Active Employees'!$B$2:$B$498,1,false)</f>
        <v>alex.hokanson@docker.com</v>
      </c>
      <c r="J233" s="33" t="s">
        <v>1469</v>
      </c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</row>
    <row r="234">
      <c r="A234" s="31">
        <v>8.88577047425E11</v>
      </c>
      <c r="B234" s="31" t="s">
        <v>2014</v>
      </c>
      <c r="C234" s="31" t="s">
        <v>1972</v>
      </c>
      <c r="D234" s="31" t="s">
        <v>724</v>
      </c>
      <c r="E234" s="31" t="s">
        <v>1974</v>
      </c>
      <c r="F234" s="30"/>
      <c r="G234" s="30"/>
      <c r="H234" s="30"/>
      <c r="I234" s="30" t="str">
        <f>VLOOKUP(D234,'Active Employees'!$B$2:$B$498,1,false)</f>
        <v>alex.hokanson@docker.com</v>
      </c>
      <c r="J234" s="33" t="s">
        <v>1469</v>
      </c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</row>
    <row r="235">
      <c r="A235" s="31">
        <v>8.91377047271E11</v>
      </c>
      <c r="B235" s="31" t="s">
        <v>2015</v>
      </c>
      <c r="C235" s="31" t="s">
        <v>1972</v>
      </c>
      <c r="D235" s="31" t="s">
        <v>724</v>
      </c>
      <c r="E235" s="31" t="s">
        <v>1974</v>
      </c>
      <c r="F235" s="30"/>
      <c r="G235" s="30"/>
      <c r="H235" s="30"/>
      <c r="I235" s="30" t="str">
        <f>VLOOKUP(D235,'Active Employees'!$B$2:$B$498,1,false)</f>
        <v>alex.hokanson@docker.com</v>
      </c>
      <c r="J235" s="33" t="s">
        <v>1469</v>
      </c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</row>
    <row r="236">
      <c r="A236" s="31">
        <v>9.03032050004E11</v>
      </c>
      <c r="B236" s="31" t="s">
        <v>2016</v>
      </c>
      <c r="C236" s="31" t="s">
        <v>1972</v>
      </c>
      <c r="D236" s="31" t="s">
        <v>724</v>
      </c>
      <c r="E236" s="31" t="s">
        <v>1974</v>
      </c>
      <c r="F236" s="30"/>
      <c r="G236" s="30"/>
      <c r="H236" s="30"/>
      <c r="I236" s="30" t="str">
        <f>VLOOKUP(D236,'Active Employees'!$B$2:$B$498,1,false)</f>
        <v>alex.hokanson@docker.com</v>
      </c>
      <c r="J236" s="33" t="s">
        <v>1469</v>
      </c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</row>
    <row r="237">
      <c r="A237" s="31">
        <v>9.03773873662E11</v>
      </c>
      <c r="B237" s="31" t="s">
        <v>2017</v>
      </c>
      <c r="C237" s="31" t="s">
        <v>1972</v>
      </c>
      <c r="D237" s="31" t="s">
        <v>724</v>
      </c>
      <c r="E237" s="31" t="s">
        <v>1974</v>
      </c>
      <c r="F237" s="30"/>
      <c r="G237" s="30"/>
      <c r="H237" s="30"/>
      <c r="I237" s="30" t="str">
        <f>VLOOKUP(D237,'Active Employees'!$B$2:$B$498,1,false)</f>
        <v>alex.hokanson@docker.com</v>
      </c>
      <c r="J237" s="33" t="s">
        <v>1469</v>
      </c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</row>
    <row r="238">
      <c r="A238" s="31">
        <v>9.12777366807E11</v>
      </c>
      <c r="B238" s="31" t="s">
        <v>2018</v>
      </c>
      <c r="C238" s="31" t="s">
        <v>1972</v>
      </c>
      <c r="D238" s="31" t="s">
        <v>724</v>
      </c>
      <c r="E238" s="31" t="s">
        <v>1974</v>
      </c>
      <c r="F238" s="30"/>
      <c r="G238" s="30"/>
      <c r="H238" s="30"/>
      <c r="I238" s="30" t="str">
        <f>VLOOKUP(D238,'Active Employees'!$B$2:$B$498,1,false)</f>
        <v>alex.hokanson@docker.com</v>
      </c>
      <c r="J238" s="33" t="s">
        <v>1469</v>
      </c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</row>
    <row r="239">
      <c r="A239" s="31">
        <v>9.58563233736E11</v>
      </c>
      <c r="B239" s="31" t="s">
        <v>2019</v>
      </c>
      <c r="C239" s="31" t="s">
        <v>1972</v>
      </c>
      <c r="D239" s="31" t="s">
        <v>724</v>
      </c>
      <c r="E239" s="31" t="s">
        <v>1974</v>
      </c>
      <c r="F239" s="30"/>
      <c r="G239" s="30"/>
      <c r="H239" s="30"/>
      <c r="I239" s="30" t="str">
        <f>VLOOKUP(D239,'Active Employees'!$B$2:$B$498,1,false)</f>
        <v>alex.hokanson@docker.com</v>
      </c>
      <c r="J239" s="33" t="s">
        <v>1469</v>
      </c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</row>
    <row r="240">
      <c r="A240" s="31">
        <v>9.75050170311E11</v>
      </c>
      <c r="B240" s="31" t="s">
        <v>2020</v>
      </c>
      <c r="C240" s="31" t="s">
        <v>1972</v>
      </c>
      <c r="D240" s="31" t="s">
        <v>724</v>
      </c>
      <c r="E240" s="31" t="s">
        <v>1974</v>
      </c>
      <c r="F240" s="30"/>
      <c r="G240" s="30"/>
      <c r="H240" s="30"/>
      <c r="I240" s="30" t="str">
        <f>VLOOKUP(D240,'Active Employees'!$B$2:$B$498,1,false)</f>
        <v>alex.hokanson@docker.com</v>
      </c>
      <c r="J240" s="33" t="s">
        <v>1469</v>
      </c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</row>
    <row r="241">
      <c r="A241" s="31">
        <v>9.91137750147E11</v>
      </c>
      <c r="B241" s="31" t="s">
        <v>2021</v>
      </c>
      <c r="C241" s="31" t="s">
        <v>1972</v>
      </c>
      <c r="D241" s="31" t="s">
        <v>724</v>
      </c>
      <c r="E241" s="31" t="s">
        <v>1974</v>
      </c>
      <c r="F241" s="30"/>
      <c r="G241" s="30"/>
      <c r="H241" s="30"/>
      <c r="I241" s="30" t="str">
        <f>VLOOKUP(D241,'Active Employees'!$B$2:$B$498,1,false)</f>
        <v>alex.hokanson@docker.com</v>
      </c>
      <c r="J241" s="33" t="s">
        <v>1469</v>
      </c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</row>
    <row r="242">
      <c r="A242" s="31">
        <v>1.0438487392E10</v>
      </c>
      <c r="B242" s="31" t="s">
        <v>1971</v>
      </c>
      <c r="C242" s="31" t="s">
        <v>1972</v>
      </c>
      <c r="D242" s="31" t="s">
        <v>1006</v>
      </c>
      <c r="E242" s="31" t="s">
        <v>1974</v>
      </c>
      <c r="F242" s="30"/>
      <c r="G242" s="30"/>
      <c r="H242" s="30"/>
      <c r="I242" s="30" t="str">
        <f>VLOOKUP(D242,'Active Employees'!$B$2:$B$498,1,false)</f>
        <v>dave.morris@docker.com</v>
      </c>
      <c r="J242" s="33" t="s">
        <v>1469</v>
      </c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</row>
    <row r="243">
      <c r="A243" s="31">
        <v>4.7302296459E10</v>
      </c>
      <c r="B243" s="31" t="s">
        <v>1975</v>
      </c>
      <c r="C243" s="31" t="s">
        <v>1972</v>
      </c>
      <c r="D243" s="31" t="s">
        <v>1006</v>
      </c>
      <c r="E243" s="31" t="s">
        <v>1974</v>
      </c>
      <c r="F243" s="30"/>
      <c r="G243" s="30"/>
      <c r="H243" s="30"/>
      <c r="I243" s="30" t="str">
        <f>VLOOKUP(D243,'Active Employees'!$B$2:$B$498,1,false)</f>
        <v>dave.morris@docker.com</v>
      </c>
      <c r="J243" s="33" t="s">
        <v>1469</v>
      </c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</row>
    <row r="244">
      <c r="A244" s="31">
        <v>5.8264503038E10</v>
      </c>
      <c r="B244" s="31" t="s">
        <v>1976</v>
      </c>
      <c r="C244" s="31" t="s">
        <v>1972</v>
      </c>
      <c r="D244" s="31" t="s">
        <v>1006</v>
      </c>
      <c r="E244" s="31" t="s">
        <v>1974</v>
      </c>
      <c r="F244" s="30"/>
      <c r="G244" s="30"/>
      <c r="H244" s="30"/>
      <c r="I244" s="30" t="str">
        <f>VLOOKUP(D244,'Active Employees'!$B$2:$B$498,1,false)</f>
        <v>dave.morris@docker.com</v>
      </c>
      <c r="J244" s="33" t="s">
        <v>1469</v>
      </c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</row>
    <row r="245">
      <c r="A245" s="31">
        <v>9.9407438094E10</v>
      </c>
      <c r="B245" s="31" t="s">
        <v>1977</v>
      </c>
      <c r="C245" s="31" t="s">
        <v>1972</v>
      </c>
      <c r="D245" s="31" t="s">
        <v>1006</v>
      </c>
      <c r="E245" s="31" t="s">
        <v>1974</v>
      </c>
      <c r="F245" s="30"/>
      <c r="G245" s="30"/>
      <c r="H245" s="30"/>
      <c r="I245" s="30" t="str">
        <f>VLOOKUP(D245,'Active Employees'!$B$2:$B$498,1,false)</f>
        <v>dave.morris@docker.com</v>
      </c>
      <c r="J245" s="33" t="s">
        <v>1469</v>
      </c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</row>
    <row r="246">
      <c r="A246" s="31">
        <v>1.11664719423E11</v>
      </c>
      <c r="B246" s="31" t="s">
        <v>1978</v>
      </c>
      <c r="C246" s="31" t="s">
        <v>1972</v>
      </c>
      <c r="D246" s="31" t="s">
        <v>1006</v>
      </c>
      <c r="E246" s="31" t="s">
        <v>1974</v>
      </c>
      <c r="F246" s="30"/>
      <c r="G246" s="30"/>
      <c r="H246" s="30"/>
      <c r="I246" s="30" t="str">
        <f>VLOOKUP(D246,'Active Employees'!$B$2:$B$498,1,false)</f>
        <v>dave.morris@docker.com</v>
      </c>
      <c r="J246" s="33" t="s">
        <v>1469</v>
      </c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</row>
    <row r="247">
      <c r="A247" s="31">
        <v>1.75142243308E11</v>
      </c>
      <c r="B247" s="31" t="s">
        <v>1979</v>
      </c>
      <c r="C247" s="31" t="s">
        <v>1972</v>
      </c>
      <c r="D247" s="31" t="s">
        <v>1006</v>
      </c>
      <c r="E247" s="31" t="s">
        <v>1974</v>
      </c>
      <c r="F247" s="30"/>
      <c r="G247" s="30"/>
      <c r="H247" s="30"/>
      <c r="I247" s="30" t="str">
        <f>VLOOKUP(D247,'Active Employees'!$B$2:$B$498,1,false)</f>
        <v>dave.morris@docker.com</v>
      </c>
      <c r="J247" s="33" t="s">
        <v>1469</v>
      </c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</row>
    <row r="248">
      <c r="A248" s="31">
        <v>2.67155176707E11</v>
      </c>
      <c r="B248" s="31" t="s">
        <v>1980</v>
      </c>
      <c r="C248" s="31" t="s">
        <v>1972</v>
      </c>
      <c r="D248" s="31" t="s">
        <v>1006</v>
      </c>
      <c r="E248" s="31" t="s">
        <v>1974</v>
      </c>
      <c r="F248" s="30"/>
      <c r="G248" s="30"/>
      <c r="H248" s="30"/>
      <c r="I248" s="30" t="str">
        <f>VLOOKUP(D248,'Active Employees'!$B$2:$B$498,1,false)</f>
        <v>dave.morris@docker.com</v>
      </c>
      <c r="J248" s="33" t="s">
        <v>1469</v>
      </c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</row>
    <row r="249">
      <c r="A249" s="31">
        <v>2.77603989202E11</v>
      </c>
      <c r="B249" s="31" t="s">
        <v>1981</v>
      </c>
      <c r="C249" s="31" t="s">
        <v>1972</v>
      </c>
      <c r="D249" s="31" t="s">
        <v>1006</v>
      </c>
      <c r="E249" s="31" t="s">
        <v>1974</v>
      </c>
      <c r="F249" s="30"/>
      <c r="G249" s="30"/>
      <c r="H249" s="30"/>
      <c r="I249" s="30" t="str">
        <f>VLOOKUP(D249,'Active Employees'!$B$2:$B$498,1,false)</f>
        <v>dave.morris@docker.com</v>
      </c>
      <c r="J249" s="33" t="s">
        <v>1469</v>
      </c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</row>
    <row r="250">
      <c r="A250" s="31">
        <v>3.00042230143E11</v>
      </c>
      <c r="B250" s="31" t="s">
        <v>1982</v>
      </c>
      <c r="C250" s="31" t="s">
        <v>1972</v>
      </c>
      <c r="D250" s="31" t="s">
        <v>1006</v>
      </c>
      <c r="E250" s="31" t="s">
        <v>1974</v>
      </c>
      <c r="F250" s="30"/>
      <c r="G250" s="30"/>
      <c r="H250" s="30"/>
      <c r="I250" s="30" t="str">
        <f>VLOOKUP(D250,'Active Employees'!$B$2:$B$498,1,false)</f>
        <v>dave.morris@docker.com</v>
      </c>
      <c r="J250" s="33" t="s">
        <v>1469</v>
      </c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</row>
    <row r="251">
      <c r="A251" s="31">
        <v>3.0370012255E11</v>
      </c>
      <c r="B251" s="31" t="s">
        <v>1983</v>
      </c>
      <c r="C251" s="31" t="s">
        <v>1972</v>
      </c>
      <c r="D251" s="31" t="s">
        <v>1006</v>
      </c>
      <c r="E251" s="31" t="s">
        <v>1974</v>
      </c>
      <c r="F251" s="30"/>
      <c r="G251" s="30"/>
      <c r="H251" s="30"/>
      <c r="I251" s="30" t="str">
        <f>VLOOKUP(D251,'Active Employees'!$B$2:$B$498,1,false)</f>
        <v>dave.morris@docker.com</v>
      </c>
      <c r="J251" s="33" t="s">
        <v>1469</v>
      </c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</row>
    <row r="252">
      <c r="A252" s="31">
        <v>3.13121495448E11</v>
      </c>
      <c r="B252" s="31" t="s">
        <v>1984</v>
      </c>
      <c r="C252" s="31" t="s">
        <v>1972</v>
      </c>
      <c r="D252" s="31" t="s">
        <v>1006</v>
      </c>
      <c r="E252" s="31" t="s">
        <v>1974</v>
      </c>
      <c r="F252" s="30"/>
      <c r="G252" s="30"/>
      <c r="H252" s="30"/>
      <c r="I252" s="30" t="str">
        <f>VLOOKUP(D252,'Active Employees'!$B$2:$B$498,1,false)</f>
        <v>dave.morris@docker.com</v>
      </c>
      <c r="J252" s="33" t="s">
        <v>1469</v>
      </c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</row>
    <row r="253">
      <c r="A253" s="31">
        <v>3.18510287843E11</v>
      </c>
      <c r="B253" s="31" t="s">
        <v>1985</v>
      </c>
      <c r="C253" s="31" t="s">
        <v>1972</v>
      </c>
      <c r="D253" s="31" t="s">
        <v>1006</v>
      </c>
      <c r="E253" s="31" t="s">
        <v>1974</v>
      </c>
      <c r="F253" s="30"/>
      <c r="G253" s="30"/>
      <c r="H253" s="30"/>
      <c r="I253" s="30" t="str">
        <f>VLOOKUP(D253,'Active Employees'!$B$2:$B$498,1,false)</f>
        <v>dave.morris@docker.com</v>
      </c>
      <c r="J253" s="33" t="s">
        <v>1469</v>
      </c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</row>
    <row r="254">
      <c r="A254" s="31">
        <v>3.28193795291E11</v>
      </c>
      <c r="B254" s="31" t="s">
        <v>1579</v>
      </c>
      <c r="C254" s="31" t="s">
        <v>1972</v>
      </c>
      <c r="D254" s="31" t="s">
        <v>1006</v>
      </c>
      <c r="E254" s="31" t="s">
        <v>1974</v>
      </c>
      <c r="F254" s="30"/>
      <c r="G254" s="30"/>
      <c r="H254" s="30"/>
      <c r="I254" s="30" t="str">
        <f>VLOOKUP(D254,'Active Employees'!$B$2:$B$498,1,false)</f>
        <v>dave.morris@docker.com</v>
      </c>
      <c r="J254" s="33" t="s">
        <v>1469</v>
      </c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</row>
    <row r="255">
      <c r="A255" s="31">
        <v>3.45862510308E11</v>
      </c>
      <c r="B255" s="31" t="s">
        <v>1986</v>
      </c>
      <c r="C255" s="31" t="s">
        <v>1972</v>
      </c>
      <c r="D255" s="31" t="s">
        <v>1006</v>
      </c>
      <c r="E255" s="31" t="s">
        <v>1974</v>
      </c>
      <c r="F255" s="30"/>
      <c r="G255" s="30"/>
      <c r="H255" s="30"/>
      <c r="I255" s="30" t="str">
        <f>VLOOKUP(D255,'Active Employees'!$B$2:$B$498,1,false)</f>
        <v>dave.morris@docker.com</v>
      </c>
      <c r="J255" s="33" t="s">
        <v>1469</v>
      </c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</row>
    <row r="256">
      <c r="A256" s="31">
        <v>3.64430574006E11</v>
      </c>
      <c r="B256" s="31" t="s">
        <v>1987</v>
      </c>
      <c r="C256" s="31" t="s">
        <v>1972</v>
      </c>
      <c r="D256" s="31" t="s">
        <v>1006</v>
      </c>
      <c r="E256" s="31" t="s">
        <v>1974</v>
      </c>
      <c r="F256" s="30"/>
      <c r="G256" s="30"/>
      <c r="H256" s="30"/>
      <c r="I256" s="30" t="str">
        <f>VLOOKUP(D256,'Active Employees'!$B$2:$B$498,1,false)</f>
        <v>dave.morris@docker.com</v>
      </c>
      <c r="J256" s="33" t="s">
        <v>1469</v>
      </c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</row>
    <row r="257">
      <c r="A257" s="31">
        <v>3.98949996071E11</v>
      </c>
      <c r="B257" s="31" t="s">
        <v>1988</v>
      </c>
      <c r="C257" s="31" t="s">
        <v>1989</v>
      </c>
      <c r="D257" s="31" t="s">
        <v>1006</v>
      </c>
      <c r="E257" s="31" t="s">
        <v>1974</v>
      </c>
      <c r="F257" s="30"/>
      <c r="G257" s="30"/>
      <c r="H257" s="30"/>
      <c r="I257" s="30" t="str">
        <f>VLOOKUP(D257,'Active Employees'!$B$2:$B$498,1,false)</f>
        <v>dave.morris@docker.com</v>
      </c>
      <c r="J257" s="33" t="s">
        <v>1469</v>
      </c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</row>
    <row r="258">
      <c r="A258" s="31">
        <v>4.33192899833E11</v>
      </c>
      <c r="B258" s="31" t="s">
        <v>1990</v>
      </c>
      <c r="C258" s="31" t="s">
        <v>1972</v>
      </c>
      <c r="D258" s="31" t="s">
        <v>1006</v>
      </c>
      <c r="E258" s="31" t="s">
        <v>1974</v>
      </c>
      <c r="F258" s="30"/>
      <c r="G258" s="30"/>
      <c r="H258" s="30"/>
      <c r="I258" s="30" t="str">
        <f>VLOOKUP(D258,'Active Employees'!$B$2:$B$498,1,false)</f>
        <v>dave.morris@docker.com</v>
      </c>
      <c r="J258" s="33" t="s">
        <v>1469</v>
      </c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</row>
    <row r="259">
      <c r="A259" s="31">
        <v>4.47924746603E11</v>
      </c>
      <c r="B259" s="31" t="s">
        <v>1991</v>
      </c>
      <c r="C259" s="31" t="s">
        <v>1972</v>
      </c>
      <c r="D259" s="31" t="s">
        <v>1006</v>
      </c>
      <c r="E259" s="31" t="s">
        <v>1974</v>
      </c>
      <c r="F259" s="30"/>
      <c r="G259" s="30"/>
      <c r="H259" s="30"/>
      <c r="I259" s="30" t="str">
        <f>VLOOKUP(D259,'Active Employees'!$B$2:$B$498,1,false)</f>
        <v>dave.morris@docker.com</v>
      </c>
      <c r="J259" s="33" t="s">
        <v>1469</v>
      </c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</row>
    <row r="260">
      <c r="A260" s="31">
        <v>4.6347093944E11</v>
      </c>
      <c r="B260" s="31" t="s">
        <v>1992</v>
      </c>
      <c r="C260" s="31" t="s">
        <v>1972</v>
      </c>
      <c r="D260" s="31" t="s">
        <v>1006</v>
      </c>
      <c r="E260" s="31" t="s">
        <v>1974</v>
      </c>
      <c r="F260" s="30"/>
      <c r="G260" s="30"/>
      <c r="H260" s="30"/>
      <c r="I260" s="30" t="str">
        <f>VLOOKUP(D260,'Active Employees'!$B$2:$B$498,1,false)</f>
        <v>dave.morris@docker.com</v>
      </c>
      <c r="J260" s="33" t="s">
        <v>1469</v>
      </c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</row>
    <row r="261">
      <c r="A261" s="31">
        <v>4.77715925773E11</v>
      </c>
      <c r="B261" s="31" t="s">
        <v>1993</v>
      </c>
      <c r="C261" s="31" t="s">
        <v>1972</v>
      </c>
      <c r="D261" s="31" t="s">
        <v>1006</v>
      </c>
      <c r="E261" s="31" t="s">
        <v>1974</v>
      </c>
      <c r="F261" s="30"/>
      <c r="G261" s="30"/>
      <c r="H261" s="30"/>
      <c r="I261" s="30" t="str">
        <f>VLOOKUP(D261,'Active Employees'!$B$2:$B$498,1,false)</f>
        <v>dave.morris@docker.com</v>
      </c>
      <c r="J261" s="33" t="s">
        <v>1469</v>
      </c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</row>
    <row r="262">
      <c r="A262" s="31">
        <v>5.06620354984E11</v>
      </c>
      <c r="B262" s="31" t="s">
        <v>1994</v>
      </c>
      <c r="C262" s="31" t="s">
        <v>1972</v>
      </c>
      <c r="D262" s="31" t="s">
        <v>1006</v>
      </c>
      <c r="E262" s="31" t="s">
        <v>1974</v>
      </c>
      <c r="F262" s="30"/>
      <c r="G262" s="30"/>
      <c r="H262" s="30"/>
      <c r="I262" s="30" t="str">
        <f>VLOOKUP(D262,'Active Employees'!$B$2:$B$498,1,false)</f>
        <v>dave.morris@docker.com</v>
      </c>
      <c r="J262" s="33" t="s">
        <v>1469</v>
      </c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</row>
    <row r="263">
      <c r="A263" s="31">
        <v>5.39272219385E11</v>
      </c>
      <c r="B263" s="31" t="s">
        <v>1995</v>
      </c>
      <c r="C263" s="31" t="s">
        <v>1972</v>
      </c>
      <c r="D263" s="31" t="s">
        <v>1006</v>
      </c>
      <c r="E263" s="31" t="s">
        <v>1974</v>
      </c>
      <c r="F263" s="30"/>
      <c r="G263" s="30"/>
      <c r="H263" s="30"/>
      <c r="I263" s="30" t="str">
        <f>VLOOKUP(D263,'Active Employees'!$B$2:$B$498,1,false)</f>
        <v>dave.morris@docker.com</v>
      </c>
      <c r="J263" s="33" t="s">
        <v>1469</v>
      </c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</row>
    <row r="264">
      <c r="A264" s="31">
        <v>5.40898635624E11</v>
      </c>
      <c r="B264" s="31" t="s">
        <v>1996</v>
      </c>
      <c r="C264" s="31" t="s">
        <v>1972</v>
      </c>
      <c r="D264" s="31" t="s">
        <v>1006</v>
      </c>
      <c r="E264" s="31" t="s">
        <v>1974</v>
      </c>
      <c r="F264" s="30"/>
      <c r="G264" s="30"/>
      <c r="H264" s="30"/>
      <c r="I264" s="30" t="str">
        <f>VLOOKUP(D264,'Active Employees'!$B$2:$B$498,1,false)</f>
        <v>dave.morris@docker.com</v>
      </c>
      <c r="J264" s="33" t="s">
        <v>1469</v>
      </c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</row>
    <row r="265">
      <c r="A265" s="31">
        <v>6.02326734147E11</v>
      </c>
      <c r="B265" s="31" t="s">
        <v>1997</v>
      </c>
      <c r="C265" s="31" t="s">
        <v>1972</v>
      </c>
      <c r="D265" s="31" t="s">
        <v>1006</v>
      </c>
      <c r="E265" s="31" t="s">
        <v>1974</v>
      </c>
      <c r="F265" s="30"/>
      <c r="G265" s="30"/>
      <c r="H265" s="30"/>
      <c r="I265" s="30" t="str">
        <f>VLOOKUP(D265,'Active Employees'!$B$2:$B$498,1,false)</f>
        <v>dave.morris@docker.com</v>
      </c>
      <c r="J265" s="33" t="s">
        <v>1469</v>
      </c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</row>
    <row r="266">
      <c r="A266" s="31">
        <v>6.22992712626E11</v>
      </c>
      <c r="B266" s="31" t="s">
        <v>1998</v>
      </c>
      <c r="C266" s="31" t="s">
        <v>1972</v>
      </c>
      <c r="D266" s="31" t="s">
        <v>1006</v>
      </c>
      <c r="E266" s="31" t="s">
        <v>1974</v>
      </c>
      <c r="F266" s="30"/>
      <c r="G266" s="30"/>
      <c r="H266" s="30"/>
      <c r="I266" s="30" t="str">
        <f>VLOOKUP(D266,'Active Employees'!$B$2:$B$498,1,false)</f>
        <v>dave.morris@docker.com</v>
      </c>
      <c r="J266" s="33" t="s">
        <v>1469</v>
      </c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</row>
    <row r="267">
      <c r="A267" s="31">
        <v>6.37423373108E11</v>
      </c>
      <c r="B267" s="31" t="s">
        <v>1999</v>
      </c>
      <c r="C267" s="31" t="s">
        <v>1972</v>
      </c>
      <c r="D267" s="31" t="s">
        <v>1006</v>
      </c>
      <c r="E267" s="31" t="s">
        <v>1974</v>
      </c>
      <c r="F267" s="30"/>
      <c r="G267" s="30"/>
      <c r="H267" s="30"/>
      <c r="I267" s="30" t="str">
        <f>VLOOKUP(D267,'Active Employees'!$B$2:$B$498,1,false)</f>
        <v>dave.morris@docker.com</v>
      </c>
      <c r="J267" s="33" t="s">
        <v>1469</v>
      </c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</row>
    <row r="268">
      <c r="A268" s="31">
        <v>6.53834391849E11</v>
      </c>
      <c r="B268" s="31" t="s">
        <v>2000</v>
      </c>
      <c r="C268" s="31" t="s">
        <v>1972</v>
      </c>
      <c r="D268" s="31" t="s">
        <v>1006</v>
      </c>
      <c r="E268" s="31" t="s">
        <v>1974</v>
      </c>
      <c r="F268" s="30"/>
      <c r="G268" s="30"/>
      <c r="H268" s="30"/>
      <c r="I268" s="30" t="str">
        <f>VLOOKUP(D268,'Active Employees'!$B$2:$B$498,1,false)</f>
        <v>dave.morris@docker.com</v>
      </c>
      <c r="J268" s="33" t="s">
        <v>1469</v>
      </c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</row>
    <row r="269">
      <c r="A269" s="31">
        <v>6.54089975909E11</v>
      </c>
      <c r="B269" s="31" t="s">
        <v>2001</v>
      </c>
      <c r="C269" s="31" t="s">
        <v>1972</v>
      </c>
      <c r="D269" s="31" t="s">
        <v>1006</v>
      </c>
      <c r="E269" s="31" t="s">
        <v>1974</v>
      </c>
      <c r="F269" s="30"/>
      <c r="G269" s="30"/>
      <c r="H269" s="30"/>
      <c r="I269" s="30" t="str">
        <f>VLOOKUP(D269,'Active Employees'!$B$2:$B$498,1,false)</f>
        <v>dave.morris@docker.com</v>
      </c>
      <c r="J269" s="33" t="s">
        <v>1469</v>
      </c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</row>
    <row r="270">
      <c r="A270" s="31">
        <v>6.54654578585E11</v>
      </c>
      <c r="B270" s="31" t="s">
        <v>2002</v>
      </c>
      <c r="C270" s="31" t="s">
        <v>1972</v>
      </c>
      <c r="D270" s="31" t="s">
        <v>1006</v>
      </c>
      <c r="E270" s="31" t="s">
        <v>1974</v>
      </c>
      <c r="F270" s="30"/>
      <c r="G270" s="30"/>
      <c r="H270" s="30"/>
      <c r="I270" s="30" t="str">
        <f>VLOOKUP(D270,'Active Employees'!$B$2:$B$498,1,false)</f>
        <v>dave.morris@docker.com</v>
      </c>
      <c r="J270" s="33" t="s">
        <v>1469</v>
      </c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</row>
    <row r="271">
      <c r="A271" s="31">
        <v>6.76043725699E11</v>
      </c>
      <c r="B271" s="31" t="s">
        <v>2003</v>
      </c>
      <c r="C271" s="31" t="s">
        <v>1972</v>
      </c>
      <c r="D271" s="31" t="s">
        <v>1006</v>
      </c>
      <c r="E271" s="31" t="s">
        <v>1974</v>
      </c>
      <c r="F271" s="30"/>
      <c r="G271" s="30"/>
      <c r="H271" s="30"/>
      <c r="I271" s="30" t="str">
        <f>VLOOKUP(D271,'Active Employees'!$B$2:$B$498,1,false)</f>
        <v>dave.morris@docker.com</v>
      </c>
      <c r="J271" s="33" t="s">
        <v>1469</v>
      </c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</row>
    <row r="272">
      <c r="A272" s="31">
        <v>6.89740959397E11</v>
      </c>
      <c r="B272" s="31" t="s">
        <v>2004</v>
      </c>
      <c r="C272" s="31" t="s">
        <v>1972</v>
      </c>
      <c r="D272" s="31" t="s">
        <v>1006</v>
      </c>
      <c r="E272" s="31" t="s">
        <v>1974</v>
      </c>
      <c r="F272" s="30"/>
      <c r="G272" s="30"/>
      <c r="H272" s="30"/>
      <c r="I272" s="30" t="str">
        <f>VLOOKUP(D272,'Active Employees'!$B$2:$B$498,1,false)</f>
        <v>dave.morris@docker.com</v>
      </c>
      <c r="J272" s="33" t="s">
        <v>1469</v>
      </c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</row>
    <row r="273">
      <c r="A273" s="31">
        <v>7.10015040892E11</v>
      </c>
      <c r="B273" s="31" t="s">
        <v>2005</v>
      </c>
      <c r="C273" s="31" t="s">
        <v>1972</v>
      </c>
      <c r="D273" s="31" t="s">
        <v>1006</v>
      </c>
      <c r="E273" s="31" t="s">
        <v>1974</v>
      </c>
      <c r="F273" s="30"/>
      <c r="G273" s="30"/>
      <c r="H273" s="30"/>
      <c r="I273" s="30" t="str">
        <f>VLOOKUP(D273,'Active Employees'!$B$2:$B$498,1,false)</f>
        <v>dave.morris@docker.com</v>
      </c>
      <c r="J273" s="33" t="s">
        <v>1469</v>
      </c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</row>
    <row r="274">
      <c r="A274" s="31">
        <v>7.15809519905E11</v>
      </c>
      <c r="B274" s="31" t="s">
        <v>2006</v>
      </c>
      <c r="C274" s="31" t="s">
        <v>1972</v>
      </c>
      <c r="D274" s="31" t="s">
        <v>1006</v>
      </c>
      <c r="E274" s="31" t="s">
        <v>1974</v>
      </c>
      <c r="F274" s="30"/>
      <c r="G274" s="30"/>
      <c r="H274" s="30"/>
      <c r="I274" s="30" t="str">
        <f>VLOOKUP(D274,'Active Employees'!$B$2:$B$498,1,false)</f>
        <v>dave.morris@docker.com</v>
      </c>
      <c r="J274" s="33" t="s">
        <v>1469</v>
      </c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</row>
    <row r="275">
      <c r="A275" s="31">
        <v>7.25113757135E11</v>
      </c>
      <c r="B275" s="31" t="s">
        <v>2007</v>
      </c>
      <c r="C275" s="31" t="s">
        <v>1972</v>
      </c>
      <c r="D275" s="31" t="s">
        <v>1006</v>
      </c>
      <c r="E275" s="31" t="s">
        <v>1974</v>
      </c>
      <c r="F275" s="30"/>
      <c r="G275" s="30"/>
      <c r="H275" s="30"/>
      <c r="I275" s="30" t="str">
        <f>VLOOKUP(D275,'Active Employees'!$B$2:$B$498,1,false)</f>
        <v>dave.morris@docker.com</v>
      </c>
      <c r="J275" s="33" t="s">
        <v>1469</v>
      </c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</row>
    <row r="276">
      <c r="A276" s="31">
        <v>7.41686272442E11</v>
      </c>
      <c r="B276" s="31" t="s">
        <v>2008</v>
      </c>
      <c r="C276" s="31" t="s">
        <v>1972</v>
      </c>
      <c r="D276" s="31" t="s">
        <v>1006</v>
      </c>
      <c r="E276" s="31" t="s">
        <v>1974</v>
      </c>
      <c r="F276" s="30"/>
      <c r="G276" s="30"/>
      <c r="H276" s="30"/>
      <c r="I276" s="30" t="str">
        <f>VLOOKUP(D276,'Active Employees'!$B$2:$B$498,1,false)</f>
        <v>dave.morris@docker.com</v>
      </c>
      <c r="J276" s="33" t="s">
        <v>1469</v>
      </c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</row>
    <row r="277">
      <c r="A277" s="31">
        <v>8.01373416553E11</v>
      </c>
      <c r="B277" s="31" t="s">
        <v>2009</v>
      </c>
      <c r="C277" s="31" t="s">
        <v>1972</v>
      </c>
      <c r="D277" s="31" t="s">
        <v>1006</v>
      </c>
      <c r="E277" s="31" t="s">
        <v>1974</v>
      </c>
      <c r="F277" s="30"/>
      <c r="G277" s="30"/>
      <c r="H277" s="30"/>
      <c r="I277" s="30" t="str">
        <f>VLOOKUP(D277,'Active Employees'!$B$2:$B$498,1,false)</f>
        <v>dave.morris@docker.com</v>
      </c>
      <c r="J277" s="33" t="s">
        <v>1469</v>
      </c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</row>
    <row r="278">
      <c r="A278" s="31">
        <v>8.37880040897E11</v>
      </c>
      <c r="B278" s="31" t="s">
        <v>2010</v>
      </c>
      <c r="C278" s="31" t="s">
        <v>1972</v>
      </c>
      <c r="D278" s="31" t="s">
        <v>1006</v>
      </c>
      <c r="E278" s="31" t="s">
        <v>1974</v>
      </c>
      <c r="F278" s="30"/>
      <c r="G278" s="30"/>
      <c r="H278" s="30"/>
      <c r="I278" s="30" t="str">
        <f>VLOOKUP(D278,'Active Employees'!$B$2:$B$498,1,false)</f>
        <v>dave.morris@docker.com</v>
      </c>
      <c r="J278" s="33" t="s">
        <v>1469</v>
      </c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</row>
    <row r="279">
      <c r="A279" s="31">
        <v>8.66613861722E11</v>
      </c>
      <c r="B279" s="31" t="s">
        <v>2011</v>
      </c>
      <c r="C279" s="31" t="s">
        <v>1972</v>
      </c>
      <c r="D279" s="31" t="s">
        <v>1006</v>
      </c>
      <c r="E279" s="31" t="s">
        <v>1974</v>
      </c>
      <c r="F279" s="30"/>
      <c r="G279" s="30"/>
      <c r="H279" s="30"/>
      <c r="I279" s="30" t="str">
        <f>VLOOKUP(D279,'Active Employees'!$B$2:$B$498,1,false)</f>
        <v>dave.morris@docker.com</v>
      </c>
      <c r="J279" s="33" t="s">
        <v>1469</v>
      </c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</row>
    <row r="280">
      <c r="A280" s="31">
        <v>8.7100165961E11</v>
      </c>
      <c r="B280" s="31" t="s">
        <v>2012</v>
      </c>
      <c r="C280" s="31" t="s">
        <v>1972</v>
      </c>
      <c r="D280" s="31" t="s">
        <v>1006</v>
      </c>
      <c r="E280" s="31" t="s">
        <v>1974</v>
      </c>
      <c r="F280" s="30"/>
      <c r="G280" s="30"/>
      <c r="H280" s="30"/>
      <c r="I280" s="30" t="str">
        <f>VLOOKUP(D280,'Active Employees'!$B$2:$B$498,1,false)</f>
        <v>dave.morris@docker.com</v>
      </c>
      <c r="J280" s="33" t="s">
        <v>1469</v>
      </c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</row>
    <row r="281">
      <c r="A281" s="31">
        <v>8.82892008441E11</v>
      </c>
      <c r="B281" s="31" t="s">
        <v>2013</v>
      </c>
      <c r="C281" s="31" t="s">
        <v>1972</v>
      </c>
      <c r="D281" s="31" t="s">
        <v>1006</v>
      </c>
      <c r="E281" s="31" t="s">
        <v>1974</v>
      </c>
      <c r="F281" s="30"/>
      <c r="G281" s="30"/>
      <c r="H281" s="30"/>
      <c r="I281" s="30" t="str">
        <f>VLOOKUP(D281,'Active Employees'!$B$2:$B$498,1,false)</f>
        <v>dave.morris@docker.com</v>
      </c>
      <c r="J281" s="33" t="s">
        <v>1469</v>
      </c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</row>
    <row r="282">
      <c r="A282" s="31">
        <v>8.88577047425E11</v>
      </c>
      <c r="B282" s="31" t="s">
        <v>2014</v>
      </c>
      <c r="C282" s="31" t="s">
        <v>1972</v>
      </c>
      <c r="D282" s="31" t="s">
        <v>1006</v>
      </c>
      <c r="E282" s="31" t="s">
        <v>1974</v>
      </c>
      <c r="F282" s="30"/>
      <c r="G282" s="30"/>
      <c r="H282" s="30"/>
      <c r="I282" s="30" t="str">
        <f>VLOOKUP(D282,'Active Employees'!$B$2:$B$498,1,false)</f>
        <v>dave.morris@docker.com</v>
      </c>
      <c r="J282" s="33" t="s">
        <v>1469</v>
      </c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</row>
    <row r="283">
      <c r="A283" s="31">
        <v>8.91377047271E11</v>
      </c>
      <c r="B283" s="31" t="s">
        <v>2015</v>
      </c>
      <c r="C283" s="31" t="s">
        <v>1972</v>
      </c>
      <c r="D283" s="31" t="s">
        <v>1006</v>
      </c>
      <c r="E283" s="31" t="s">
        <v>1974</v>
      </c>
      <c r="F283" s="30"/>
      <c r="G283" s="30"/>
      <c r="H283" s="30"/>
      <c r="I283" s="30" t="str">
        <f>VLOOKUP(D283,'Active Employees'!$B$2:$B$498,1,false)</f>
        <v>dave.morris@docker.com</v>
      </c>
      <c r="J283" s="33" t="s">
        <v>1469</v>
      </c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</row>
    <row r="284">
      <c r="A284" s="31">
        <v>9.03032050004E11</v>
      </c>
      <c r="B284" s="31" t="s">
        <v>2016</v>
      </c>
      <c r="C284" s="31" t="s">
        <v>1972</v>
      </c>
      <c r="D284" s="31" t="s">
        <v>1006</v>
      </c>
      <c r="E284" s="31" t="s">
        <v>1974</v>
      </c>
      <c r="F284" s="30"/>
      <c r="G284" s="30"/>
      <c r="H284" s="30"/>
      <c r="I284" s="30" t="str">
        <f>VLOOKUP(D284,'Active Employees'!$B$2:$B$498,1,false)</f>
        <v>dave.morris@docker.com</v>
      </c>
      <c r="J284" s="33" t="s">
        <v>1469</v>
      </c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</row>
    <row r="285">
      <c r="A285" s="31">
        <v>9.03773873662E11</v>
      </c>
      <c r="B285" s="31" t="s">
        <v>2017</v>
      </c>
      <c r="C285" s="31" t="s">
        <v>1972</v>
      </c>
      <c r="D285" s="31" t="s">
        <v>1006</v>
      </c>
      <c r="E285" s="31" t="s">
        <v>1974</v>
      </c>
      <c r="F285" s="30"/>
      <c r="G285" s="30"/>
      <c r="H285" s="30"/>
      <c r="I285" s="30" t="str">
        <f>VLOOKUP(D285,'Active Employees'!$B$2:$B$498,1,false)</f>
        <v>dave.morris@docker.com</v>
      </c>
      <c r="J285" s="33" t="s">
        <v>1469</v>
      </c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</row>
    <row r="286">
      <c r="A286" s="31">
        <v>9.12777366807E11</v>
      </c>
      <c r="B286" s="31" t="s">
        <v>2018</v>
      </c>
      <c r="C286" s="31" t="s">
        <v>1972</v>
      </c>
      <c r="D286" s="31" t="s">
        <v>1006</v>
      </c>
      <c r="E286" s="31" t="s">
        <v>1974</v>
      </c>
      <c r="F286" s="30"/>
      <c r="G286" s="30"/>
      <c r="H286" s="30"/>
      <c r="I286" s="30" t="str">
        <f>VLOOKUP(D286,'Active Employees'!$B$2:$B$498,1,false)</f>
        <v>dave.morris@docker.com</v>
      </c>
      <c r="J286" s="33" t="s">
        <v>1469</v>
      </c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</row>
    <row r="287">
      <c r="A287" s="31">
        <v>9.58563233736E11</v>
      </c>
      <c r="B287" s="31" t="s">
        <v>2019</v>
      </c>
      <c r="C287" s="31" t="s">
        <v>1972</v>
      </c>
      <c r="D287" s="31" t="s">
        <v>1006</v>
      </c>
      <c r="E287" s="31" t="s">
        <v>1974</v>
      </c>
      <c r="F287" s="30"/>
      <c r="G287" s="30"/>
      <c r="H287" s="30"/>
      <c r="I287" s="30" t="str">
        <f>VLOOKUP(D287,'Active Employees'!$B$2:$B$498,1,false)</f>
        <v>dave.morris@docker.com</v>
      </c>
      <c r="J287" s="33" t="s">
        <v>1469</v>
      </c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</row>
    <row r="288">
      <c r="A288" s="31">
        <v>9.75050170311E11</v>
      </c>
      <c r="B288" s="31" t="s">
        <v>2020</v>
      </c>
      <c r="C288" s="31" t="s">
        <v>1972</v>
      </c>
      <c r="D288" s="31" t="s">
        <v>1006</v>
      </c>
      <c r="E288" s="31" t="s">
        <v>1974</v>
      </c>
      <c r="F288" s="30"/>
      <c r="G288" s="30"/>
      <c r="H288" s="30"/>
      <c r="I288" s="30" t="str">
        <f>VLOOKUP(D288,'Active Employees'!$B$2:$B$498,1,false)</f>
        <v>dave.morris@docker.com</v>
      </c>
      <c r="J288" s="33" t="s">
        <v>1469</v>
      </c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</row>
    <row r="289">
      <c r="A289" s="31">
        <v>9.91137750147E11</v>
      </c>
      <c r="B289" s="31" t="s">
        <v>2021</v>
      </c>
      <c r="C289" s="31" t="s">
        <v>1972</v>
      </c>
      <c r="D289" s="31" t="s">
        <v>1006</v>
      </c>
      <c r="E289" s="31" t="s">
        <v>1974</v>
      </c>
      <c r="F289" s="30"/>
      <c r="G289" s="30"/>
      <c r="H289" s="30"/>
      <c r="I289" s="30" t="str">
        <f>VLOOKUP(D289,'Active Employees'!$B$2:$B$498,1,false)</f>
        <v>dave.morris@docker.com</v>
      </c>
      <c r="J289" s="33" t="s">
        <v>1469</v>
      </c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</row>
    <row r="290">
      <c r="A290" s="31">
        <v>1.0438487392E10</v>
      </c>
      <c r="B290" s="31" t="s">
        <v>1971</v>
      </c>
      <c r="C290" s="31" t="s">
        <v>1972</v>
      </c>
      <c r="D290" s="31" t="s">
        <v>895</v>
      </c>
      <c r="E290" s="31" t="s">
        <v>1974</v>
      </c>
      <c r="F290" s="30"/>
      <c r="G290" s="30"/>
      <c r="H290" s="30"/>
      <c r="I290" s="30" t="str">
        <f>VLOOKUP(D290,'Active Employees'!$B$2:$B$498,1,false)</f>
        <v>forrest.loomis@docker.com</v>
      </c>
      <c r="J290" s="33" t="s">
        <v>1469</v>
      </c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</row>
    <row r="291">
      <c r="A291" s="31">
        <v>4.7302296459E10</v>
      </c>
      <c r="B291" s="31" t="s">
        <v>1975</v>
      </c>
      <c r="C291" s="31" t="s">
        <v>1972</v>
      </c>
      <c r="D291" s="31" t="s">
        <v>895</v>
      </c>
      <c r="E291" s="31" t="s">
        <v>1974</v>
      </c>
      <c r="F291" s="30"/>
      <c r="G291" s="30"/>
      <c r="H291" s="30"/>
      <c r="I291" s="30" t="str">
        <f>VLOOKUP(D291,'Active Employees'!$B$2:$B$498,1,false)</f>
        <v>forrest.loomis@docker.com</v>
      </c>
      <c r="J291" s="33" t="s">
        <v>1469</v>
      </c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</row>
    <row r="292">
      <c r="A292" s="31">
        <v>5.8264503038E10</v>
      </c>
      <c r="B292" s="31" t="s">
        <v>1976</v>
      </c>
      <c r="C292" s="31" t="s">
        <v>1972</v>
      </c>
      <c r="D292" s="31" t="s">
        <v>895</v>
      </c>
      <c r="E292" s="31" t="s">
        <v>1974</v>
      </c>
      <c r="F292" s="30"/>
      <c r="G292" s="30"/>
      <c r="H292" s="30"/>
      <c r="I292" s="30" t="str">
        <f>VLOOKUP(D292,'Active Employees'!$B$2:$B$498,1,false)</f>
        <v>forrest.loomis@docker.com</v>
      </c>
      <c r="J292" s="33" t="s">
        <v>1469</v>
      </c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</row>
    <row r="293">
      <c r="A293" s="31">
        <v>9.9407438094E10</v>
      </c>
      <c r="B293" s="31" t="s">
        <v>1977</v>
      </c>
      <c r="C293" s="31" t="s">
        <v>1972</v>
      </c>
      <c r="D293" s="31" t="s">
        <v>895</v>
      </c>
      <c r="E293" s="31" t="s">
        <v>1974</v>
      </c>
      <c r="F293" s="30"/>
      <c r="G293" s="30"/>
      <c r="H293" s="30"/>
      <c r="I293" s="30" t="str">
        <f>VLOOKUP(D293,'Active Employees'!$B$2:$B$498,1,false)</f>
        <v>forrest.loomis@docker.com</v>
      </c>
      <c r="J293" s="33" t="s">
        <v>1469</v>
      </c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</row>
    <row r="294">
      <c r="A294" s="31">
        <v>1.11664719423E11</v>
      </c>
      <c r="B294" s="31" t="s">
        <v>1978</v>
      </c>
      <c r="C294" s="31" t="s">
        <v>1972</v>
      </c>
      <c r="D294" s="31" t="s">
        <v>895</v>
      </c>
      <c r="E294" s="31" t="s">
        <v>1974</v>
      </c>
      <c r="F294" s="30"/>
      <c r="G294" s="30"/>
      <c r="H294" s="30"/>
      <c r="I294" s="30" t="str">
        <f>VLOOKUP(D294,'Active Employees'!$B$2:$B$498,1,false)</f>
        <v>forrest.loomis@docker.com</v>
      </c>
      <c r="J294" s="33" t="s">
        <v>1469</v>
      </c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</row>
    <row r="295">
      <c r="A295" s="31">
        <v>1.75142243308E11</v>
      </c>
      <c r="B295" s="31" t="s">
        <v>1979</v>
      </c>
      <c r="C295" s="31" t="s">
        <v>1972</v>
      </c>
      <c r="D295" s="31" t="s">
        <v>895</v>
      </c>
      <c r="E295" s="31" t="s">
        <v>1974</v>
      </c>
      <c r="F295" s="30"/>
      <c r="G295" s="30"/>
      <c r="H295" s="30"/>
      <c r="I295" s="30" t="str">
        <f>VLOOKUP(D295,'Active Employees'!$B$2:$B$498,1,false)</f>
        <v>forrest.loomis@docker.com</v>
      </c>
      <c r="J295" s="33" t="s">
        <v>1469</v>
      </c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</row>
    <row r="296">
      <c r="A296" s="31">
        <v>2.67155176707E11</v>
      </c>
      <c r="B296" s="31" t="s">
        <v>1980</v>
      </c>
      <c r="C296" s="31" t="s">
        <v>1972</v>
      </c>
      <c r="D296" s="31" t="s">
        <v>895</v>
      </c>
      <c r="E296" s="31" t="s">
        <v>1974</v>
      </c>
      <c r="F296" s="30"/>
      <c r="G296" s="30"/>
      <c r="H296" s="30"/>
      <c r="I296" s="30" t="str">
        <f>VLOOKUP(D296,'Active Employees'!$B$2:$B$498,1,false)</f>
        <v>forrest.loomis@docker.com</v>
      </c>
      <c r="J296" s="33" t="s">
        <v>1469</v>
      </c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</row>
    <row r="297">
      <c r="A297" s="31">
        <v>2.77603989202E11</v>
      </c>
      <c r="B297" s="31" t="s">
        <v>1981</v>
      </c>
      <c r="C297" s="31" t="s">
        <v>1972</v>
      </c>
      <c r="D297" s="31" t="s">
        <v>895</v>
      </c>
      <c r="E297" s="31" t="s">
        <v>1974</v>
      </c>
      <c r="F297" s="30"/>
      <c r="G297" s="30"/>
      <c r="H297" s="30"/>
      <c r="I297" s="30" t="str">
        <f>VLOOKUP(D297,'Active Employees'!$B$2:$B$498,1,false)</f>
        <v>forrest.loomis@docker.com</v>
      </c>
      <c r="J297" s="33" t="s">
        <v>1469</v>
      </c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</row>
    <row r="298">
      <c r="A298" s="31">
        <v>3.00042230143E11</v>
      </c>
      <c r="B298" s="31" t="s">
        <v>1982</v>
      </c>
      <c r="C298" s="31" t="s">
        <v>1972</v>
      </c>
      <c r="D298" s="31" t="s">
        <v>895</v>
      </c>
      <c r="E298" s="31" t="s">
        <v>1974</v>
      </c>
      <c r="F298" s="30"/>
      <c r="G298" s="30"/>
      <c r="H298" s="30"/>
      <c r="I298" s="30" t="str">
        <f>VLOOKUP(D298,'Active Employees'!$B$2:$B$498,1,false)</f>
        <v>forrest.loomis@docker.com</v>
      </c>
      <c r="J298" s="33" t="s">
        <v>1469</v>
      </c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</row>
    <row r="299">
      <c r="A299" s="31">
        <v>3.0370012255E11</v>
      </c>
      <c r="B299" s="31" t="s">
        <v>1983</v>
      </c>
      <c r="C299" s="31" t="s">
        <v>1972</v>
      </c>
      <c r="D299" s="31" t="s">
        <v>895</v>
      </c>
      <c r="E299" s="31" t="s">
        <v>1974</v>
      </c>
      <c r="F299" s="30"/>
      <c r="G299" s="30"/>
      <c r="H299" s="30"/>
      <c r="I299" s="30" t="str">
        <f>VLOOKUP(D299,'Active Employees'!$B$2:$B$498,1,false)</f>
        <v>forrest.loomis@docker.com</v>
      </c>
      <c r="J299" s="33" t="s">
        <v>1469</v>
      </c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</row>
    <row r="300">
      <c r="A300" s="31">
        <v>3.13121495448E11</v>
      </c>
      <c r="B300" s="31" t="s">
        <v>1984</v>
      </c>
      <c r="C300" s="31" t="s">
        <v>1972</v>
      </c>
      <c r="D300" s="31" t="s">
        <v>895</v>
      </c>
      <c r="E300" s="31" t="s">
        <v>1974</v>
      </c>
      <c r="F300" s="30"/>
      <c r="G300" s="30"/>
      <c r="H300" s="30"/>
      <c r="I300" s="30" t="str">
        <f>VLOOKUP(D300,'Active Employees'!$B$2:$B$498,1,false)</f>
        <v>forrest.loomis@docker.com</v>
      </c>
      <c r="J300" s="33" t="s">
        <v>1469</v>
      </c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</row>
    <row r="301">
      <c r="A301" s="31">
        <v>3.18510287843E11</v>
      </c>
      <c r="B301" s="31" t="s">
        <v>1985</v>
      </c>
      <c r="C301" s="31" t="s">
        <v>1972</v>
      </c>
      <c r="D301" s="31" t="s">
        <v>895</v>
      </c>
      <c r="E301" s="31" t="s">
        <v>1974</v>
      </c>
      <c r="F301" s="30"/>
      <c r="G301" s="30"/>
      <c r="H301" s="30"/>
      <c r="I301" s="30" t="str">
        <f>VLOOKUP(D301,'Active Employees'!$B$2:$B$498,1,false)</f>
        <v>forrest.loomis@docker.com</v>
      </c>
      <c r="J301" s="33" t="s">
        <v>1469</v>
      </c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</row>
    <row r="302">
      <c r="A302" s="31">
        <v>3.28193795291E11</v>
      </c>
      <c r="B302" s="31" t="s">
        <v>1579</v>
      </c>
      <c r="C302" s="31" t="s">
        <v>1972</v>
      </c>
      <c r="D302" s="31" t="s">
        <v>895</v>
      </c>
      <c r="E302" s="31" t="s">
        <v>1974</v>
      </c>
      <c r="F302" s="30"/>
      <c r="G302" s="30"/>
      <c r="H302" s="30"/>
      <c r="I302" s="30" t="str">
        <f>VLOOKUP(D302,'Active Employees'!$B$2:$B$498,1,false)</f>
        <v>forrest.loomis@docker.com</v>
      </c>
      <c r="J302" s="33" t="s">
        <v>1469</v>
      </c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</row>
    <row r="303">
      <c r="A303" s="31">
        <v>3.45862510308E11</v>
      </c>
      <c r="B303" s="31" t="s">
        <v>1986</v>
      </c>
      <c r="C303" s="31" t="s">
        <v>1972</v>
      </c>
      <c r="D303" s="31" t="s">
        <v>895</v>
      </c>
      <c r="E303" s="31" t="s">
        <v>1974</v>
      </c>
      <c r="F303" s="30"/>
      <c r="G303" s="30"/>
      <c r="H303" s="30"/>
      <c r="I303" s="30" t="str">
        <f>VLOOKUP(D303,'Active Employees'!$B$2:$B$498,1,false)</f>
        <v>forrest.loomis@docker.com</v>
      </c>
      <c r="J303" s="33" t="s">
        <v>1469</v>
      </c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</row>
    <row r="304">
      <c r="A304" s="31">
        <v>3.64430574006E11</v>
      </c>
      <c r="B304" s="31" t="s">
        <v>1987</v>
      </c>
      <c r="C304" s="31" t="s">
        <v>1972</v>
      </c>
      <c r="D304" s="31" t="s">
        <v>895</v>
      </c>
      <c r="E304" s="31" t="s">
        <v>1974</v>
      </c>
      <c r="F304" s="30"/>
      <c r="G304" s="30"/>
      <c r="H304" s="30"/>
      <c r="I304" s="30" t="str">
        <f>VLOOKUP(D304,'Active Employees'!$B$2:$B$498,1,false)</f>
        <v>forrest.loomis@docker.com</v>
      </c>
      <c r="J304" s="33" t="s">
        <v>1469</v>
      </c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</row>
    <row r="305">
      <c r="A305" s="31">
        <v>3.98949996071E11</v>
      </c>
      <c r="B305" s="31" t="s">
        <v>1988</v>
      </c>
      <c r="C305" s="31" t="s">
        <v>1989</v>
      </c>
      <c r="D305" s="31" t="s">
        <v>895</v>
      </c>
      <c r="E305" s="31" t="s">
        <v>1974</v>
      </c>
      <c r="F305" s="30"/>
      <c r="G305" s="30"/>
      <c r="H305" s="30"/>
      <c r="I305" s="30" t="str">
        <f>VLOOKUP(D305,'Active Employees'!$B$2:$B$498,1,false)</f>
        <v>forrest.loomis@docker.com</v>
      </c>
      <c r="J305" s="33" t="s">
        <v>1469</v>
      </c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</row>
    <row r="306">
      <c r="A306" s="31">
        <v>4.33192899833E11</v>
      </c>
      <c r="B306" s="31" t="s">
        <v>1990</v>
      </c>
      <c r="C306" s="31" t="s">
        <v>1972</v>
      </c>
      <c r="D306" s="31" t="s">
        <v>895</v>
      </c>
      <c r="E306" s="31" t="s">
        <v>1974</v>
      </c>
      <c r="F306" s="30"/>
      <c r="G306" s="30"/>
      <c r="H306" s="30"/>
      <c r="I306" s="30" t="str">
        <f>VLOOKUP(D306,'Active Employees'!$B$2:$B$498,1,false)</f>
        <v>forrest.loomis@docker.com</v>
      </c>
      <c r="J306" s="33" t="s">
        <v>1469</v>
      </c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</row>
    <row r="307">
      <c r="A307" s="31">
        <v>4.47924746603E11</v>
      </c>
      <c r="B307" s="31" t="s">
        <v>1991</v>
      </c>
      <c r="C307" s="31" t="s">
        <v>1972</v>
      </c>
      <c r="D307" s="31" t="s">
        <v>895</v>
      </c>
      <c r="E307" s="31" t="s">
        <v>1974</v>
      </c>
      <c r="F307" s="30"/>
      <c r="G307" s="30"/>
      <c r="H307" s="30"/>
      <c r="I307" s="30" t="str">
        <f>VLOOKUP(D307,'Active Employees'!$B$2:$B$498,1,false)</f>
        <v>forrest.loomis@docker.com</v>
      </c>
      <c r="J307" s="33" t="s">
        <v>1469</v>
      </c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</row>
    <row r="308">
      <c r="A308" s="31">
        <v>4.6347093944E11</v>
      </c>
      <c r="B308" s="31" t="s">
        <v>1992</v>
      </c>
      <c r="C308" s="31" t="s">
        <v>1972</v>
      </c>
      <c r="D308" s="31" t="s">
        <v>895</v>
      </c>
      <c r="E308" s="31" t="s">
        <v>1974</v>
      </c>
      <c r="F308" s="30"/>
      <c r="G308" s="30"/>
      <c r="H308" s="30"/>
      <c r="I308" s="30" t="str">
        <f>VLOOKUP(D308,'Active Employees'!$B$2:$B$498,1,false)</f>
        <v>forrest.loomis@docker.com</v>
      </c>
      <c r="J308" s="33" t="s">
        <v>1469</v>
      </c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</row>
    <row r="309">
      <c r="A309" s="31">
        <v>4.77715925773E11</v>
      </c>
      <c r="B309" s="31" t="s">
        <v>1993</v>
      </c>
      <c r="C309" s="31" t="s">
        <v>1972</v>
      </c>
      <c r="D309" s="31" t="s">
        <v>895</v>
      </c>
      <c r="E309" s="31" t="s">
        <v>1974</v>
      </c>
      <c r="F309" s="30"/>
      <c r="G309" s="30"/>
      <c r="H309" s="30"/>
      <c r="I309" s="30" t="str">
        <f>VLOOKUP(D309,'Active Employees'!$B$2:$B$498,1,false)</f>
        <v>forrest.loomis@docker.com</v>
      </c>
      <c r="J309" s="33" t="s">
        <v>1469</v>
      </c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</row>
    <row r="310">
      <c r="A310" s="31">
        <v>5.06620354984E11</v>
      </c>
      <c r="B310" s="31" t="s">
        <v>1994</v>
      </c>
      <c r="C310" s="31" t="s">
        <v>1972</v>
      </c>
      <c r="D310" s="31" t="s">
        <v>895</v>
      </c>
      <c r="E310" s="31" t="s">
        <v>1974</v>
      </c>
      <c r="F310" s="30"/>
      <c r="G310" s="30"/>
      <c r="H310" s="30"/>
      <c r="I310" s="30" t="str">
        <f>VLOOKUP(D310,'Active Employees'!$B$2:$B$498,1,false)</f>
        <v>forrest.loomis@docker.com</v>
      </c>
      <c r="J310" s="33" t="s">
        <v>1469</v>
      </c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</row>
    <row r="311">
      <c r="A311" s="31">
        <v>5.39272219385E11</v>
      </c>
      <c r="B311" s="31" t="s">
        <v>1995</v>
      </c>
      <c r="C311" s="31" t="s">
        <v>1972</v>
      </c>
      <c r="D311" s="31" t="s">
        <v>895</v>
      </c>
      <c r="E311" s="31" t="s">
        <v>1974</v>
      </c>
      <c r="F311" s="30"/>
      <c r="G311" s="30"/>
      <c r="H311" s="30"/>
      <c r="I311" s="30" t="str">
        <f>VLOOKUP(D311,'Active Employees'!$B$2:$B$498,1,false)</f>
        <v>forrest.loomis@docker.com</v>
      </c>
      <c r="J311" s="33" t="s">
        <v>1469</v>
      </c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</row>
    <row r="312">
      <c r="A312" s="31">
        <v>5.40898635624E11</v>
      </c>
      <c r="B312" s="31" t="s">
        <v>1996</v>
      </c>
      <c r="C312" s="31" t="s">
        <v>1972</v>
      </c>
      <c r="D312" s="31" t="s">
        <v>895</v>
      </c>
      <c r="E312" s="31" t="s">
        <v>1974</v>
      </c>
      <c r="F312" s="30"/>
      <c r="G312" s="30"/>
      <c r="H312" s="30"/>
      <c r="I312" s="30" t="str">
        <f>VLOOKUP(D312,'Active Employees'!$B$2:$B$498,1,false)</f>
        <v>forrest.loomis@docker.com</v>
      </c>
      <c r="J312" s="33" t="s">
        <v>1469</v>
      </c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</row>
    <row r="313">
      <c r="A313" s="31">
        <v>6.02326734147E11</v>
      </c>
      <c r="B313" s="31" t="s">
        <v>1997</v>
      </c>
      <c r="C313" s="31" t="s">
        <v>1972</v>
      </c>
      <c r="D313" s="31" t="s">
        <v>895</v>
      </c>
      <c r="E313" s="31" t="s">
        <v>1974</v>
      </c>
      <c r="F313" s="30"/>
      <c r="G313" s="30"/>
      <c r="H313" s="30"/>
      <c r="I313" s="30" t="str">
        <f>VLOOKUP(D313,'Active Employees'!$B$2:$B$498,1,false)</f>
        <v>forrest.loomis@docker.com</v>
      </c>
      <c r="J313" s="33" t="s">
        <v>1469</v>
      </c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</row>
    <row r="314">
      <c r="A314" s="31">
        <v>6.22992712626E11</v>
      </c>
      <c r="B314" s="31" t="s">
        <v>1998</v>
      </c>
      <c r="C314" s="31" t="s">
        <v>1972</v>
      </c>
      <c r="D314" s="31" t="s">
        <v>895</v>
      </c>
      <c r="E314" s="31" t="s">
        <v>1974</v>
      </c>
      <c r="F314" s="30"/>
      <c r="G314" s="30"/>
      <c r="H314" s="30"/>
      <c r="I314" s="30" t="str">
        <f>VLOOKUP(D314,'Active Employees'!$B$2:$B$498,1,false)</f>
        <v>forrest.loomis@docker.com</v>
      </c>
      <c r="J314" s="33" t="s">
        <v>1469</v>
      </c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</row>
    <row r="315">
      <c r="A315" s="31">
        <v>6.37423373108E11</v>
      </c>
      <c r="B315" s="31" t="s">
        <v>1999</v>
      </c>
      <c r="C315" s="31" t="s">
        <v>1972</v>
      </c>
      <c r="D315" s="31" t="s">
        <v>895</v>
      </c>
      <c r="E315" s="31" t="s">
        <v>1974</v>
      </c>
      <c r="F315" s="30"/>
      <c r="G315" s="30"/>
      <c r="H315" s="30"/>
      <c r="I315" s="30" t="str">
        <f>VLOOKUP(D315,'Active Employees'!$B$2:$B$498,1,false)</f>
        <v>forrest.loomis@docker.com</v>
      </c>
      <c r="J315" s="33" t="s">
        <v>1469</v>
      </c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</row>
    <row r="316">
      <c r="A316" s="31">
        <v>6.53834391849E11</v>
      </c>
      <c r="B316" s="31" t="s">
        <v>2000</v>
      </c>
      <c r="C316" s="31" t="s">
        <v>1972</v>
      </c>
      <c r="D316" s="31" t="s">
        <v>895</v>
      </c>
      <c r="E316" s="31" t="s">
        <v>1974</v>
      </c>
      <c r="F316" s="30"/>
      <c r="G316" s="30"/>
      <c r="H316" s="30"/>
      <c r="I316" s="30" t="str">
        <f>VLOOKUP(D316,'Active Employees'!$B$2:$B$498,1,false)</f>
        <v>forrest.loomis@docker.com</v>
      </c>
      <c r="J316" s="33" t="s">
        <v>1469</v>
      </c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</row>
    <row r="317">
      <c r="A317" s="31">
        <v>6.54089975909E11</v>
      </c>
      <c r="B317" s="31" t="s">
        <v>2001</v>
      </c>
      <c r="C317" s="31" t="s">
        <v>1972</v>
      </c>
      <c r="D317" s="31" t="s">
        <v>895</v>
      </c>
      <c r="E317" s="31" t="s">
        <v>1974</v>
      </c>
      <c r="F317" s="30"/>
      <c r="G317" s="30"/>
      <c r="H317" s="30"/>
      <c r="I317" s="30" t="str">
        <f>VLOOKUP(D317,'Active Employees'!$B$2:$B$498,1,false)</f>
        <v>forrest.loomis@docker.com</v>
      </c>
      <c r="J317" s="33" t="s">
        <v>1469</v>
      </c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</row>
    <row r="318">
      <c r="A318" s="31">
        <v>6.54654578585E11</v>
      </c>
      <c r="B318" s="31" t="s">
        <v>2002</v>
      </c>
      <c r="C318" s="31" t="s">
        <v>1972</v>
      </c>
      <c r="D318" s="31" t="s">
        <v>895</v>
      </c>
      <c r="E318" s="31" t="s">
        <v>1974</v>
      </c>
      <c r="F318" s="30"/>
      <c r="G318" s="30"/>
      <c r="H318" s="30"/>
      <c r="I318" s="30" t="str">
        <f>VLOOKUP(D318,'Active Employees'!$B$2:$B$498,1,false)</f>
        <v>forrest.loomis@docker.com</v>
      </c>
      <c r="J318" s="33" t="s">
        <v>1469</v>
      </c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</row>
    <row r="319">
      <c r="A319" s="31">
        <v>6.76043725699E11</v>
      </c>
      <c r="B319" s="31" t="s">
        <v>2003</v>
      </c>
      <c r="C319" s="31" t="s">
        <v>1972</v>
      </c>
      <c r="D319" s="31" t="s">
        <v>895</v>
      </c>
      <c r="E319" s="31" t="s">
        <v>1974</v>
      </c>
      <c r="F319" s="30"/>
      <c r="G319" s="30"/>
      <c r="H319" s="30"/>
      <c r="I319" s="30" t="str">
        <f>VLOOKUP(D319,'Active Employees'!$B$2:$B$498,1,false)</f>
        <v>forrest.loomis@docker.com</v>
      </c>
      <c r="J319" s="33" t="s">
        <v>1469</v>
      </c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</row>
    <row r="320">
      <c r="A320" s="31">
        <v>6.89740959397E11</v>
      </c>
      <c r="B320" s="31" t="s">
        <v>2004</v>
      </c>
      <c r="C320" s="31" t="s">
        <v>1972</v>
      </c>
      <c r="D320" s="31" t="s">
        <v>895</v>
      </c>
      <c r="E320" s="31" t="s">
        <v>1974</v>
      </c>
      <c r="F320" s="30"/>
      <c r="G320" s="30"/>
      <c r="H320" s="30"/>
      <c r="I320" s="30" t="str">
        <f>VLOOKUP(D320,'Active Employees'!$B$2:$B$498,1,false)</f>
        <v>forrest.loomis@docker.com</v>
      </c>
      <c r="J320" s="33" t="s">
        <v>1469</v>
      </c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</row>
    <row r="321">
      <c r="A321" s="31">
        <v>7.10015040892E11</v>
      </c>
      <c r="B321" s="31" t="s">
        <v>2005</v>
      </c>
      <c r="C321" s="31" t="s">
        <v>1972</v>
      </c>
      <c r="D321" s="31" t="s">
        <v>895</v>
      </c>
      <c r="E321" s="31" t="s">
        <v>1974</v>
      </c>
      <c r="F321" s="30"/>
      <c r="G321" s="30"/>
      <c r="H321" s="30"/>
      <c r="I321" s="30" t="str">
        <f>VLOOKUP(D321,'Active Employees'!$B$2:$B$498,1,false)</f>
        <v>forrest.loomis@docker.com</v>
      </c>
      <c r="J321" s="33" t="s">
        <v>1469</v>
      </c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</row>
    <row r="322">
      <c r="A322" s="31">
        <v>7.15809519905E11</v>
      </c>
      <c r="B322" s="31" t="s">
        <v>2006</v>
      </c>
      <c r="C322" s="31" t="s">
        <v>1972</v>
      </c>
      <c r="D322" s="31" t="s">
        <v>895</v>
      </c>
      <c r="E322" s="31" t="s">
        <v>1974</v>
      </c>
      <c r="F322" s="30"/>
      <c r="G322" s="30"/>
      <c r="H322" s="30"/>
      <c r="I322" s="30" t="str">
        <f>VLOOKUP(D322,'Active Employees'!$B$2:$B$498,1,false)</f>
        <v>forrest.loomis@docker.com</v>
      </c>
      <c r="J322" s="33" t="s">
        <v>1469</v>
      </c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</row>
    <row r="323">
      <c r="A323" s="31">
        <v>7.25113757135E11</v>
      </c>
      <c r="B323" s="31" t="s">
        <v>2007</v>
      </c>
      <c r="C323" s="31" t="s">
        <v>1972</v>
      </c>
      <c r="D323" s="31" t="s">
        <v>895</v>
      </c>
      <c r="E323" s="31" t="s">
        <v>1974</v>
      </c>
      <c r="F323" s="30"/>
      <c r="G323" s="30"/>
      <c r="H323" s="30"/>
      <c r="I323" s="30" t="str">
        <f>VLOOKUP(D323,'Active Employees'!$B$2:$B$498,1,false)</f>
        <v>forrest.loomis@docker.com</v>
      </c>
      <c r="J323" s="33" t="s">
        <v>1469</v>
      </c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</row>
    <row r="324">
      <c r="A324" s="31">
        <v>7.41686272442E11</v>
      </c>
      <c r="B324" s="31" t="s">
        <v>2008</v>
      </c>
      <c r="C324" s="31" t="s">
        <v>1972</v>
      </c>
      <c r="D324" s="31" t="s">
        <v>895</v>
      </c>
      <c r="E324" s="31" t="s">
        <v>1974</v>
      </c>
      <c r="F324" s="30"/>
      <c r="G324" s="30"/>
      <c r="H324" s="30"/>
      <c r="I324" s="30" t="str">
        <f>VLOOKUP(D324,'Active Employees'!$B$2:$B$498,1,false)</f>
        <v>forrest.loomis@docker.com</v>
      </c>
      <c r="J324" s="33" t="s">
        <v>1469</v>
      </c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</row>
    <row r="325">
      <c r="A325" s="31">
        <v>8.01373416553E11</v>
      </c>
      <c r="B325" s="31" t="s">
        <v>2009</v>
      </c>
      <c r="C325" s="31" t="s">
        <v>1972</v>
      </c>
      <c r="D325" s="31" t="s">
        <v>895</v>
      </c>
      <c r="E325" s="31" t="s">
        <v>1974</v>
      </c>
      <c r="F325" s="30"/>
      <c r="G325" s="30"/>
      <c r="H325" s="30"/>
      <c r="I325" s="30" t="str">
        <f>VLOOKUP(D325,'Active Employees'!$B$2:$B$498,1,false)</f>
        <v>forrest.loomis@docker.com</v>
      </c>
      <c r="J325" s="33" t="s">
        <v>1469</v>
      </c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</row>
    <row r="326">
      <c r="A326" s="31">
        <v>8.37880040897E11</v>
      </c>
      <c r="B326" s="31" t="s">
        <v>2010</v>
      </c>
      <c r="C326" s="31" t="s">
        <v>1972</v>
      </c>
      <c r="D326" s="31" t="s">
        <v>895</v>
      </c>
      <c r="E326" s="31" t="s">
        <v>1974</v>
      </c>
      <c r="F326" s="30"/>
      <c r="G326" s="30"/>
      <c r="H326" s="30"/>
      <c r="I326" s="30" t="str">
        <f>VLOOKUP(D326,'Active Employees'!$B$2:$B$498,1,false)</f>
        <v>forrest.loomis@docker.com</v>
      </c>
      <c r="J326" s="33" t="s">
        <v>1469</v>
      </c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</row>
    <row r="327">
      <c r="A327" s="31">
        <v>8.66613861722E11</v>
      </c>
      <c r="B327" s="31" t="s">
        <v>2011</v>
      </c>
      <c r="C327" s="31" t="s">
        <v>1972</v>
      </c>
      <c r="D327" s="31" t="s">
        <v>895</v>
      </c>
      <c r="E327" s="31" t="s">
        <v>1974</v>
      </c>
      <c r="F327" s="30"/>
      <c r="G327" s="30"/>
      <c r="H327" s="30"/>
      <c r="I327" s="30" t="str">
        <f>VLOOKUP(D327,'Active Employees'!$B$2:$B$498,1,false)</f>
        <v>forrest.loomis@docker.com</v>
      </c>
      <c r="J327" s="33" t="s">
        <v>1469</v>
      </c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</row>
    <row r="328">
      <c r="A328" s="31">
        <v>8.7100165961E11</v>
      </c>
      <c r="B328" s="31" t="s">
        <v>2012</v>
      </c>
      <c r="C328" s="31" t="s">
        <v>1972</v>
      </c>
      <c r="D328" s="31" t="s">
        <v>895</v>
      </c>
      <c r="E328" s="31" t="s">
        <v>1974</v>
      </c>
      <c r="F328" s="30"/>
      <c r="G328" s="30"/>
      <c r="H328" s="30"/>
      <c r="I328" s="30" t="str">
        <f>VLOOKUP(D328,'Active Employees'!$B$2:$B$498,1,false)</f>
        <v>forrest.loomis@docker.com</v>
      </c>
      <c r="J328" s="33" t="s">
        <v>1469</v>
      </c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</row>
    <row r="329">
      <c r="A329" s="31">
        <v>8.82892008441E11</v>
      </c>
      <c r="B329" s="31" t="s">
        <v>2013</v>
      </c>
      <c r="C329" s="31" t="s">
        <v>1972</v>
      </c>
      <c r="D329" s="31" t="s">
        <v>895</v>
      </c>
      <c r="E329" s="31" t="s">
        <v>1974</v>
      </c>
      <c r="F329" s="30"/>
      <c r="G329" s="30"/>
      <c r="H329" s="30"/>
      <c r="I329" s="30" t="str">
        <f>VLOOKUP(D329,'Active Employees'!$B$2:$B$498,1,false)</f>
        <v>forrest.loomis@docker.com</v>
      </c>
      <c r="J329" s="33" t="s">
        <v>1469</v>
      </c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</row>
    <row r="330">
      <c r="A330" s="31">
        <v>8.88577047425E11</v>
      </c>
      <c r="B330" s="31" t="s">
        <v>2014</v>
      </c>
      <c r="C330" s="31" t="s">
        <v>1972</v>
      </c>
      <c r="D330" s="31" t="s">
        <v>895</v>
      </c>
      <c r="E330" s="31" t="s">
        <v>1974</v>
      </c>
      <c r="F330" s="30"/>
      <c r="G330" s="30"/>
      <c r="H330" s="30"/>
      <c r="I330" s="30" t="str">
        <f>VLOOKUP(D330,'Active Employees'!$B$2:$B$498,1,false)</f>
        <v>forrest.loomis@docker.com</v>
      </c>
      <c r="J330" s="33" t="s">
        <v>1469</v>
      </c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</row>
    <row r="331">
      <c r="A331" s="31">
        <v>8.91377047271E11</v>
      </c>
      <c r="B331" s="31" t="s">
        <v>2015</v>
      </c>
      <c r="C331" s="31" t="s">
        <v>1972</v>
      </c>
      <c r="D331" s="31" t="s">
        <v>895</v>
      </c>
      <c r="E331" s="31" t="s">
        <v>1974</v>
      </c>
      <c r="F331" s="30"/>
      <c r="G331" s="30"/>
      <c r="H331" s="30"/>
      <c r="I331" s="30" t="str">
        <f>VLOOKUP(D331,'Active Employees'!$B$2:$B$498,1,false)</f>
        <v>forrest.loomis@docker.com</v>
      </c>
      <c r="J331" s="33" t="s">
        <v>1469</v>
      </c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</row>
    <row r="332">
      <c r="A332" s="31">
        <v>9.03032050004E11</v>
      </c>
      <c r="B332" s="31" t="s">
        <v>2016</v>
      </c>
      <c r="C332" s="31" t="s">
        <v>1972</v>
      </c>
      <c r="D332" s="31" t="s">
        <v>895</v>
      </c>
      <c r="E332" s="31" t="s">
        <v>1974</v>
      </c>
      <c r="F332" s="30"/>
      <c r="G332" s="30"/>
      <c r="H332" s="30"/>
      <c r="I332" s="30" t="str">
        <f>VLOOKUP(D332,'Active Employees'!$B$2:$B$498,1,false)</f>
        <v>forrest.loomis@docker.com</v>
      </c>
      <c r="J332" s="33" t="s">
        <v>1469</v>
      </c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</row>
    <row r="333">
      <c r="A333" s="31">
        <v>9.03773873662E11</v>
      </c>
      <c r="B333" s="31" t="s">
        <v>2017</v>
      </c>
      <c r="C333" s="31" t="s">
        <v>1972</v>
      </c>
      <c r="D333" s="31" t="s">
        <v>895</v>
      </c>
      <c r="E333" s="31" t="s">
        <v>1974</v>
      </c>
      <c r="F333" s="30"/>
      <c r="G333" s="30"/>
      <c r="H333" s="30"/>
      <c r="I333" s="30" t="str">
        <f>VLOOKUP(D333,'Active Employees'!$B$2:$B$498,1,false)</f>
        <v>forrest.loomis@docker.com</v>
      </c>
      <c r="J333" s="33" t="s">
        <v>1469</v>
      </c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</row>
    <row r="334">
      <c r="A334" s="31">
        <v>9.12777366807E11</v>
      </c>
      <c r="B334" s="31" t="s">
        <v>2018</v>
      </c>
      <c r="C334" s="31" t="s">
        <v>1972</v>
      </c>
      <c r="D334" s="31" t="s">
        <v>895</v>
      </c>
      <c r="E334" s="31" t="s">
        <v>1974</v>
      </c>
      <c r="F334" s="30"/>
      <c r="G334" s="30"/>
      <c r="H334" s="30"/>
      <c r="I334" s="30" t="str">
        <f>VLOOKUP(D334,'Active Employees'!$B$2:$B$498,1,false)</f>
        <v>forrest.loomis@docker.com</v>
      </c>
      <c r="J334" s="33" t="s">
        <v>1469</v>
      </c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</row>
    <row r="335">
      <c r="A335" s="31">
        <v>9.58563233736E11</v>
      </c>
      <c r="B335" s="31" t="s">
        <v>2019</v>
      </c>
      <c r="C335" s="31" t="s">
        <v>1972</v>
      </c>
      <c r="D335" s="31" t="s">
        <v>895</v>
      </c>
      <c r="E335" s="31" t="s">
        <v>1974</v>
      </c>
      <c r="F335" s="30"/>
      <c r="G335" s="30"/>
      <c r="H335" s="30"/>
      <c r="I335" s="30" t="str">
        <f>VLOOKUP(D335,'Active Employees'!$B$2:$B$498,1,false)</f>
        <v>forrest.loomis@docker.com</v>
      </c>
      <c r="J335" s="33" t="s">
        <v>1469</v>
      </c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</row>
    <row r="336">
      <c r="A336" s="31">
        <v>9.75050170311E11</v>
      </c>
      <c r="B336" s="31" t="s">
        <v>2020</v>
      </c>
      <c r="C336" s="31" t="s">
        <v>1972</v>
      </c>
      <c r="D336" s="31" t="s">
        <v>895</v>
      </c>
      <c r="E336" s="31" t="s">
        <v>1974</v>
      </c>
      <c r="F336" s="30"/>
      <c r="G336" s="30"/>
      <c r="H336" s="30"/>
      <c r="I336" s="30" t="str">
        <f>VLOOKUP(D336,'Active Employees'!$B$2:$B$498,1,false)</f>
        <v>forrest.loomis@docker.com</v>
      </c>
      <c r="J336" s="33" t="s">
        <v>1469</v>
      </c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</row>
    <row r="337">
      <c r="A337" s="31">
        <v>9.91137750147E11</v>
      </c>
      <c r="B337" s="31" t="s">
        <v>2021</v>
      </c>
      <c r="C337" s="31" t="s">
        <v>1972</v>
      </c>
      <c r="D337" s="31" t="s">
        <v>895</v>
      </c>
      <c r="E337" s="31" t="s">
        <v>1974</v>
      </c>
      <c r="F337" s="30"/>
      <c r="G337" s="30"/>
      <c r="H337" s="30"/>
      <c r="I337" s="30" t="str">
        <f>VLOOKUP(D337,'Active Employees'!$B$2:$B$498,1,false)</f>
        <v>forrest.loomis@docker.com</v>
      </c>
      <c r="J337" s="33" t="s">
        <v>1469</v>
      </c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</row>
    <row r="338">
      <c r="A338" s="31">
        <v>1.0438487392E10</v>
      </c>
      <c r="B338" s="31" t="s">
        <v>1971</v>
      </c>
      <c r="C338" s="31" t="s">
        <v>1972</v>
      </c>
      <c r="D338" s="31" t="s">
        <v>267</v>
      </c>
      <c r="E338" s="31" t="s">
        <v>1974</v>
      </c>
      <c r="F338" s="30"/>
      <c r="G338" s="30"/>
      <c r="H338" s="30"/>
      <c r="I338" s="30" t="str">
        <f>VLOOKUP(D338,'Active Employees'!$B$2:$B$498,1,false)</f>
        <v>james.braden@docker.com</v>
      </c>
      <c r="J338" s="33" t="s">
        <v>1469</v>
      </c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</row>
    <row r="339">
      <c r="A339" s="31">
        <v>4.7302296459E10</v>
      </c>
      <c r="B339" s="31" t="s">
        <v>1975</v>
      </c>
      <c r="C339" s="31" t="s">
        <v>1972</v>
      </c>
      <c r="D339" s="31" t="s">
        <v>267</v>
      </c>
      <c r="E339" s="31" t="s">
        <v>1974</v>
      </c>
      <c r="F339" s="30"/>
      <c r="G339" s="30"/>
      <c r="H339" s="30"/>
      <c r="I339" s="30" t="str">
        <f>VLOOKUP(D339,'Active Employees'!$B$2:$B$498,1,false)</f>
        <v>james.braden@docker.com</v>
      </c>
      <c r="J339" s="33" t="s">
        <v>1469</v>
      </c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</row>
    <row r="340">
      <c r="A340" s="31">
        <v>5.8264503038E10</v>
      </c>
      <c r="B340" s="31" t="s">
        <v>1976</v>
      </c>
      <c r="C340" s="31" t="s">
        <v>1972</v>
      </c>
      <c r="D340" s="31" t="s">
        <v>267</v>
      </c>
      <c r="E340" s="31" t="s">
        <v>1974</v>
      </c>
      <c r="F340" s="30"/>
      <c r="G340" s="30"/>
      <c r="H340" s="30"/>
      <c r="I340" s="30" t="str">
        <f>VLOOKUP(D340,'Active Employees'!$B$2:$B$498,1,false)</f>
        <v>james.braden@docker.com</v>
      </c>
      <c r="J340" s="33" t="s">
        <v>1469</v>
      </c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</row>
    <row r="341">
      <c r="A341" s="31">
        <v>9.9407438094E10</v>
      </c>
      <c r="B341" s="31" t="s">
        <v>1977</v>
      </c>
      <c r="C341" s="31" t="s">
        <v>1972</v>
      </c>
      <c r="D341" s="31" t="s">
        <v>267</v>
      </c>
      <c r="E341" s="31" t="s">
        <v>1974</v>
      </c>
      <c r="F341" s="30"/>
      <c r="G341" s="30"/>
      <c r="H341" s="30"/>
      <c r="I341" s="30" t="str">
        <f>VLOOKUP(D341,'Active Employees'!$B$2:$B$498,1,false)</f>
        <v>james.braden@docker.com</v>
      </c>
      <c r="J341" s="33" t="s">
        <v>1469</v>
      </c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</row>
    <row r="342">
      <c r="A342" s="31">
        <v>1.11664719423E11</v>
      </c>
      <c r="B342" s="31" t="s">
        <v>1978</v>
      </c>
      <c r="C342" s="31" t="s">
        <v>1972</v>
      </c>
      <c r="D342" s="31" t="s">
        <v>267</v>
      </c>
      <c r="E342" s="31" t="s">
        <v>1974</v>
      </c>
      <c r="F342" s="30"/>
      <c r="G342" s="30"/>
      <c r="H342" s="30"/>
      <c r="I342" s="30" t="str">
        <f>VLOOKUP(D342,'Active Employees'!$B$2:$B$498,1,false)</f>
        <v>james.braden@docker.com</v>
      </c>
      <c r="J342" s="33" t="s">
        <v>1469</v>
      </c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</row>
    <row r="343">
      <c r="A343" s="31">
        <v>1.75142243308E11</v>
      </c>
      <c r="B343" s="31" t="s">
        <v>1979</v>
      </c>
      <c r="C343" s="31" t="s">
        <v>1972</v>
      </c>
      <c r="D343" s="31" t="s">
        <v>267</v>
      </c>
      <c r="E343" s="31" t="s">
        <v>1974</v>
      </c>
      <c r="F343" s="30"/>
      <c r="G343" s="30"/>
      <c r="H343" s="30"/>
      <c r="I343" s="30" t="str">
        <f>VLOOKUP(D343,'Active Employees'!$B$2:$B$498,1,false)</f>
        <v>james.braden@docker.com</v>
      </c>
      <c r="J343" s="33" t="s">
        <v>1469</v>
      </c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</row>
    <row r="344">
      <c r="A344" s="31">
        <v>2.67155176707E11</v>
      </c>
      <c r="B344" s="31" t="s">
        <v>1980</v>
      </c>
      <c r="C344" s="31" t="s">
        <v>1972</v>
      </c>
      <c r="D344" s="31" t="s">
        <v>267</v>
      </c>
      <c r="E344" s="31" t="s">
        <v>1974</v>
      </c>
      <c r="F344" s="30"/>
      <c r="G344" s="30"/>
      <c r="H344" s="30"/>
      <c r="I344" s="30" t="str">
        <f>VLOOKUP(D344,'Active Employees'!$B$2:$B$498,1,false)</f>
        <v>james.braden@docker.com</v>
      </c>
      <c r="J344" s="33" t="s">
        <v>1469</v>
      </c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</row>
    <row r="345">
      <c r="A345" s="31">
        <v>2.77603989202E11</v>
      </c>
      <c r="B345" s="31" t="s">
        <v>1981</v>
      </c>
      <c r="C345" s="31" t="s">
        <v>1972</v>
      </c>
      <c r="D345" s="31" t="s">
        <v>267</v>
      </c>
      <c r="E345" s="31" t="s">
        <v>1974</v>
      </c>
      <c r="F345" s="30"/>
      <c r="G345" s="30"/>
      <c r="H345" s="30"/>
      <c r="I345" s="30" t="str">
        <f>VLOOKUP(D345,'Active Employees'!$B$2:$B$498,1,false)</f>
        <v>james.braden@docker.com</v>
      </c>
      <c r="J345" s="33" t="s">
        <v>1469</v>
      </c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</row>
    <row r="346">
      <c r="A346" s="31">
        <v>3.00042230143E11</v>
      </c>
      <c r="B346" s="31" t="s">
        <v>1982</v>
      </c>
      <c r="C346" s="31" t="s">
        <v>1972</v>
      </c>
      <c r="D346" s="31" t="s">
        <v>267</v>
      </c>
      <c r="E346" s="31" t="s">
        <v>1974</v>
      </c>
      <c r="F346" s="30"/>
      <c r="G346" s="30"/>
      <c r="H346" s="30"/>
      <c r="I346" s="30" t="str">
        <f>VLOOKUP(D346,'Active Employees'!$B$2:$B$498,1,false)</f>
        <v>james.braden@docker.com</v>
      </c>
      <c r="J346" s="33" t="s">
        <v>1469</v>
      </c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</row>
    <row r="347">
      <c r="A347" s="31">
        <v>3.0370012255E11</v>
      </c>
      <c r="B347" s="31" t="s">
        <v>1983</v>
      </c>
      <c r="C347" s="31" t="s">
        <v>1972</v>
      </c>
      <c r="D347" s="31" t="s">
        <v>267</v>
      </c>
      <c r="E347" s="31" t="s">
        <v>1974</v>
      </c>
      <c r="F347" s="30"/>
      <c r="G347" s="30"/>
      <c r="H347" s="30"/>
      <c r="I347" s="30" t="str">
        <f>VLOOKUP(D347,'Active Employees'!$B$2:$B$498,1,false)</f>
        <v>james.braden@docker.com</v>
      </c>
      <c r="J347" s="33" t="s">
        <v>1469</v>
      </c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</row>
    <row r="348">
      <c r="A348" s="31">
        <v>3.13121495448E11</v>
      </c>
      <c r="B348" s="31" t="s">
        <v>1984</v>
      </c>
      <c r="C348" s="31" t="s">
        <v>1972</v>
      </c>
      <c r="D348" s="31" t="s">
        <v>267</v>
      </c>
      <c r="E348" s="31" t="s">
        <v>1974</v>
      </c>
      <c r="F348" s="30"/>
      <c r="G348" s="30"/>
      <c r="H348" s="30"/>
      <c r="I348" s="30" t="str">
        <f>VLOOKUP(D348,'Active Employees'!$B$2:$B$498,1,false)</f>
        <v>james.braden@docker.com</v>
      </c>
      <c r="J348" s="33" t="s">
        <v>1469</v>
      </c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</row>
    <row r="349">
      <c r="A349" s="31">
        <v>3.18510287843E11</v>
      </c>
      <c r="B349" s="31" t="s">
        <v>1985</v>
      </c>
      <c r="C349" s="31" t="s">
        <v>1972</v>
      </c>
      <c r="D349" s="31" t="s">
        <v>267</v>
      </c>
      <c r="E349" s="31" t="s">
        <v>1974</v>
      </c>
      <c r="F349" s="30"/>
      <c r="G349" s="30"/>
      <c r="H349" s="30"/>
      <c r="I349" s="30" t="str">
        <f>VLOOKUP(D349,'Active Employees'!$B$2:$B$498,1,false)</f>
        <v>james.braden@docker.com</v>
      </c>
      <c r="J349" s="33" t="s">
        <v>1469</v>
      </c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</row>
    <row r="350">
      <c r="A350" s="31">
        <v>3.28193795291E11</v>
      </c>
      <c r="B350" s="31" t="s">
        <v>1579</v>
      </c>
      <c r="C350" s="31" t="s">
        <v>1972</v>
      </c>
      <c r="D350" s="31" t="s">
        <v>267</v>
      </c>
      <c r="E350" s="31" t="s">
        <v>1974</v>
      </c>
      <c r="F350" s="30"/>
      <c r="G350" s="30"/>
      <c r="H350" s="30"/>
      <c r="I350" s="30" t="str">
        <f>VLOOKUP(D350,'Active Employees'!$B$2:$B$498,1,false)</f>
        <v>james.braden@docker.com</v>
      </c>
      <c r="J350" s="33" t="s">
        <v>1469</v>
      </c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</row>
    <row r="351">
      <c r="A351" s="31">
        <v>3.45862510308E11</v>
      </c>
      <c r="B351" s="31" t="s">
        <v>1986</v>
      </c>
      <c r="C351" s="31" t="s">
        <v>1972</v>
      </c>
      <c r="D351" s="31" t="s">
        <v>267</v>
      </c>
      <c r="E351" s="31" t="s">
        <v>1974</v>
      </c>
      <c r="F351" s="30"/>
      <c r="G351" s="30"/>
      <c r="H351" s="30"/>
      <c r="I351" s="30" t="str">
        <f>VLOOKUP(D351,'Active Employees'!$B$2:$B$498,1,false)</f>
        <v>james.braden@docker.com</v>
      </c>
      <c r="J351" s="33" t="s">
        <v>1469</v>
      </c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</row>
    <row r="352">
      <c r="A352" s="31">
        <v>3.64430574006E11</v>
      </c>
      <c r="B352" s="31" t="s">
        <v>1987</v>
      </c>
      <c r="C352" s="31" t="s">
        <v>1972</v>
      </c>
      <c r="D352" s="31" t="s">
        <v>267</v>
      </c>
      <c r="E352" s="31" t="s">
        <v>1974</v>
      </c>
      <c r="F352" s="30"/>
      <c r="G352" s="30"/>
      <c r="H352" s="30"/>
      <c r="I352" s="30" t="str">
        <f>VLOOKUP(D352,'Active Employees'!$B$2:$B$498,1,false)</f>
        <v>james.braden@docker.com</v>
      </c>
      <c r="J352" s="33" t="s">
        <v>1469</v>
      </c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</row>
    <row r="353">
      <c r="A353" s="31">
        <v>3.98949996071E11</v>
      </c>
      <c r="B353" s="31" t="s">
        <v>1988</v>
      </c>
      <c r="C353" s="31" t="s">
        <v>1989</v>
      </c>
      <c r="D353" s="31" t="s">
        <v>267</v>
      </c>
      <c r="E353" s="31" t="s">
        <v>1974</v>
      </c>
      <c r="F353" s="30"/>
      <c r="G353" s="30"/>
      <c r="H353" s="30"/>
      <c r="I353" s="30" t="str">
        <f>VLOOKUP(D353,'Active Employees'!$B$2:$B$498,1,false)</f>
        <v>james.braden@docker.com</v>
      </c>
      <c r="J353" s="33" t="s">
        <v>1469</v>
      </c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</row>
    <row r="354">
      <c r="A354" s="31">
        <v>4.33192899833E11</v>
      </c>
      <c r="B354" s="31" t="s">
        <v>1990</v>
      </c>
      <c r="C354" s="31" t="s">
        <v>1972</v>
      </c>
      <c r="D354" s="31" t="s">
        <v>267</v>
      </c>
      <c r="E354" s="31" t="s">
        <v>1974</v>
      </c>
      <c r="F354" s="30"/>
      <c r="G354" s="30"/>
      <c r="H354" s="30"/>
      <c r="I354" s="30" t="str">
        <f>VLOOKUP(D354,'Active Employees'!$B$2:$B$498,1,false)</f>
        <v>james.braden@docker.com</v>
      </c>
      <c r="J354" s="33" t="s">
        <v>1469</v>
      </c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</row>
    <row r="355">
      <c r="A355" s="31">
        <v>4.47924746603E11</v>
      </c>
      <c r="B355" s="31" t="s">
        <v>1991</v>
      </c>
      <c r="C355" s="31" t="s">
        <v>1972</v>
      </c>
      <c r="D355" s="31" t="s">
        <v>267</v>
      </c>
      <c r="E355" s="31" t="s">
        <v>1974</v>
      </c>
      <c r="F355" s="30"/>
      <c r="G355" s="30"/>
      <c r="H355" s="30"/>
      <c r="I355" s="30" t="str">
        <f>VLOOKUP(D355,'Active Employees'!$B$2:$B$498,1,false)</f>
        <v>james.braden@docker.com</v>
      </c>
      <c r="J355" s="33" t="s">
        <v>1469</v>
      </c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</row>
    <row r="356">
      <c r="A356" s="31">
        <v>4.6347093944E11</v>
      </c>
      <c r="B356" s="31" t="s">
        <v>1992</v>
      </c>
      <c r="C356" s="31" t="s">
        <v>1972</v>
      </c>
      <c r="D356" s="31" t="s">
        <v>267</v>
      </c>
      <c r="E356" s="31" t="s">
        <v>1974</v>
      </c>
      <c r="F356" s="30"/>
      <c r="G356" s="30"/>
      <c r="H356" s="30"/>
      <c r="I356" s="30" t="str">
        <f>VLOOKUP(D356,'Active Employees'!$B$2:$B$498,1,false)</f>
        <v>james.braden@docker.com</v>
      </c>
      <c r="J356" s="33" t="s">
        <v>1469</v>
      </c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</row>
    <row r="357">
      <c r="A357" s="31">
        <v>4.77715925773E11</v>
      </c>
      <c r="B357" s="31" t="s">
        <v>1993</v>
      </c>
      <c r="C357" s="31" t="s">
        <v>1972</v>
      </c>
      <c r="D357" s="31" t="s">
        <v>267</v>
      </c>
      <c r="E357" s="31" t="s">
        <v>1974</v>
      </c>
      <c r="F357" s="30"/>
      <c r="G357" s="30"/>
      <c r="H357" s="30"/>
      <c r="I357" s="30" t="str">
        <f>VLOOKUP(D357,'Active Employees'!$B$2:$B$498,1,false)</f>
        <v>james.braden@docker.com</v>
      </c>
      <c r="J357" s="33" t="s">
        <v>1469</v>
      </c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</row>
    <row r="358">
      <c r="A358" s="31">
        <v>5.06620354984E11</v>
      </c>
      <c r="B358" s="31" t="s">
        <v>1994</v>
      </c>
      <c r="C358" s="31" t="s">
        <v>1972</v>
      </c>
      <c r="D358" s="31" t="s">
        <v>267</v>
      </c>
      <c r="E358" s="31" t="s">
        <v>1974</v>
      </c>
      <c r="F358" s="30"/>
      <c r="G358" s="30"/>
      <c r="H358" s="30"/>
      <c r="I358" s="30" t="str">
        <f>VLOOKUP(D358,'Active Employees'!$B$2:$B$498,1,false)</f>
        <v>james.braden@docker.com</v>
      </c>
      <c r="J358" s="33" t="s">
        <v>1469</v>
      </c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</row>
    <row r="359">
      <c r="A359" s="31">
        <v>5.39272219385E11</v>
      </c>
      <c r="B359" s="31" t="s">
        <v>1995</v>
      </c>
      <c r="C359" s="31" t="s">
        <v>1972</v>
      </c>
      <c r="D359" s="31" t="s">
        <v>267</v>
      </c>
      <c r="E359" s="31" t="s">
        <v>1974</v>
      </c>
      <c r="F359" s="30"/>
      <c r="G359" s="30"/>
      <c r="H359" s="30"/>
      <c r="I359" s="30" t="str">
        <f>VLOOKUP(D359,'Active Employees'!$B$2:$B$498,1,false)</f>
        <v>james.braden@docker.com</v>
      </c>
      <c r="J359" s="33" t="s">
        <v>1469</v>
      </c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</row>
    <row r="360">
      <c r="A360" s="31">
        <v>5.40898635624E11</v>
      </c>
      <c r="B360" s="31" t="s">
        <v>1996</v>
      </c>
      <c r="C360" s="31" t="s">
        <v>1972</v>
      </c>
      <c r="D360" s="31" t="s">
        <v>267</v>
      </c>
      <c r="E360" s="31" t="s">
        <v>1974</v>
      </c>
      <c r="F360" s="30"/>
      <c r="G360" s="30"/>
      <c r="H360" s="30"/>
      <c r="I360" s="30" t="str">
        <f>VLOOKUP(D360,'Active Employees'!$B$2:$B$498,1,false)</f>
        <v>james.braden@docker.com</v>
      </c>
      <c r="J360" s="33" t="s">
        <v>1469</v>
      </c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</row>
    <row r="361">
      <c r="A361" s="31">
        <v>6.02326734147E11</v>
      </c>
      <c r="B361" s="31" t="s">
        <v>1997</v>
      </c>
      <c r="C361" s="31" t="s">
        <v>1972</v>
      </c>
      <c r="D361" s="31" t="s">
        <v>267</v>
      </c>
      <c r="E361" s="31" t="s">
        <v>1974</v>
      </c>
      <c r="F361" s="30"/>
      <c r="G361" s="30"/>
      <c r="H361" s="30"/>
      <c r="I361" s="30" t="str">
        <f>VLOOKUP(D361,'Active Employees'!$B$2:$B$498,1,false)</f>
        <v>james.braden@docker.com</v>
      </c>
      <c r="J361" s="33" t="s">
        <v>1469</v>
      </c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</row>
    <row r="362">
      <c r="A362" s="31">
        <v>6.22992712626E11</v>
      </c>
      <c r="B362" s="31" t="s">
        <v>1998</v>
      </c>
      <c r="C362" s="31" t="s">
        <v>1972</v>
      </c>
      <c r="D362" s="31" t="s">
        <v>267</v>
      </c>
      <c r="E362" s="31" t="s">
        <v>1974</v>
      </c>
      <c r="F362" s="30"/>
      <c r="G362" s="30"/>
      <c r="H362" s="30"/>
      <c r="I362" s="30" t="str">
        <f>VLOOKUP(D362,'Active Employees'!$B$2:$B$498,1,false)</f>
        <v>james.braden@docker.com</v>
      </c>
      <c r="J362" s="33" t="s">
        <v>1469</v>
      </c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</row>
    <row r="363">
      <c r="A363" s="31">
        <v>6.37423373108E11</v>
      </c>
      <c r="B363" s="31" t="s">
        <v>1999</v>
      </c>
      <c r="C363" s="31" t="s">
        <v>1972</v>
      </c>
      <c r="D363" s="31" t="s">
        <v>267</v>
      </c>
      <c r="E363" s="31" t="s">
        <v>1974</v>
      </c>
      <c r="F363" s="30"/>
      <c r="G363" s="30"/>
      <c r="H363" s="30"/>
      <c r="I363" s="30" t="str">
        <f>VLOOKUP(D363,'Active Employees'!$B$2:$B$498,1,false)</f>
        <v>james.braden@docker.com</v>
      </c>
      <c r="J363" s="33" t="s">
        <v>1469</v>
      </c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</row>
    <row r="364">
      <c r="A364" s="31">
        <v>6.53834391849E11</v>
      </c>
      <c r="B364" s="31" t="s">
        <v>2000</v>
      </c>
      <c r="C364" s="31" t="s">
        <v>1972</v>
      </c>
      <c r="D364" s="31" t="s">
        <v>267</v>
      </c>
      <c r="E364" s="31" t="s">
        <v>1974</v>
      </c>
      <c r="F364" s="30"/>
      <c r="G364" s="30"/>
      <c r="H364" s="30"/>
      <c r="I364" s="30" t="str">
        <f>VLOOKUP(D364,'Active Employees'!$B$2:$B$498,1,false)</f>
        <v>james.braden@docker.com</v>
      </c>
      <c r="J364" s="33" t="s">
        <v>1469</v>
      </c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</row>
    <row r="365">
      <c r="A365" s="31">
        <v>6.54089975909E11</v>
      </c>
      <c r="B365" s="31" t="s">
        <v>2001</v>
      </c>
      <c r="C365" s="31" t="s">
        <v>1972</v>
      </c>
      <c r="D365" s="31" t="s">
        <v>267</v>
      </c>
      <c r="E365" s="31" t="s">
        <v>1974</v>
      </c>
      <c r="F365" s="30"/>
      <c r="G365" s="30"/>
      <c r="H365" s="30"/>
      <c r="I365" s="30" t="str">
        <f>VLOOKUP(D365,'Active Employees'!$B$2:$B$498,1,false)</f>
        <v>james.braden@docker.com</v>
      </c>
      <c r="J365" s="33" t="s">
        <v>1469</v>
      </c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</row>
    <row r="366">
      <c r="A366" s="31">
        <v>6.54654578585E11</v>
      </c>
      <c r="B366" s="31" t="s">
        <v>2002</v>
      </c>
      <c r="C366" s="31" t="s">
        <v>1972</v>
      </c>
      <c r="D366" s="31" t="s">
        <v>267</v>
      </c>
      <c r="E366" s="31" t="s">
        <v>1974</v>
      </c>
      <c r="F366" s="30"/>
      <c r="G366" s="30"/>
      <c r="H366" s="30"/>
      <c r="I366" s="30" t="str">
        <f>VLOOKUP(D366,'Active Employees'!$B$2:$B$498,1,false)</f>
        <v>james.braden@docker.com</v>
      </c>
      <c r="J366" s="33" t="s">
        <v>1469</v>
      </c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</row>
    <row r="367">
      <c r="A367" s="31">
        <v>6.76043725699E11</v>
      </c>
      <c r="B367" s="31" t="s">
        <v>2003</v>
      </c>
      <c r="C367" s="31" t="s">
        <v>1972</v>
      </c>
      <c r="D367" s="31" t="s">
        <v>267</v>
      </c>
      <c r="E367" s="31" t="s">
        <v>1974</v>
      </c>
      <c r="F367" s="30"/>
      <c r="G367" s="30"/>
      <c r="H367" s="30"/>
      <c r="I367" s="30" t="str">
        <f>VLOOKUP(D367,'Active Employees'!$B$2:$B$498,1,false)</f>
        <v>james.braden@docker.com</v>
      </c>
      <c r="J367" s="33" t="s">
        <v>1469</v>
      </c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</row>
    <row r="368">
      <c r="A368" s="31">
        <v>6.89740959397E11</v>
      </c>
      <c r="B368" s="31" t="s">
        <v>2004</v>
      </c>
      <c r="C368" s="31" t="s">
        <v>1972</v>
      </c>
      <c r="D368" s="31" t="s">
        <v>267</v>
      </c>
      <c r="E368" s="31" t="s">
        <v>1974</v>
      </c>
      <c r="F368" s="30"/>
      <c r="G368" s="30"/>
      <c r="H368" s="30"/>
      <c r="I368" s="30" t="str">
        <f>VLOOKUP(D368,'Active Employees'!$B$2:$B$498,1,false)</f>
        <v>james.braden@docker.com</v>
      </c>
      <c r="J368" s="33" t="s">
        <v>1469</v>
      </c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</row>
    <row r="369">
      <c r="A369" s="31">
        <v>7.10015040892E11</v>
      </c>
      <c r="B369" s="31" t="s">
        <v>2005</v>
      </c>
      <c r="C369" s="31" t="s">
        <v>1972</v>
      </c>
      <c r="D369" s="31" t="s">
        <v>267</v>
      </c>
      <c r="E369" s="31" t="s">
        <v>1974</v>
      </c>
      <c r="F369" s="30"/>
      <c r="G369" s="30"/>
      <c r="H369" s="30"/>
      <c r="I369" s="30" t="str">
        <f>VLOOKUP(D369,'Active Employees'!$B$2:$B$498,1,false)</f>
        <v>james.braden@docker.com</v>
      </c>
      <c r="J369" s="33" t="s">
        <v>1469</v>
      </c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</row>
    <row r="370">
      <c r="A370" s="31">
        <v>7.15809519905E11</v>
      </c>
      <c r="B370" s="31" t="s">
        <v>2006</v>
      </c>
      <c r="C370" s="31" t="s">
        <v>1972</v>
      </c>
      <c r="D370" s="31" t="s">
        <v>267</v>
      </c>
      <c r="E370" s="31" t="s">
        <v>1974</v>
      </c>
      <c r="F370" s="30"/>
      <c r="G370" s="30"/>
      <c r="H370" s="30"/>
      <c r="I370" s="30" t="str">
        <f>VLOOKUP(D370,'Active Employees'!$B$2:$B$498,1,false)</f>
        <v>james.braden@docker.com</v>
      </c>
      <c r="J370" s="33" t="s">
        <v>1469</v>
      </c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</row>
    <row r="371">
      <c r="A371" s="31">
        <v>7.25113757135E11</v>
      </c>
      <c r="B371" s="31" t="s">
        <v>2007</v>
      </c>
      <c r="C371" s="31" t="s">
        <v>1972</v>
      </c>
      <c r="D371" s="31" t="s">
        <v>267</v>
      </c>
      <c r="E371" s="31" t="s">
        <v>1974</v>
      </c>
      <c r="F371" s="30"/>
      <c r="G371" s="30"/>
      <c r="H371" s="30"/>
      <c r="I371" s="30" t="str">
        <f>VLOOKUP(D371,'Active Employees'!$B$2:$B$498,1,false)</f>
        <v>james.braden@docker.com</v>
      </c>
      <c r="J371" s="33" t="s">
        <v>1469</v>
      </c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</row>
    <row r="372">
      <c r="A372" s="31">
        <v>7.41686272442E11</v>
      </c>
      <c r="B372" s="31" t="s">
        <v>2008</v>
      </c>
      <c r="C372" s="31" t="s">
        <v>1972</v>
      </c>
      <c r="D372" s="31" t="s">
        <v>267</v>
      </c>
      <c r="E372" s="31" t="s">
        <v>1974</v>
      </c>
      <c r="F372" s="30"/>
      <c r="G372" s="30"/>
      <c r="H372" s="30"/>
      <c r="I372" s="30" t="str">
        <f>VLOOKUP(D372,'Active Employees'!$B$2:$B$498,1,false)</f>
        <v>james.braden@docker.com</v>
      </c>
      <c r="J372" s="33" t="s">
        <v>1469</v>
      </c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</row>
    <row r="373">
      <c r="A373" s="31">
        <v>8.01373416553E11</v>
      </c>
      <c r="B373" s="31" t="s">
        <v>2009</v>
      </c>
      <c r="C373" s="31" t="s">
        <v>1972</v>
      </c>
      <c r="D373" s="31" t="s">
        <v>267</v>
      </c>
      <c r="E373" s="31" t="s">
        <v>1974</v>
      </c>
      <c r="F373" s="30"/>
      <c r="G373" s="30"/>
      <c r="H373" s="30"/>
      <c r="I373" s="30" t="str">
        <f>VLOOKUP(D373,'Active Employees'!$B$2:$B$498,1,false)</f>
        <v>james.braden@docker.com</v>
      </c>
      <c r="J373" s="33" t="s">
        <v>1469</v>
      </c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</row>
    <row r="374">
      <c r="A374" s="31">
        <v>8.37880040897E11</v>
      </c>
      <c r="B374" s="31" t="s">
        <v>2010</v>
      </c>
      <c r="C374" s="31" t="s">
        <v>1972</v>
      </c>
      <c r="D374" s="31" t="s">
        <v>267</v>
      </c>
      <c r="E374" s="31" t="s">
        <v>1974</v>
      </c>
      <c r="F374" s="30"/>
      <c r="G374" s="30"/>
      <c r="H374" s="30"/>
      <c r="I374" s="30" t="str">
        <f>VLOOKUP(D374,'Active Employees'!$B$2:$B$498,1,false)</f>
        <v>james.braden@docker.com</v>
      </c>
      <c r="J374" s="33" t="s">
        <v>1469</v>
      </c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</row>
    <row r="375">
      <c r="A375" s="31">
        <v>8.66613861722E11</v>
      </c>
      <c r="B375" s="31" t="s">
        <v>2011</v>
      </c>
      <c r="C375" s="31" t="s">
        <v>1972</v>
      </c>
      <c r="D375" s="31" t="s">
        <v>267</v>
      </c>
      <c r="E375" s="31" t="s">
        <v>1974</v>
      </c>
      <c r="F375" s="30"/>
      <c r="G375" s="30"/>
      <c r="H375" s="30"/>
      <c r="I375" s="30" t="str">
        <f>VLOOKUP(D375,'Active Employees'!$B$2:$B$498,1,false)</f>
        <v>james.braden@docker.com</v>
      </c>
      <c r="J375" s="33" t="s">
        <v>1469</v>
      </c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</row>
    <row r="376">
      <c r="A376" s="31">
        <v>8.7100165961E11</v>
      </c>
      <c r="B376" s="31" t="s">
        <v>2012</v>
      </c>
      <c r="C376" s="31" t="s">
        <v>1972</v>
      </c>
      <c r="D376" s="31" t="s">
        <v>267</v>
      </c>
      <c r="E376" s="31" t="s">
        <v>1974</v>
      </c>
      <c r="F376" s="30"/>
      <c r="G376" s="30"/>
      <c r="H376" s="30"/>
      <c r="I376" s="30" t="str">
        <f>VLOOKUP(D376,'Active Employees'!$B$2:$B$498,1,false)</f>
        <v>james.braden@docker.com</v>
      </c>
      <c r="J376" s="33" t="s">
        <v>1469</v>
      </c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</row>
    <row r="377">
      <c r="A377" s="31">
        <v>8.82892008441E11</v>
      </c>
      <c r="B377" s="31" t="s">
        <v>2013</v>
      </c>
      <c r="C377" s="31" t="s">
        <v>1972</v>
      </c>
      <c r="D377" s="31" t="s">
        <v>267</v>
      </c>
      <c r="E377" s="31" t="s">
        <v>1974</v>
      </c>
      <c r="F377" s="30"/>
      <c r="G377" s="30"/>
      <c r="H377" s="30"/>
      <c r="I377" s="30" t="str">
        <f>VLOOKUP(D377,'Active Employees'!$B$2:$B$498,1,false)</f>
        <v>james.braden@docker.com</v>
      </c>
      <c r="J377" s="33" t="s">
        <v>1469</v>
      </c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</row>
    <row r="378">
      <c r="A378" s="31">
        <v>8.88577047425E11</v>
      </c>
      <c r="B378" s="31" t="s">
        <v>2014</v>
      </c>
      <c r="C378" s="31" t="s">
        <v>1972</v>
      </c>
      <c r="D378" s="31" t="s">
        <v>267</v>
      </c>
      <c r="E378" s="31" t="s">
        <v>1974</v>
      </c>
      <c r="F378" s="30"/>
      <c r="G378" s="30"/>
      <c r="H378" s="30"/>
      <c r="I378" s="30" t="str">
        <f>VLOOKUP(D378,'Active Employees'!$B$2:$B$498,1,false)</f>
        <v>james.braden@docker.com</v>
      </c>
      <c r="J378" s="33" t="s">
        <v>1469</v>
      </c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</row>
    <row r="379">
      <c r="A379" s="31">
        <v>8.91377047271E11</v>
      </c>
      <c r="B379" s="31" t="s">
        <v>2015</v>
      </c>
      <c r="C379" s="31" t="s">
        <v>1972</v>
      </c>
      <c r="D379" s="31" t="s">
        <v>267</v>
      </c>
      <c r="E379" s="31" t="s">
        <v>1974</v>
      </c>
      <c r="F379" s="30"/>
      <c r="G379" s="30"/>
      <c r="H379" s="30"/>
      <c r="I379" s="30" t="str">
        <f>VLOOKUP(D379,'Active Employees'!$B$2:$B$498,1,false)</f>
        <v>james.braden@docker.com</v>
      </c>
      <c r="J379" s="33" t="s">
        <v>1469</v>
      </c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</row>
    <row r="380">
      <c r="A380" s="31">
        <v>9.03032050004E11</v>
      </c>
      <c r="B380" s="31" t="s">
        <v>2016</v>
      </c>
      <c r="C380" s="31" t="s">
        <v>1972</v>
      </c>
      <c r="D380" s="31" t="s">
        <v>267</v>
      </c>
      <c r="E380" s="31" t="s">
        <v>1974</v>
      </c>
      <c r="F380" s="30"/>
      <c r="G380" s="30"/>
      <c r="H380" s="30"/>
      <c r="I380" s="30" t="str">
        <f>VLOOKUP(D380,'Active Employees'!$B$2:$B$498,1,false)</f>
        <v>james.braden@docker.com</v>
      </c>
      <c r="J380" s="33" t="s">
        <v>1469</v>
      </c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</row>
    <row r="381">
      <c r="A381" s="31">
        <v>9.03773873662E11</v>
      </c>
      <c r="B381" s="31" t="s">
        <v>2017</v>
      </c>
      <c r="C381" s="31" t="s">
        <v>1972</v>
      </c>
      <c r="D381" s="31" t="s">
        <v>267</v>
      </c>
      <c r="E381" s="31" t="s">
        <v>1974</v>
      </c>
      <c r="F381" s="30"/>
      <c r="G381" s="30"/>
      <c r="H381" s="30"/>
      <c r="I381" s="30" t="str">
        <f>VLOOKUP(D381,'Active Employees'!$B$2:$B$498,1,false)</f>
        <v>james.braden@docker.com</v>
      </c>
      <c r="J381" s="33" t="s">
        <v>1469</v>
      </c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</row>
    <row r="382">
      <c r="A382" s="31">
        <v>9.12777366807E11</v>
      </c>
      <c r="B382" s="31" t="s">
        <v>2018</v>
      </c>
      <c r="C382" s="31" t="s">
        <v>1972</v>
      </c>
      <c r="D382" s="31" t="s">
        <v>267</v>
      </c>
      <c r="E382" s="31" t="s">
        <v>1974</v>
      </c>
      <c r="F382" s="30"/>
      <c r="G382" s="30"/>
      <c r="H382" s="30"/>
      <c r="I382" s="30" t="str">
        <f>VLOOKUP(D382,'Active Employees'!$B$2:$B$498,1,false)</f>
        <v>james.braden@docker.com</v>
      </c>
      <c r="J382" s="33" t="s">
        <v>1469</v>
      </c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</row>
    <row r="383">
      <c r="A383" s="31">
        <v>9.58563233736E11</v>
      </c>
      <c r="B383" s="31" t="s">
        <v>2019</v>
      </c>
      <c r="C383" s="31" t="s">
        <v>1972</v>
      </c>
      <c r="D383" s="31" t="s">
        <v>267</v>
      </c>
      <c r="E383" s="31" t="s">
        <v>1974</v>
      </c>
      <c r="F383" s="30"/>
      <c r="G383" s="30"/>
      <c r="H383" s="30"/>
      <c r="I383" s="30" t="str">
        <f>VLOOKUP(D383,'Active Employees'!$B$2:$B$498,1,false)</f>
        <v>james.braden@docker.com</v>
      </c>
      <c r="J383" s="33" t="s">
        <v>1469</v>
      </c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</row>
    <row r="384">
      <c r="A384" s="31">
        <v>9.75050170311E11</v>
      </c>
      <c r="B384" s="31" t="s">
        <v>2020</v>
      </c>
      <c r="C384" s="31" t="s">
        <v>1972</v>
      </c>
      <c r="D384" s="31" t="s">
        <v>267</v>
      </c>
      <c r="E384" s="31" t="s">
        <v>1974</v>
      </c>
      <c r="F384" s="30"/>
      <c r="G384" s="30"/>
      <c r="H384" s="30"/>
      <c r="I384" s="30" t="str">
        <f>VLOOKUP(D384,'Active Employees'!$B$2:$B$498,1,false)</f>
        <v>james.braden@docker.com</v>
      </c>
      <c r="J384" s="33" t="s">
        <v>1469</v>
      </c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</row>
    <row r="385">
      <c r="A385" s="31">
        <v>9.91137750147E11</v>
      </c>
      <c r="B385" s="31" t="s">
        <v>2021</v>
      </c>
      <c r="C385" s="31" t="s">
        <v>1972</v>
      </c>
      <c r="D385" s="31" t="s">
        <v>267</v>
      </c>
      <c r="E385" s="31" t="s">
        <v>1974</v>
      </c>
      <c r="F385" s="30"/>
      <c r="G385" s="30"/>
      <c r="H385" s="30"/>
      <c r="I385" s="30" t="str">
        <f>VLOOKUP(D385,'Active Employees'!$B$2:$B$498,1,false)</f>
        <v>james.braden@docker.com</v>
      </c>
      <c r="J385" s="33" t="s">
        <v>1469</v>
      </c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</row>
    <row r="386">
      <c r="A386" s="31">
        <v>1.0438487392E10</v>
      </c>
      <c r="B386" s="31" t="s">
        <v>1971</v>
      </c>
      <c r="C386" s="31" t="s">
        <v>1972</v>
      </c>
      <c r="D386" s="31" t="s">
        <v>619</v>
      </c>
      <c r="E386" s="31" t="s">
        <v>1974</v>
      </c>
      <c r="F386" s="30"/>
      <c r="G386" s="30"/>
      <c r="H386" s="30"/>
      <c r="I386" s="30" t="str">
        <f>VLOOKUP(D386,'Active Employees'!$B$2:$B$498,1,false)</f>
        <v>javier.garcia@docker.com</v>
      </c>
      <c r="J386" s="33" t="s">
        <v>1469</v>
      </c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</row>
    <row r="387">
      <c r="A387" s="31">
        <v>4.7302296459E10</v>
      </c>
      <c r="B387" s="31" t="s">
        <v>1975</v>
      </c>
      <c r="C387" s="31" t="s">
        <v>1972</v>
      </c>
      <c r="D387" s="31" t="s">
        <v>619</v>
      </c>
      <c r="E387" s="31" t="s">
        <v>1974</v>
      </c>
      <c r="F387" s="30"/>
      <c r="G387" s="30"/>
      <c r="H387" s="30"/>
      <c r="I387" s="30" t="str">
        <f>VLOOKUP(D387,'Active Employees'!$B$2:$B$498,1,false)</f>
        <v>javier.garcia@docker.com</v>
      </c>
      <c r="J387" s="33" t="s">
        <v>1469</v>
      </c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</row>
    <row r="388">
      <c r="A388" s="31">
        <v>5.8264503038E10</v>
      </c>
      <c r="B388" s="31" t="s">
        <v>1976</v>
      </c>
      <c r="C388" s="31" t="s">
        <v>1972</v>
      </c>
      <c r="D388" s="31" t="s">
        <v>619</v>
      </c>
      <c r="E388" s="31" t="s">
        <v>1974</v>
      </c>
      <c r="F388" s="30"/>
      <c r="G388" s="30"/>
      <c r="H388" s="30"/>
      <c r="I388" s="30" t="str">
        <f>VLOOKUP(D388,'Active Employees'!$B$2:$B$498,1,false)</f>
        <v>javier.garcia@docker.com</v>
      </c>
      <c r="J388" s="33" t="s">
        <v>1469</v>
      </c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</row>
    <row r="389">
      <c r="A389" s="31">
        <v>9.9407438094E10</v>
      </c>
      <c r="B389" s="31" t="s">
        <v>1977</v>
      </c>
      <c r="C389" s="31" t="s">
        <v>1972</v>
      </c>
      <c r="D389" s="31" t="s">
        <v>619</v>
      </c>
      <c r="E389" s="31" t="s">
        <v>1974</v>
      </c>
      <c r="F389" s="30"/>
      <c r="G389" s="30"/>
      <c r="H389" s="30"/>
      <c r="I389" s="30" t="str">
        <f>VLOOKUP(D389,'Active Employees'!$B$2:$B$498,1,false)</f>
        <v>javier.garcia@docker.com</v>
      </c>
      <c r="J389" s="33" t="s">
        <v>1469</v>
      </c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</row>
    <row r="390">
      <c r="A390" s="31">
        <v>1.11664719423E11</v>
      </c>
      <c r="B390" s="31" t="s">
        <v>1978</v>
      </c>
      <c r="C390" s="31" t="s">
        <v>1972</v>
      </c>
      <c r="D390" s="31" t="s">
        <v>619</v>
      </c>
      <c r="E390" s="31" t="s">
        <v>1974</v>
      </c>
      <c r="F390" s="30"/>
      <c r="G390" s="30"/>
      <c r="H390" s="30"/>
      <c r="I390" s="30" t="str">
        <f>VLOOKUP(D390,'Active Employees'!$B$2:$B$498,1,false)</f>
        <v>javier.garcia@docker.com</v>
      </c>
      <c r="J390" s="33" t="s">
        <v>1469</v>
      </c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</row>
    <row r="391">
      <c r="A391" s="31">
        <v>1.75142243308E11</v>
      </c>
      <c r="B391" s="31" t="s">
        <v>1979</v>
      </c>
      <c r="C391" s="31" t="s">
        <v>1972</v>
      </c>
      <c r="D391" s="31" t="s">
        <v>619</v>
      </c>
      <c r="E391" s="31" t="s">
        <v>1974</v>
      </c>
      <c r="F391" s="30"/>
      <c r="G391" s="30"/>
      <c r="H391" s="30"/>
      <c r="I391" s="30" t="str">
        <f>VLOOKUP(D391,'Active Employees'!$B$2:$B$498,1,false)</f>
        <v>javier.garcia@docker.com</v>
      </c>
      <c r="J391" s="33" t="s">
        <v>1469</v>
      </c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</row>
    <row r="392">
      <c r="A392" s="31">
        <v>2.67155176707E11</v>
      </c>
      <c r="B392" s="31" t="s">
        <v>1980</v>
      </c>
      <c r="C392" s="31" t="s">
        <v>1972</v>
      </c>
      <c r="D392" s="31" t="s">
        <v>619</v>
      </c>
      <c r="E392" s="31" t="s">
        <v>1974</v>
      </c>
      <c r="F392" s="30"/>
      <c r="G392" s="30"/>
      <c r="H392" s="30"/>
      <c r="I392" s="30" t="str">
        <f>VLOOKUP(D392,'Active Employees'!$B$2:$B$498,1,false)</f>
        <v>javier.garcia@docker.com</v>
      </c>
      <c r="J392" s="33" t="s">
        <v>1469</v>
      </c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</row>
    <row r="393">
      <c r="A393" s="31">
        <v>2.77603989202E11</v>
      </c>
      <c r="B393" s="31" t="s">
        <v>1981</v>
      </c>
      <c r="C393" s="31" t="s">
        <v>1972</v>
      </c>
      <c r="D393" s="31" t="s">
        <v>619</v>
      </c>
      <c r="E393" s="31" t="s">
        <v>1974</v>
      </c>
      <c r="F393" s="30"/>
      <c r="G393" s="30"/>
      <c r="H393" s="30"/>
      <c r="I393" s="30" t="str">
        <f>VLOOKUP(D393,'Active Employees'!$B$2:$B$498,1,false)</f>
        <v>javier.garcia@docker.com</v>
      </c>
      <c r="J393" s="33" t="s">
        <v>1469</v>
      </c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</row>
    <row r="394">
      <c r="A394" s="31">
        <v>3.00042230143E11</v>
      </c>
      <c r="B394" s="31" t="s">
        <v>1982</v>
      </c>
      <c r="C394" s="31" t="s">
        <v>1972</v>
      </c>
      <c r="D394" s="31" t="s">
        <v>619</v>
      </c>
      <c r="E394" s="31" t="s">
        <v>1974</v>
      </c>
      <c r="F394" s="30"/>
      <c r="G394" s="30"/>
      <c r="H394" s="30"/>
      <c r="I394" s="30" t="str">
        <f>VLOOKUP(D394,'Active Employees'!$B$2:$B$498,1,false)</f>
        <v>javier.garcia@docker.com</v>
      </c>
      <c r="J394" s="33" t="s">
        <v>1469</v>
      </c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</row>
    <row r="395">
      <c r="A395" s="31">
        <v>3.0370012255E11</v>
      </c>
      <c r="B395" s="31" t="s">
        <v>1983</v>
      </c>
      <c r="C395" s="31" t="s">
        <v>1972</v>
      </c>
      <c r="D395" s="31" t="s">
        <v>619</v>
      </c>
      <c r="E395" s="31" t="s">
        <v>1974</v>
      </c>
      <c r="F395" s="30"/>
      <c r="G395" s="30"/>
      <c r="H395" s="30"/>
      <c r="I395" s="30" t="str">
        <f>VLOOKUP(D395,'Active Employees'!$B$2:$B$498,1,false)</f>
        <v>javier.garcia@docker.com</v>
      </c>
      <c r="J395" s="33" t="s">
        <v>1469</v>
      </c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</row>
    <row r="396">
      <c r="A396" s="31">
        <v>3.13121495448E11</v>
      </c>
      <c r="B396" s="31" t="s">
        <v>1984</v>
      </c>
      <c r="C396" s="31" t="s">
        <v>1972</v>
      </c>
      <c r="D396" s="31" t="s">
        <v>619</v>
      </c>
      <c r="E396" s="31" t="s">
        <v>1974</v>
      </c>
      <c r="F396" s="30"/>
      <c r="G396" s="30"/>
      <c r="H396" s="30"/>
      <c r="I396" s="30" t="str">
        <f>VLOOKUP(D396,'Active Employees'!$B$2:$B$498,1,false)</f>
        <v>javier.garcia@docker.com</v>
      </c>
      <c r="J396" s="33" t="s">
        <v>1469</v>
      </c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</row>
    <row r="397">
      <c r="A397" s="31">
        <v>3.18510287843E11</v>
      </c>
      <c r="B397" s="31" t="s">
        <v>1985</v>
      </c>
      <c r="C397" s="31" t="s">
        <v>1972</v>
      </c>
      <c r="D397" s="31" t="s">
        <v>619</v>
      </c>
      <c r="E397" s="31" t="s">
        <v>1974</v>
      </c>
      <c r="F397" s="30"/>
      <c r="G397" s="30"/>
      <c r="H397" s="30"/>
      <c r="I397" s="30" t="str">
        <f>VLOOKUP(D397,'Active Employees'!$B$2:$B$498,1,false)</f>
        <v>javier.garcia@docker.com</v>
      </c>
      <c r="J397" s="33" t="s">
        <v>1469</v>
      </c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</row>
    <row r="398">
      <c r="A398" s="31">
        <v>3.28193795291E11</v>
      </c>
      <c r="B398" s="31" t="s">
        <v>1579</v>
      </c>
      <c r="C398" s="31" t="s">
        <v>1972</v>
      </c>
      <c r="D398" s="31" t="s">
        <v>619</v>
      </c>
      <c r="E398" s="31" t="s">
        <v>1974</v>
      </c>
      <c r="F398" s="30"/>
      <c r="G398" s="30"/>
      <c r="H398" s="30"/>
      <c r="I398" s="30" t="str">
        <f>VLOOKUP(D398,'Active Employees'!$B$2:$B$498,1,false)</f>
        <v>javier.garcia@docker.com</v>
      </c>
      <c r="J398" s="33" t="s">
        <v>1469</v>
      </c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</row>
    <row r="399">
      <c r="A399" s="31">
        <v>3.45862510308E11</v>
      </c>
      <c r="B399" s="31" t="s">
        <v>1986</v>
      </c>
      <c r="C399" s="31" t="s">
        <v>1972</v>
      </c>
      <c r="D399" s="31" t="s">
        <v>619</v>
      </c>
      <c r="E399" s="31" t="s">
        <v>1974</v>
      </c>
      <c r="F399" s="30"/>
      <c r="G399" s="30"/>
      <c r="H399" s="30"/>
      <c r="I399" s="30" t="str">
        <f>VLOOKUP(D399,'Active Employees'!$B$2:$B$498,1,false)</f>
        <v>javier.garcia@docker.com</v>
      </c>
      <c r="J399" s="33" t="s">
        <v>1469</v>
      </c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</row>
    <row r="400">
      <c r="A400" s="31">
        <v>3.64430574006E11</v>
      </c>
      <c r="B400" s="31" t="s">
        <v>1987</v>
      </c>
      <c r="C400" s="31" t="s">
        <v>1972</v>
      </c>
      <c r="D400" s="31" t="s">
        <v>619</v>
      </c>
      <c r="E400" s="31" t="s">
        <v>1974</v>
      </c>
      <c r="F400" s="30"/>
      <c r="G400" s="30"/>
      <c r="H400" s="30"/>
      <c r="I400" s="30" t="str">
        <f>VLOOKUP(D400,'Active Employees'!$B$2:$B$498,1,false)</f>
        <v>javier.garcia@docker.com</v>
      </c>
      <c r="J400" s="33" t="s">
        <v>1469</v>
      </c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</row>
    <row r="401">
      <c r="A401" s="31">
        <v>3.98949996071E11</v>
      </c>
      <c r="B401" s="31" t="s">
        <v>1988</v>
      </c>
      <c r="C401" s="31" t="s">
        <v>1989</v>
      </c>
      <c r="D401" s="31" t="s">
        <v>619</v>
      </c>
      <c r="E401" s="31" t="s">
        <v>1974</v>
      </c>
      <c r="F401" s="30"/>
      <c r="G401" s="30"/>
      <c r="H401" s="30"/>
      <c r="I401" s="30" t="str">
        <f>VLOOKUP(D401,'Active Employees'!$B$2:$B$498,1,false)</f>
        <v>javier.garcia@docker.com</v>
      </c>
      <c r="J401" s="33" t="s">
        <v>1469</v>
      </c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</row>
    <row r="402">
      <c r="A402" s="31">
        <v>4.33192899833E11</v>
      </c>
      <c r="B402" s="31" t="s">
        <v>1990</v>
      </c>
      <c r="C402" s="31" t="s">
        <v>1972</v>
      </c>
      <c r="D402" s="31" t="s">
        <v>619</v>
      </c>
      <c r="E402" s="31" t="s">
        <v>1974</v>
      </c>
      <c r="F402" s="30"/>
      <c r="G402" s="30"/>
      <c r="H402" s="30"/>
      <c r="I402" s="30" t="str">
        <f>VLOOKUP(D402,'Active Employees'!$B$2:$B$498,1,false)</f>
        <v>javier.garcia@docker.com</v>
      </c>
      <c r="J402" s="33" t="s">
        <v>1469</v>
      </c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</row>
    <row r="403">
      <c r="A403" s="31">
        <v>4.47924746603E11</v>
      </c>
      <c r="B403" s="31" t="s">
        <v>1991</v>
      </c>
      <c r="C403" s="31" t="s">
        <v>1972</v>
      </c>
      <c r="D403" s="31" t="s">
        <v>619</v>
      </c>
      <c r="E403" s="31" t="s">
        <v>1974</v>
      </c>
      <c r="F403" s="30"/>
      <c r="G403" s="30"/>
      <c r="H403" s="30"/>
      <c r="I403" s="30" t="str">
        <f>VLOOKUP(D403,'Active Employees'!$B$2:$B$498,1,false)</f>
        <v>javier.garcia@docker.com</v>
      </c>
      <c r="J403" s="33" t="s">
        <v>1469</v>
      </c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</row>
    <row r="404">
      <c r="A404" s="31">
        <v>4.6347093944E11</v>
      </c>
      <c r="B404" s="31" t="s">
        <v>1992</v>
      </c>
      <c r="C404" s="31" t="s">
        <v>1972</v>
      </c>
      <c r="D404" s="31" t="s">
        <v>619</v>
      </c>
      <c r="E404" s="31" t="s">
        <v>1974</v>
      </c>
      <c r="F404" s="30"/>
      <c r="G404" s="30"/>
      <c r="H404" s="30"/>
      <c r="I404" s="30" t="str">
        <f>VLOOKUP(D404,'Active Employees'!$B$2:$B$498,1,false)</f>
        <v>javier.garcia@docker.com</v>
      </c>
      <c r="J404" s="33" t="s">
        <v>1469</v>
      </c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</row>
    <row r="405">
      <c r="A405" s="31">
        <v>4.77715925773E11</v>
      </c>
      <c r="B405" s="31" t="s">
        <v>1993</v>
      </c>
      <c r="C405" s="31" t="s">
        <v>1972</v>
      </c>
      <c r="D405" s="31" t="s">
        <v>619</v>
      </c>
      <c r="E405" s="31" t="s">
        <v>1974</v>
      </c>
      <c r="F405" s="30"/>
      <c r="G405" s="30"/>
      <c r="H405" s="30"/>
      <c r="I405" s="30" t="str">
        <f>VLOOKUP(D405,'Active Employees'!$B$2:$B$498,1,false)</f>
        <v>javier.garcia@docker.com</v>
      </c>
      <c r="J405" s="33" t="s">
        <v>1469</v>
      </c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</row>
    <row r="406">
      <c r="A406" s="31">
        <v>5.06620354984E11</v>
      </c>
      <c r="B406" s="31" t="s">
        <v>1994</v>
      </c>
      <c r="C406" s="31" t="s">
        <v>1972</v>
      </c>
      <c r="D406" s="31" t="s">
        <v>619</v>
      </c>
      <c r="E406" s="31" t="s">
        <v>1974</v>
      </c>
      <c r="F406" s="30"/>
      <c r="G406" s="30"/>
      <c r="H406" s="30"/>
      <c r="I406" s="30" t="str">
        <f>VLOOKUP(D406,'Active Employees'!$B$2:$B$498,1,false)</f>
        <v>javier.garcia@docker.com</v>
      </c>
      <c r="J406" s="33" t="s">
        <v>1469</v>
      </c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</row>
    <row r="407">
      <c r="A407" s="31">
        <v>5.39272219385E11</v>
      </c>
      <c r="B407" s="31" t="s">
        <v>1995</v>
      </c>
      <c r="C407" s="31" t="s">
        <v>1972</v>
      </c>
      <c r="D407" s="31" t="s">
        <v>619</v>
      </c>
      <c r="E407" s="31" t="s">
        <v>1974</v>
      </c>
      <c r="F407" s="30"/>
      <c r="G407" s="30"/>
      <c r="H407" s="30"/>
      <c r="I407" s="30" t="str">
        <f>VLOOKUP(D407,'Active Employees'!$B$2:$B$498,1,false)</f>
        <v>javier.garcia@docker.com</v>
      </c>
      <c r="J407" s="33" t="s">
        <v>1469</v>
      </c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</row>
    <row r="408">
      <c r="A408" s="31">
        <v>5.40898635624E11</v>
      </c>
      <c r="B408" s="31" t="s">
        <v>1996</v>
      </c>
      <c r="C408" s="31" t="s">
        <v>1972</v>
      </c>
      <c r="D408" s="31" t="s">
        <v>619</v>
      </c>
      <c r="E408" s="31" t="s">
        <v>1974</v>
      </c>
      <c r="F408" s="30"/>
      <c r="G408" s="30"/>
      <c r="H408" s="30"/>
      <c r="I408" s="30" t="str">
        <f>VLOOKUP(D408,'Active Employees'!$B$2:$B$498,1,false)</f>
        <v>javier.garcia@docker.com</v>
      </c>
      <c r="J408" s="33" t="s">
        <v>1469</v>
      </c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</row>
    <row r="409">
      <c r="A409" s="31">
        <v>6.02326734147E11</v>
      </c>
      <c r="B409" s="31" t="s">
        <v>1997</v>
      </c>
      <c r="C409" s="31" t="s">
        <v>1972</v>
      </c>
      <c r="D409" s="31" t="s">
        <v>619</v>
      </c>
      <c r="E409" s="31" t="s">
        <v>1974</v>
      </c>
      <c r="F409" s="30"/>
      <c r="G409" s="30"/>
      <c r="H409" s="30"/>
      <c r="I409" s="30" t="str">
        <f>VLOOKUP(D409,'Active Employees'!$B$2:$B$498,1,false)</f>
        <v>javier.garcia@docker.com</v>
      </c>
      <c r="J409" s="33" t="s">
        <v>1469</v>
      </c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</row>
    <row r="410">
      <c r="A410" s="31">
        <v>6.22992712626E11</v>
      </c>
      <c r="B410" s="31" t="s">
        <v>1998</v>
      </c>
      <c r="C410" s="31" t="s">
        <v>1972</v>
      </c>
      <c r="D410" s="31" t="s">
        <v>619</v>
      </c>
      <c r="E410" s="31" t="s">
        <v>1974</v>
      </c>
      <c r="F410" s="30"/>
      <c r="G410" s="30"/>
      <c r="H410" s="30"/>
      <c r="I410" s="30" t="str">
        <f>VLOOKUP(D410,'Active Employees'!$B$2:$B$498,1,false)</f>
        <v>javier.garcia@docker.com</v>
      </c>
      <c r="J410" s="33" t="s">
        <v>1469</v>
      </c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</row>
    <row r="411">
      <c r="A411" s="31">
        <v>6.37423373108E11</v>
      </c>
      <c r="B411" s="31" t="s">
        <v>1999</v>
      </c>
      <c r="C411" s="31" t="s">
        <v>1972</v>
      </c>
      <c r="D411" s="31" t="s">
        <v>619</v>
      </c>
      <c r="E411" s="31" t="s">
        <v>1974</v>
      </c>
      <c r="F411" s="30"/>
      <c r="G411" s="30"/>
      <c r="H411" s="30"/>
      <c r="I411" s="30" t="str">
        <f>VLOOKUP(D411,'Active Employees'!$B$2:$B$498,1,false)</f>
        <v>javier.garcia@docker.com</v>
      </c>
      <c r="J411" s="33" t="s">
        <v>1469</v>
      </c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</row>
    <row r="412">
      <c r="A412" s="31">
        <v>6.53834391849E11</v>
      </c>
      <c r="B412" s="31" t="s">
        <v>2000</v>
      </c>
      <c r="C412" s="31" t="s">
        <v>1972</v>
      </c>
      <c r="D412" s="31" t="s">
        <v>619</v>
      </c>
      <c r="E412" s="31" t="s">
        <v>1974</v>
      </c>
      <c r="F412" s="30"/>
      <c r="G412" s="30"/>
      <c r="H412" s="30"/>
      <c r="I412" s="30" t="str">
        <f>VLOOKUP(D412,'Active Employees'!$B$2:$B$498,1,false)</f>
        <v>javier.garcia@docker.com</v>
      </c>
      <c r="J412" s="33" t="s">
        <v>1469</v>
      </c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</row>
    <row r="413">
      <c r="A413" s="31">
        <v>6.54089975909E11</v>
      </c>
      <c r="B413" s="31" t="s">
        <v>2001</v>
      </c>
      <c r="C413" s="31" t="s">
        <v>1972</v>
      </c>
      <c r="D413" s="31" t="s">
        <v>619</v>
      </c>
      <c r="E413" s="31" t="s">
        <v>1974</v>
      </c>
      <c r="F413" s="30"/>
      <c r="G413" s="30"/>
      <c r="H413" s="30"/>
      <c r="I413" s="30" t="str">
        <f>VLOOKUP(D413,'Active Employees'!$B$2:$B$498,1,false)</f>
        <v>javier.garcia@docker.com</v>
      </c>
      <c r="J413" s="33" t="s">
        <v>1469</v>
      </c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</row>
    <row r="414">
      <c r="A414" s="31">
        <v>6.54654578585E11</v>
      </c>
      <c r="B414" s="31" t="s">
        <v>2002</v>
      </c>
      <c r="C414" s="31" t="s">
        <v>1972</v>
      </c>
      <c r="D414" s="31" t="s">
        <v>619</v>
      </c>
      <c r="E414" s="31" t="s">
        <v>1974</v>
      </c>
      <c r="F414" s="30"/>
      <c r="G414" s="30"/>
      <c r="H414" s="30"/>
      <c r="I414" s="30" t="str">
        <f>VLOOKUP(D414,'Active Employees'!$B$2:$B$498,1,false)</f>
        <v>javier.garcia@docker.com</v>
      </c>
      <c r="J414" s="33" t="s">
        <v>1469</v>
      </c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</row>
    <row r="415">
      <c r="A415" s="31">
        <v>6.76043725699E11</v>
      </c>
      <c r="B415" s="31" t="s">
        <v>2003</v>
      </c>
      <c r="C415" s="31" t="s">
        <v>1972</v>
      </c>
      <c r="D415" s="31" t="s">
        <v>619</v>
      </c>
      <c r="E415" s="31" t="s">
        <v>1974</v>
      </c>
      <c r="F415" s="30"/>
      <c r="G415" s="30"/>
      <c r="H415" s="30"/>
      <c r="I415" s="30" t="str">
        <f>VLOOKUP(D415,'Active Employees'!$B$2:$B$498,1,false)</f>
        <v>javier.garcia@docker.com</v>
      </c>
      <c r="J415" s="33" t="s">
        <v>1469</v>
      </c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</row>
    <row r="416">
      <c r="A416" s="31">
        <v>6.89740959397E11</v>
      </c>
      <c r="B416" s="31" t="s">
        <v>2004</v>
      </c>
      <c r="C416" s="31" t="s">
        <v>1972</v>
      </c>
      <c r="D416" s="31" t="s">
        <v>619</v>
      </c>
      <c r="E416" s="31" t="s">
        <v>1974</v>
      </c>
      <c r="F416" s="30"/>
      <c r="G416" s="30"/>
      <c r="H416" s="30"/>
      <c r="I416" s="30" t="str">
        <f>VLOOKUP(D416,'Active Employees'!$B$2:$B$498,1,false)</f>
        <v>javier.garcia@docker.com</v>
      </c>
      <c r="J416" s="33" t="s">
        <v>1469</v>
      </c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</row>
    <row r="417">
      <c r="A417" s="31">
        <v>7.10015040892E11</v>
      </c>
      <c r="B417" s="31" t="s">
        <v>2005</v>
      </c>
      <c r="C417" s="31" t="s">
        <v>1972</v>
      </c>
      <c r="D417" s="31" t="s">
        <v>619</v>
      </c>
      <c r="E417" s="31" t="s">
        <v>1974</v>
      </c>
      <c r="F417" s="30"/>
      <c r="G417" s="30"/>
      <c r="H417" s="30"/>
      <c r="I417" s="30" t="str">
        <f>VLOOKUP(D417,'Active Employees'!$B$2:$B$498,1,false)</f>
        <v>javier.garcia@docker.com</v>
      </c>
      <c r="J417" s="33" t="s">
        <v>1469</v>
      </c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</row>
    <row r="418">
      <c r="A418" s="31">
        <v>7.15809519905E11</v>
      </c>
      <c r="B418" s="31" t="s">
        <v>2006</v>
      </c>
      <c r="C418" s="31" t="s">
        <v>1972</v>
      </c>
      <c r="D418" s="31" t="s">
        <v>619</v>
      </c>
      <c r="E418" s="31" t="s">
        <v>1974</v>
      </c>
      <c r="F418" s="30"/>
      <c r="G418" s="30"/>
      <c r="H418" s="30"/>
      <c r="I418" s="30" t="str">
        <f>VLOOKUP(D418,'Active Employees'!$B$2:$B$498,1,false)</f>
        <v>javier.garcia@docker.com</v>
      </c>
      <c r="J418" s="33" t="s">
        <v>1469</v>
      </c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</row>
    <row r="419">
      <c r="A419" s="31">
        <v>7.25113757135E11</v>
      </c>
      <c r="B419" s="31" t="s">
        <v>2007</v>
      </c>
      <c r="C419" s="31" t="s">
        <v>1972</v>
      </c>
      <c r="D419" s="31" t="s">
        <v>619</v>
      </c>
      <c r="E419" s="31" t="s">
        <v>1974</v>
      </c>
      <c r="F419" s="30"/>
      <c r="G419" s="30"/>
      <c r="H419" s="30"/>
      <c r="I419" s="30" t="str">
        <f>VLOOKUP(D419,'Active Employees'!$B$2:$B$498,1,false)</f>
        <v>javier.garcia@docker.com</v>
      </c>
      <c r="J419" s="33" t="s">
        <v>1469</v>
      </c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</row>
    <row r="420">
      <c r="A420" s="31">
        <v>7.41686272442E11</v>
      </c>
      <c r="B420" s="31" t="s">
        <v>2008</v>
      </c>
      <c r="C420" s="31" t="s">
        <v>1972</v>
      </c>
      <c r="D420" s="31" t="s">
        <v>619</v>
      </c>
      <c r="E420" s="31" t="s">
        <v>1974</v>
      </c>
      <c r="F420" s="30"/>
      <c r="G420" s="30"/>
      <c r="H420" s="30"/>
      <c r="I420" s="30" t="str">
        <f>VLOOKUP(D420,'Active Employees'!$B$2:$B$498,1,false)</f>
        <v>javier.garcia@docker.com</v>
      </c>
      <c r="J420" s="33" t="s">
        <v>1469</v>
      </c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</row>
    <row r="421">
      <c r="A421" s="31">
        <v>8.01373416553E11</v>
      </c>
      <c r="B421" s="31" t="s">
        <v>2009</v>
      </c>
      <c r="C421" s="31" t="s">
        <v>1972</v>
      </c>
      <c r="D421" s="31" t="s">
        <v>619</v>
      </c>
      <c r="E421" s="31" t="s">
        <v>1974</v>
      </c>
      <c r="F421" s="30"/>
      <c r="G421" s="30"/>
      <c r="H421" s="30"/>
      <c r="I421" s="30" t="str">
        <f>VLOOKUP(D421,'Active Employees'!$B$2:$B$498,1,false)</f>
        <v>javier.garcia@docker.com</v>
      </c>
      <c r="J421" s="33" t="s">
        <v>1469</v>
      </c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</row>
    <row r="422">
      <c r="A422" s="31">
        <v>8.37880040897E11</v>
      </c>
      <c r="B422" s="31" t="s">
        <v>2010</v>
      </c>
      <c r="C422" s="31" t="s">
        <v>1972</v>
      </c>
      <c r="D422" s="31" t="s">
        <v>619</v>
      </c>
      <c r="E422" s="31" t="s">
        <v>1974</v>
      </c>
      <c r="F422" s="30"/>
      <c r="G422" s="30"/>
      <c r="H422" s="30"/>
      <c r="I422" s="30" t="str">
        <f>VLOOKUP(D422,'Active Employees'!$B$2:$B$498,1,false)</f>
        <v>javier.garcia@docker.com</v>
      </c>
      <c r="J422" s="33" t="s">
        <v>1469</v>
      </c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</row>
    <row r="423">
      <c r="A423" s="31">
        <v>8.66613861722E11</v>
      </c>
      <c r="B423" s="31" t="s">
        <v>2011</v>
      </c>
      <c r="C423" s="31" t="s">
        <v>1972</v>
      </c>
      <c r="D423" s="31" t="s">
        <v>619</v>
      </c>
      <c r="E423" s="31" t="s">
        <v>1974</v>
      </c>
      <c r="F423" s="30"/>
      <c r="G423" s="30"/>
      <c r="H423" s="30"/>
      <c r="I423" s="30" t="str">
        <f>VLOOKUP(D423,'Active Employees'!$B$2:$B$498,1,false)</f>
        <v>javier.garcia@docker.com</v>
      </c>
      <c r="J423" s="33" t="s">
        <v>1469</v>
      </c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</row>
    <row r="424">
      <c r="A424" s="31">
        <v>8.7100165961E11</v>
      </c>
      <c r="B424" s="31" t="s">
        <v>2012</v>
      </c>
      <c r="C424" s="31" t="s">
        <v>1972</v>
      </c>
      <c r="D424" s="31" t="s">
        <v>619</v>
      </c>
      <c r="E424" s="31" t="s">
        <v>1974</v>
      </c>
      <c r="F424" s="30"/>
      <c r="G424" s="30"/>
      <c r="H424" s="30"/>
      <c r="I424" s="30" t="str">
        <f>VLOOKUP(D424,'Active Employees'!$B$2:$B$498,1,false)</f>
        <v>javier.garcia@docker.com</v>
      </c>
      <c r="J424" s="33" t="s">
        <v>1469</v>
      </c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</row>
    <row r="425">
      <c r="A425" s="31">
        <v>8.82892008441E11</v>
      </c>
      <c r="B425" s="31" t="s">
        <v>2013</v>
      </c>
      <c r="C425" s="31" t="s">
        <v>1972</v>
      </c>
      <c r="D425" s="31" t="s">
        <v>619</v>
      </c>
      <c r="E425" s="31" t="s">
        <v>1974</v>
      </c>
      <c r="F425" s="30"/>
      <c r="G425" s="30"/>
      <c r="H425" s="30"/>
      <c r="I425" s="30" t="str">
        <f>VLOOKUP(D425,'Active Employees'!$B$2:$B$498,1,false)</f>
        <v>javier.garcia@docker.com</v>
      </c>
      <c r="J425" s="33" t="s">
        <v>1469</v>
      </c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</row>
    <row r="426">
      <c r="A426" s="31">
        <v>8.88577047425E11</v>
      </c>
      <c r="B426" s="31" t="s">
        <v>2014</v>
      </c>
      <c r="C426" s="31" t="s">
        <v>1972</v>
      </c>
      <c r="D426" s="31" t="s">
        <v>619</v>
      </c>
      <c r="E426" s="31" t="s">
        <v>1974</v>
      </c>
      <c r="F426" s="30"/>
      <c r="G426" s="30"/>
      <c r="H426" s="30"/>
      <c r="I426" s="30" t="str">
        <f>VLOOKUP(D426,'Active Employees'!$B$2:$B$498,1,false)</f>
        <v>javier.garcia@docker.com</v>
      </c>
      <c r="J426" s="33" t="s">
        <v>1469</v>
      </c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</row>
    <row r="427">
      <c r="A427" s="31">
        <v>8.91377047271E11</v>
      </c>
      <c r="B427" s="31" t="s">
        <v>2015</v>
      </c>
      <c r="C427" s="31" t="s">
        <v>1972</v>
      </c>
      <c r="D427" s="31" t="s">
        <v>619</v>
      </c>
      <c r="E427" s="31" t="s">
        <v>1974</v>
      </c>
      <c r="F427" s="30"/>
      <c r="G427" s="30"/>
      <c r="H427" s="30"/>
      <c r="I427" s="30" t="str">
        <f>VLOOKUP(D427,'Active Employees'!$B$2:$B$498,1,false)</f>
        <v>javier.garcia@docker.com</v>
      </c>
      <c r="J427" s="33" t="s">
        <v>1469</v>
      </c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</row>
    <row r="428">
      <c r="A428" s="31">
        <v>9.03032050004E11</v>
      </c>
      <c r="B428" s="31" t="s">
        <v>2016</v>
      </c>
      <c r="C428" s="31" t="s">
        <v>1972</v>
      </c>
      <c r="D428" s="31" t="s">
        <v>619</v>
      </c>
      <c r="E428" s="31" t="s">
        <v>1974</v>
      </c>
      <c r="F428" s="30"/>
      <c r="G428" s="30"/>
      <c r="H428" s="30"/>
      <c r="I428" s="30" t="str">
        <f>VLOOKUP(D428,'Active Employees'!$B$2:$B$498,1,false)</f>
        <v>javier.garcia@docker.com</v>
      </c>
      <c r="J428" s="33" t="s">
        <v>1469</v>
      </c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</row>
    <row r="429">
      <c r="A429" s="31">
        <v>9.03773873662E11</v>
      </c>
      <c r="B429" s="31" t="s">
        <v>2017</v>
      </c>
      <c r="C429" s="31" t="s">
        <v>1972</v>
      </c>
      <c r="D429" s="31" t="s">
        <v>619</v>
      </c>
      <c r="E429" s="31" t="s">
        <v>1974</v>
      </c>
      <c r="F429" s="30"/>
      <c r="G429" s="30"/>
      <c r="H429" s="30"/>
      <c r="I429" s="30" t="str">
        <f>VLOOKUP(D429,'Active Employees'!$B$2:$B$498,1,false)</f>
        <v>javier.garcia@docker.com</v>
      </c>
      <c r="J429" s="33" t="s">
        <v>1469</v>
      </c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</row>
    <row r="430">
      <c r="A430" s="31">
        <v>9.12777366807E11</v>
      </c>
      <c r="B430" s="31" t="s">
        <v>2018</v>
      </c>
      <c r="C430" s="31" t="s">
        <v>1972</v>
      </c>
      <c r="D430" s="31" t="s">
        <v>619</v>
      </c>
      <c r="E430" s="31" t="s">
        <v>1974</v>
      </c>
      <c r="F430" s="30"/>
      <c r="G430" s="30"/>
      <c r="H430" s="30"/>
      <c r="I430" s="30" t="str">
        <f>VLOOKUP(D430,'Active Employees'!$B$2:$B$498,1,false)</f>
        <v>javier.garcia@docker.com</v>
      </c>
      <c r="J430" s="33" t="s">
        <v>1469</v>
      </c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</row>
    <row r="431">
      <c r="A431" s="31">
        <v>9.58563233736E11</v>
      </c>
      <c r="B431" s="31" t="s">
        <v>2019</v>
      </c>
      <c r="C431" s="31" t="s">
        <v>1972</v>
      </c>
      <c r="D431" s="31" t="s">
        <v>619</v>
      </c>
      <c r="E431" s="31" t="s">
        <v>1974</v>
      </c>
      <c r="F431" s="30"/>
      <c r="G431" s="30"/>
      <c r="H431" s="30"/>
      <c r="I431" s="30" t="str">
        <f>VLOOKUP(D431,'Active Employees'!$B$2:$B$498,1,false)</f>
        <v>javier.garcia@docker.com</v>
      </c>
      <c r="J431" s="33" t="s">
        <v>1469</v>
      </c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</row>
    <row r="432">
      <c r="A432" s="31">
        <v>9.75050170311E11</v>
      </c>
      <c r="B432" s="31" t="s">
        <v>2020</v>
      </c>
      <c r="C432" s="31" t="s">
        <v>1972</v>
      </c>
      <c r="D432" s="31" t="s">
        <v>619</v>
      </c>
      <c r="E432" s="31" t="s">
        <v>1974</v>
      </c>
      <c r="F432" s="30"/>
      <c r="G432" s="30"/>
      <c r="H432" s="30"/>
      <c r="I432" s="30" t="str">
        <f>VLOOKUP(D432,'Active Employees'!$B$2:$B$498,1,false)</f>
        <v>javier.garcia@docker.com</v>
      </c>
      <c r="J432" s="33" t="s">
        <v>1469</v>
      </c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</row>
    <row r="433">
      <c r="A433" s="31">
        <v>9.91137750147E11</v>
      </c>
      <c r="B433" s="31" t="s">
        <v>2021</v>
      </c>
      <c r="C433" s="31" t="s">
        <v>1972</v>
      </c>
      <c r="D433" s="31" t="s">
        <v>619</v>
      </c>
      <c r="E433" s="31" t="s">
        <v>1974</v>
      </c>
      <c r="F433" s="30"/>
      <c r="G433" s="30"/>
      <c r="H433" s="30"/>
      <c r="I433" s="30" t="str">
        <f>VLOOKUP(D433,'Active Employees'!$B$2:$B$498,1,false)</f>
        <v>javier.garcia@docker.com</v>
      </c>
      <c r="J433" s="33" t="s">
        <v>1469</v>
      </c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</row>
    <row r="434">
      <c r="A434" s="31">
        <v>1.0438487392E10</v>
      </c>
      <c r="B434" s="31" t="s">
        <v>1971</v>
      </c>
      <c r="C434" s="31" t="s">
        <v>1972</v>
      </c>
      <c r="D434" s="31" t="s">
        <v>495</v>
      </c>
      <c r="E434" s="31" t="s">
        <v>1974</v>
      </c>
      <c r="F434" s="30"/>
      <c r="G434" s="30"/>
      <c r="H434" s="30"/>
      <c r="I434" s="30" t="str">
        <f>VLOOKUP(D434,'Active Employees'!$B$2:$B$498,1,false)</f>
        <v>jonathan.dieu@docker.com</v>
      </c>
      <c r="J434" s="33" t="s">
        <v>1469</v>
      </c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</row>
    <row r="435">
      <c r="A435" s="31">
        <v>4.7302296459E10</v>
      </c>
      <c r="B435" s="31" t="s">
        <v>1975</v>
      </c>
      <c r="C435" s="31" t="s">
        <v>1972</v>
      </c>
      <c r="D435" s="31" t="s">
        <v>495</v>
      </c>
      <c r="E435" s="31" t="s">
        <v>1974</v>
      </c>
      <c r="F435" s="30"/>
      <c r="G435" s="30"/>
      <c r="H435" s="30"/>
      <c r="I435" s="30" t="str">
        <f>VLOOKUP(D435,'Active Employees'!$B$2:$B$498,1,false)</f>
        <v>jonathan.dieu@docker.com</v>
      </c>
      <c r="J435" s="33" t="s">
        <v>1469</v>
      </c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</row>
    <row r="436">
      <c r="A436" s="31">
        <v>5.8264503038E10</v>
      </c>
      <c r="B436" s="31" t="s">
        <v>1976</v>
      </c>
      <c r="C436" s="31" t="s">
        <v>1972</v>
      </c>
      <c r="D436" s="31" t="s">
        <v>495</v>
      </c>
      <c r="E436" s="31" t="s">
        <v>1974</v>
      </c>
      <c r="F436" s="30"/>
      <c r="G436" s="30"/>
      <c r="H436" s="30"/>
      <c r="I436" s="30" t="str">
        <f>VLOOKUP(D436,'Active Employees'!$B$2:$B$498,1,false)</f>
        <v>jonathan.dieu@docker.com</v>
      </c>
      <c r="J436" s="33" t="s">
        <v>1469</v>
      </c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</row>
    <row r="437">
      <c r="A437" s="31">
        <v>9.9407438094E10</v>
      </c>
      <c r="B437" s="31" t="s">
        <v>1977</v>
      </c>
      <c r="C437" s="31" t="s">
        <v>1972</v>
      </c>
      <c r="D437" s="31" t="s">
        <v>495</v>
      </c>
      <c r="E437" s="31" t="s">
        <v>1974</v>
      </c>
      <c r="F437" s="30"/>
      <c r="G437" s="30"/>
      <c r="H437" s="30"/>
      <c r="I437" s="30" t="str">
        <f>VLOOKUP(D437,'Active Employees'!$B$2:$B$498,1,false)</f>
        <v>jonathan.dieu@docker.com</v>
      </c>
      <c r="J437" s="33" t="s">
        <v>1469</v>
      </c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</row>
    <row r="438">
      <c r="A438" s="31">
        <v>1.11664719423E11</v>
      </c>
      <c r="B438" s="31" t="s">
        <v>1978</v>
      </c>
      <c r="C438" s="31" t="s">
        <v>1972</v>
      </c>
      <c r="D438" s="31" t="s">
        <v>495</v>
      </c>
      <c r="E438" s="31" t="s">
        <v>1974</v>
      </c>
      <c r="F438" s="30"/>
      <c r="G438" s="30"/>
      <c r="H438" s="30"/>
      <c r="I438" s="30" t="str">
        <f>VLOOKUP(D438,'Active Employees'!$B$2:$B$498,1,false)</f>
        <v>jonathan.dieu@docker.com</v>
      </c>
      <c r="J438" s="33" t="s">
        <v>1469</v>
      </c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</row>
    <row r="439">
      <c r="A439" s="31">
        <v>1.75142243308E11</v>
      </c>
      <c r="B439" s="31" t="s">
        <v>1979</v>
      </c>
      <c r="C439" s="31" t="s">
        <v>1972</v>
      </c>
      <c r="D439" s="31" t="s">
        <v>495</v>
      </c>
      <c r="E439" s="31" t="s">
        <v>1974</v>
      </c>
      <c r="F439" s="30"/>
      <c r="G439" s="30"/>
      <c r="H439" s="30"/>
      <c r="I439" s="30" t="str">
        <f>VLOOKUP(D439,'Active Employees'!$B$2:$B$498,1,false)</f>
        <v>jonathan.dieu@docker.com</v>
      </c>
      <c r="J439" s="33" t="s">
        <v>1469</v>
      </c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</row>
    <row r="440">
      <c r="A440" s="31">
        <v>2.67155176707E11</v>
      </c>
      <c r="B440" s="31" t="s">
        <v>1980</v>
      </c>
      <c r="C440" s="31" t="s">
        <v>1972</v>
      </c>
      <c r="D440" s="31" t="s">
        <v>495</v>
      </c>
      <c r="E440" s="31" t="s">
        <v>1974</v>
      </c>
      <c r="F440" s="30"/>
      <c r="G440" s="30"/>
      <c r="H440" s="30"/>
      <c r="I440" s="30" t="str">
        <f>VLOOKUP(D440,'Active Employees'!$B$2:$B$498,1,false)</f>
        <v>jonathan.dieu@docker.com</v>
      </c>
      <c r="J440" s="33" t="s">
        <v>1469</v>
      </c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</row>
    <row r="441">
      <c r="A441" s="31">
        <v>2.77603989202E11</v>
      </c>
      <c r="B441" s="31" t="s">
        <v>1981</v>
      </c>
      <c r="C441" s="31" t="s">
        <v>1972</v>
      </c>
      <c r="D441" s="31" t="s">
        <v>495</v>
      </c>
      <c r="E441" s="31" t="s">
        <v>1974</v>
      </c>
      <c r="F441" s="30"/>
      <c r="G441" s="30"/>
      <c r="H441" s="30"/>
      <c r="I441" s="30" t="str">
        <f>VLOOKUP(D441,'Active Employees'!$B$2:$B$498,1,false)</f>
        <v>jonathan.dieu@docker.com</v>
      </c>
      <c r="J441" s="33" t="s">
        <v>1469</v>
      </c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</row>
    <row r="442">
      <c r="A442" s="31">
        <v>3.00042230143E11</v>
      </c>
      <c r="B442" s="31" t="s">
        <v>1982</v>
      </c>
      <c r="C442" s="31" t="s">
        <v>1972</v>
      </c>
      <c r="D442" s="31" t="s">
        <v>495</v>
      </c>
      <c r="E442" s="31" t="s">
        <v>1974</v>
      </c>
      <c r="F442" s="30"/>
      <c r="G442" s="30"/>
      <c r="H442" s="30"/>
      <c r="I442" s="30" t="str">
        <f>VLOOKUP(D442,'Active Employees'!$B$2:$B$498,1,false)</f>
        <v>jonathan.dieu@docker.com</v>
      </c>
      <c r="J442" s="33" t="s">
        <v>1469</v>
      </c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</row>
    <row r="443">
      <c r="A443" s="31">
        <v>3.0370012255E11</v>
      </c>
      <c r="B443" s="31" t="s">
        <v>1983</v>
      </c>
      <c r="C443" s="31" t="s">
        <v>1972</v>
      </c>
      <c r="D443" s="31" t="s">
        <v>495</v>
      </c>
      <c r="E443" s="31" t="s">
        <v>1974</v>
      </c>
      <c r="F443" s="30"/>
      <c r="G443" s="30"/>
      <c r="H443" s="30"/>
      <c r="I443" s="30" t="str">
        <f>VLOOKUP(D443,'Active Employees'!$B$2:$B$498,1,false)</f>
        <v>jonathan.dieu@docker.com</v>
      </c>
      <c r="J443" s="33" t="s">
        <v>1469</v>
      </c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</row>
    <row r="444">
      <c r="A444" s="31">
        <v>3.13121495448E11</v>
      </c>
      <c r="B444" s="31" t="s">
        <v>1984</v>
      </c>
      <c r="C444" s="31" t="s">
        <v>1972</v>
      </c>
      <c r="D444" s="31" t="s">
        <v>495</v>
      </c>
      <c r="E444" s="31" t="s">
        <v>1974</v>
      </c>
      <c r="F444" s="30"/>
      <c r="G444" s="30"/>
      <c r="H444" s="30"/>
      <c r="I444" s="30" t="str">
        <f>VLOOKUP(D444,'Active Employees'!$B$2:$B$498,1,false)</f>
        <v>jonathan.dieu@docker.com</v>
      </c>
      <c r="J444" s="33" t="s">
        <v>1469</v>
      </c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</row>
    <row r="445">
      <c r="A445" s="31">
        <v>3.18510287843E11</v>
      </c>
      <c r="B445" s="31" t="s">
        <v>1985</v>
      </c>
      <c r="C445" s="31" t="s">
        <v>1972</v>
      </c>
      <c r="D445" s="31" t="s">
        <v>495</v>
      </c>
      <c r="E445" s="31" t="s">
        <v>1974</v>
      </c>
      <c r="F445" s="30"/>
      <c r="G445" s="30"/>
      <c r="H445" s="30"/>
      <c r="I445" s="30" t="str">
        <f>VLOOKUP(D445,'Active Employees'!$B$2:$B$498,1,false)</f>
        <v>jonathan.dieu@docker.com</v>
      </c>
      <c r="J445" s="33" t="s">
        <v>1469</v>
      </c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</row>
    <row r="446">
      <c r="A446" s="31">
        <v>3.28193795291E11</v>
      </c>
      <c r="B446" s="31" t="s">
        <v>1579</v>
      </c>
      <c r="C446" s="31" t="s">
        <v>1972</v>
      </c>
      <c r="D446" s="31" t="s">
        <v>495</v>
      </c>
      <c r="E446" s="31" t="s">
        <v>1974</v>
      </c>
      <c r="F446" s="30"/>
      <c r="G446" s="30"/>
      <c r="H446" s="30"/>
      <c r="I446" s="30" t="str">
        <f>VLOOKUP(D446,'Active Employees'!$B$2:$B$498,1,false)</f>
        <v>jonathan.dieu@docker.com</v>
      </c>
      <c r="J446" s="33" t="s">
        <v>1469</v>
      </c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</row>
    <row r="447">
      <c r="A447" s="31">
        <v>3.45862510308E11</v>
      </c>
      <c r="B447" s="31" t="s">
        <v>1986</v>
      </c>
      <c r="C447" s="31" t="s">
        <v>1972</v>
      </c>
      <c r="D447" s="31" t="s">
        <v>495</v>
      </c>
      <c r="E447" s="31" t="s">
        <v>1974</v>
      </c>
      <c r="F447" s="30"/>
      <c r="G447" s="30"/>
      <c r="H447" s="30"/>
      <c r="I447" s="30" t="str">
        <f>VLOOKUP(D447,'Active Employees'!$B$2:$B$498,1,false)</f>
        <v>jonathan.dieu@docker.com</v>
      </c>
      <c r="J447" s="33" t="s">
        <v>1469</v>
      </c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</row>
    <row r="448">
      <c r="A448" s="31">
        <v>3.64430574006E11</v>
      </c>
      <c r="B448" s="31" t="s">
        <v>1987</v>
      </c>
      <c r="C448" s="31" t="s">
        <v>1972</v>
      </c>
      <c r="D448" s="31" t="s">
        <v>495</v>
      </c>
      <c r="E448" s="31" t="s">
        <v>1974</v>
      </c>
      <c r="F448" s="30"/>
      <c r="G448" s="30"/>
      <c r="H448" s="30"/>
      <c r="I448" s="30" t="str">
        <f>VLOOKUP(D448,'Active Employees'!$B$2:$B$498,1,false)</f>
        <v>jonathan.dieu@docker.com</v>
      </c>
      <c r="J448" s="33" t="s">
        <v>1469</v>
      </c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</row>
    <row r="449">
      <c r="A449" s="31">
        <v>3.98949996071E11</v>
      </c>
      <c r="B449" s="31" t="s">
        <v>1988</v>
      </c>
      <c r="C449" s="31" t="s">
        <v>1989</v>
      </c>
      <c r="D449" s="31" t="s">
        <v>495</v>
      </c>
      <c r="E449" s="31" t="s">
        <v>1974</v>
      </c>
      <c r="F449" s="30"/>
      <c r="G449" s="30"/>
      <c r="H449" s="30"/>
      <c r="I449" s="30" t="str">
        <f>VLOOKUP(D449,'Active Employees'!$B$2:$B$498,1,false)</f>
        <v>jonathan.dieu@docker.com</v>
      </c>
      <c r="J449" s="33" t="s">
        <v>1469</v>
      </c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</row>
    <row r="450">
      <c r="A450" s="31">
        <v>4.33192899833E11</v>
      </c>
      <c r="B450" s="31" t="s">
        <v>1990</v>
      </c>
      <c r="C450" s="31" t="s">
        <v>1972</v>
      </c>
      <c r="D450" s="31" t="s">
        <v>495</v>
      </c>
      <c r="E450" s="31" t="s">
        <v>1974</v>
      </c>
      <c r="F450" s="30"/>
      <c r="G450" s="30"/>
      <c r="H450" s="30"/>
      <c r="I450" s="30" t="str">
        <f>VLOOKUP(D450,'Active Employees'!$B$2:$B$498,1,false)</f>
        <v>jonathan.dieu@docker.com</v>
      </c>
      <c r="J450" s="33" t="s">
        <v>1469</v>
      </c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</row>
    <row r="451">
      <c r="A451" s="31">
        <v>4.47924746603E11</v>
      </c>
      <c r="B451" s="31" t="s">
        <v>1991</v>
      </c>
      <c r="C451" s="31" t="s">
        <v>1972</v>
      </c>
      <c r="D451" s="31" t="s">
        <v>495</v>
      </c>
      <c r="E451" s="31" t="s">
        <v>1974</v>
      </c>
      <c r="F451" s="30"/>
      <c r="G451" s="30"/>
      <c r="H451" s="30"/>
      <c r="I451" s="30" t="str">
        <f>VLOOKUP(D451,'Active Employees'!$B$2:$B$498,1,false)</f>
        <v>jonathan.dieu@docker.com</v>
      </c>
      <c r="J451" s="33" t="s">
        <v>1469</v>
      </c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</row>
    <row r="452">
      <c r="A452" s="31">
        <v>4.6347093944E11</v>
      </c>
      <c r="B452" s="31" t="s">
        <v>1992</v>
      </c>
      <c r="C452" s="31" t="s">
        <v>1972</v>
      </c>
      <c r="D452" s="31" t="s">
        <v>495</v>
      </c>
      <c r="E452" s="31" t="s">
        <v>1974</v>
      </c>
      <c r="F452" s="30"/>
      <c r="G452" s="30"/>
      <c r="H452" s="30"/>
      <c r="I452" s="30" t="str">
        <f>VLOOKUP(D452,'Active Employees'!$B$2:$B$498,1,false)</f>
        <v>jonathan.dieu@docker.com</v>
      </c>
      <c r="J452" s="33" t="s">
        <v>1469</v>
      </c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</row>
    <row r="453">
      <c r="A453" s="31">
        <v>4.77715925773E11</v>
      </c>
      <c r="B453" s="31" t="s">
        <v>1993</v>
      </c>
      <c r="C453" s="31" t="s">
        <v>1972</v>
      </c>
      <c r="D453" s="31" t="s">
        <v>495</v>
      </c>
      <c r="E453" s="31" t="s">
        <v>1974</v>
      </c>
      <c r="F453" s="30"/>
      <c r="G453" s="30"/>
      <c r="H453" s="30"/>
      <c r="I453" s="30" t="str">
        <f>VLOOKUP(D453,'Active Employees'!$B$2:$B$498,1,false)</f>
        <v>jonathan.dieu@docker.com</v>
      </c>
      <c r="J453" s="33" t="s">
        <v>1469</v>
      </c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</row>
    <row r="454">
      <c r="A454" s="31">
        <v>5.06620354984E11</v>
      </c>
      <c r="B454" s="31" t="s">
        <v>1994</v>
      </c>
      <c r="C454" s="31" t="s">
        <v>1972</v>
      </c>
      <c r="D454" s="31" t="s">
        <v>495</v>
      </c>
      <c r="E454" s="31" t="s">
        <v>1974</v>
      </c>
      <c r="F454" s="30"/>
      <c r="G454" s="30"/>
      <c r="H454" s="30"/>
      <c r="I454" s="30" t="str">
        <f>VLOOKUP(D454,'Active Employees'!$B$2:$B$498,1,false)</f>
        <v>jonathan.dieu@docker.com</v>
      </c>
      <c r="J454" s="33" t="s">
        <v>1469</v>
      </c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</row>
    <row r="455">
      <c r="A455" s="31">
        <v>5.39272219385E11</v>
      </c>
      <c r="B455" s="31" t="s">
        <v>1995</v>
      </c>
      <c r="C455" s="31" t="s">
        <v>1972</v>
      </c>
      <c r="D455" s="31" t="s">
        <v>495</v>
      </c>
      <c r="E455" s="31" t="s">
        <v>1974</v>
      </c>
      <c r="F455" s="30"/>
      <c r="G455" s="30"/>
      <c r="H455" s="30"/>
      <c r="I455" s="30" t="str">
        <f>VLOOKUP(D455,'Active Employees'!$B$2:$B$498,1,false)</f>
        <v>jonathan.dieu@docker.com</v>
      </c>
      <c r="J455" s="33" t="s">
        <v>1469</v>
      </c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</row>
    <row r="456">
      <c r="A456" s="31">
        <v>5.40898635624E11</v>
      </c>
      <c r="B456" s="31" t="s">
        <v>1996</v>
      </c>
      <c r="C456" s="31" t="s">
        <v>1972</v>
      </c>
      <c r="D456" s="31" t="s">
        <v>495</v>
      </c>
      <c r="E456" s="31" t="s">
        <v>1974</v>
      </c>
      <c r="F456" s="30"/>
      <c r="G456" s="30"/>
      <c r="H456" s="30"/>
      <c r="I456" s="30" t="str">
        <f>VLOOKUP(D456,'Active Employees'!$B$2:$B$498,1,false)</f>
        <v>jonathan.dieu@docker.com</v>
      </c>
      <c r="J456" s="33" t="s">
        <v>1469</v>
      </c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</row>
    <row r="457">
      <c r="A457" s="31">
        <v>6.02326734147E11</v>
      </c>
      <c r="B457" s="31" t="s">
        <v>1997</v>
      </c>
      <c r="C457" s="31" t="s">
        <v>1972</v>
      </c>
      <c r="D457" s="31" t="s">
        <v>495</v>
      </c>
      <c r="E457" s="31" t="s">
        <v>1974</v>
      </c>
      <c r="F457" s="30"/>
      <c r="G457" s="30"/>
      <c r="H457" s="30"/>
      <c r="I457" s="30" t="str">
        <f>VLOOKUP(D457,'Active Employees'!$B$2:$B$498,1,false)</f>
        <v>jonathan.dieu@docker.com</v>
      </c>
      <c r="J457" s="33" t="s">
        <v>1469</v>
      </c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</row>
    <row r="458">
      <c r="A458" s="31">
        <v>6.22992712626E11</v>
      </c>
      <c r="B458" s="31" t="s">
        <v>1998</v>
      </c>
      <c r="C458" s="31" t="s">
        <v>1972</v>
      </c>
      <c r="D458" s="31" t="s">
        <v>495</v>
      </c>
      <c r="E458" s="31" t="s">
        <v>1974</v>
      </c>
      <c r="F458" s="30"/>
      <c r="G458" s="30"/>
      <c r="H458" s="30"/>
      <c r="I458" s="30" t="str">
        <f>VLOOKUP(D458,'Active Employees'!$B$2:$B$498,1,false)</f>
        <v>jonathan.dieu@docker.com</v>
      </c>
      <c r="J458" s="33" t="s">
        <v>1469</v>
      </c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</row>
    <row r="459">
      <c r="A459" s="31">
        <v>6.37423373108E11</v>
      </c>
      <c r="B459" s="31" t="s">
        <v>1999</v>
      </c>
      <c r="C459" s="31" t="s">
        <v>1972</v>
      </c>
      <c r="D459" s="31" t="s">
        <v>495</v>
      </c>
      <c r="E459" s="31" t="s">
        <v>1974</v>
      </c>
      <c r="F459" s="30"/>
      <c r="G459" s="30"/>
      <c r="H459" s="30"/>
      <c r="I459" s="30" t="str">
        <f>VLOOKUP(D459,'Active Employees'!$B$2:$B$498,1,false)</f>
        <v>jonathan.dieu@docker.com</v>
      </c>
      <c r="J459" s="33" t="s">
        <v>1469</v>
      </c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</row>
    <row r="460">
      <c r="A460" s="31">
        <v>6.53834391849E11</v>
      </c>
      <c r="B460" s="31" t="s">
        <v>2000</v>
      </c>
      <c r="C460" s="31" t="s">
        <v>1972</v>
      </c>
      <c r="D460" s="31" t="s">
        <v>495</v>
      </c>
      <c r="E460" s="31" t="s">
        <v>1974</v>
      </c>
      <c r="F460" s="30"/>
      <c r="G460" s="30"/>
      <c r="H460" s="30"/>
      <c r="I460" s="30" t="str">
        <f>VLOOKUP(D460,'Active Employees'!$B$2:$B$498,1,false)</f>
        <v>jonathan.dieu@docker.com</v>
      </c>
      <c r="J460" s="33" t="s">
        <v>1469</v>
      </c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</row>
    <row r="461">
      <c r="A461" s="31">
        <v>6.54089975909E11</v>
      </c>
      <c r="B461" s="31" t="s">
        <v>2001</v>
      </c>
      <c r="C461" s="31" t="s">
        <v>1972</v>
      </c>
      <c r="D461" s="31" t="s">
        <v>495</v>
      </c>
      <c r="E461" s="31" t="s">
        <v>1974</v>
      </c>
      <c r="F461" s="30"/>
      <c r="G461" s="30"/>
      <c r="H461" s="30"/>
      <c r="I461" s="30" t="str">
        <f>VLOOKUP(D461,'Active Employees'!$B$2:$B$498,1,false)</f>
        <v>jonathan.dieu@docker.com</v>
      </c>
      <c r="J461" s="33" t="s">
        <v>1469</v>
      </c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</row>
    <row r="462">
      <c r="A462" s="31">
        <v>6.54654578585E11</v>
      </c>
      <c r="B462" s="31" t="s">
        <v>2002</v>
      </c>
      <c r="C462" s="31" t="s">
        <v>1972</v>
      </c>
      <c r="D462" s="31" t="s">
        <v>495</v>
      </c>
      <c r="E462" s="31" t="s">
        <v>1974</v>
      </c>
      <c r="F462" s="30"/>
      <c r="G462" s="30"/>
      <c r="H462" s="30"/>
      <c r="I462" s="30" t="str">
        <f>VLOOKUP(D462,'Active Employees'!$B$2:$B$498,1,false)</f>
        <v>jonathan.dieu@docker.com</v>
      </c>
      <c r="J462" s="33" t="s">
        <v>1469</v>
      </c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</row>
    <row r="463">
      <c r="A463" s="31">
        <v>6.76043725699E11</v>
      </c>
      <c r="B463" s="31" t="s">
        <v>2003</v>
      </c>
      <c r="C463" s="31" t="s">
        <v>1972</v>
      </c>
      <c r="D463" s="31" t="s">
        <v>495</v>
      </c>
      <c r="E463" s="31" t="s">
        <v>1974</v>
      </c>
      <c r="F463" s="30"/>
      <c r="G463" s="30"/>
      <c r="H463" s="30"/>
      <c r="I463" s="30" t="str">
        <f>VLOOKUP(D463,'Active Employees'!$B$2:$B$498,1,false)</f>
        <v>jonathan.dieu@docker.com</v>
      </c>
      <c r="J463" s="33" t="s">
        <v>1469</v>
      </c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</row>
    <row r="464">
      <c r="A464" s="31">
        <v>6.89740959397E11</v>
      </c>
      <c r="B464" s="31" t="s">
        <v>2004</v>
      </c>
      <c r="C464" s="31" t="s">
        <v>1972</v>
      </c>
      <c r="D464" s="31" t="s">
        <v>495</v>
      </c>
      <c r="E464" s="31" t="s">
        <v>1974</v>
      </c>
      <c r="F464" s="30"/>
      <c r="G464" s="30"/>
      <c r="H464" s="30"/>
      <c r="I464" s="30" t="str">
        <f>VLOOKUP(D464,'Active Employees'!$B$2:$B$498,1,false)</f>
        <v>jonathan.dieu@docker.com</v>
      </c>
      <c r="J464" s="33" t="s">
        <v>1469</v>
      </c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</row>
    <row r="465">
      <c r="A465" s="31">
        <v>7.10015040892E11</v>
      </c>
      <c r="B465" s="31" t="s">
        <v>2005</v>
      </c>
      <c r="C465" s="31" t="s">
        <v>1972</v>
      </c>
      <c r="D465" s="31" t="s">
        <v>495</v>
      </c>
      <c r="E465" s="31" t="s">
        <v>1974</v>
      </c>
      <c r="F465" s="30"/>
      <c r="G465" s="30"/>
      <c r="H465" s="30"/>
      <c r="I465" s="30" t="str">
        <f>VLOOKUP(D465,'Active Employees'!$B$2:$B$498,1,false)</f>
        <v>jonathan.dieu@docker.com</v>
      </c>
      <c r="J465" s="33" t="s">
        <v>1469</v>
      </c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</row>
    <row r="466">
      <c r="A466" s="31">
        <v>7.15809519905E11</v>
      </c>
      <c r="B466" s="31" t="s">
        <v>2006</v>
      </c>
      <c r="C466" s="31" t="s">
        <v>1972</v>
      </c>
      <c r="D466" s="31" t="s">
        <v>495</v>
      </c>
      <c r="E466" s="31" t="s">
        <v>1974</v>
      </c>
      <c r="F466" s="30"/>
      <c r="G466" s="30"/>
      <c r="H466" s="30"/>
      <c r="I466" s="30" t="str">
        <f>VLOOKUP(D466,'Active Employees'!$B$2:$B$498,1,false)</f>
        <v>jonathan.dieu@docker.com</v>
      </c>
      <c r="J466" s="33" t="s">
        <v>1469</v>
      </c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</row>
    <row r="467">
      <c r="A467" s="31">
        <v>7.25113757135E11</v>
      </c>
      <c r="B467" s="31" t="s">
        <v>2007</v>
      </c>
      <c r="C467" s="31" t="s">
        <v>1972</v>
      </c>
      <c r="D467" s="31" t="s">
        <v>495</v>
      </c>
      <c r="E467" s="31" t="s">
        <v>1974</v>
      </c>
      <c r="F467" s="30"/>
      <c r="G467" s="30"/>
      <c r="H467" s="30"/>
      <c r="I467" s="30" t="str">
        <f>VLOOKUP(D467,'Active Employees'!$B$2:$B$498,1,false)</f>
        <v>jonathan.dieu@docker.com</v>
      </c>
      <c r="J467" s="33" t="s">
        <v>1469</v>
      </c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</row>
    <row r="468">
      <c r="A468" s="31">
        <v>7.41686272442E11</v>
      </c>
      <c r="B468" s="31" t="s">
        <v>2008</v>
      </c>
      <c r="C468" s="31" t="s">
        <v>1972</v>
      </c>
      <c r="D468" s="31" t="s">
        <v>495</v>
      </c>
      <c r="E468" s="31" t="s">
        <v>1974</v>
      </c>
      <c r="F468" s="30"/>
      <c r="G468" s="30"/>
      <c r="H468" s="30"/>
      <c r="I468" s="30" t="str">
        <f>VLOOKUP(D468,'Active Employees'!$B$2:$B$498,1,false)</f>
        <v>jonathan.dieu@docker.com</v>
      </c>
      <c r="J468" s="33" t="s">
        <v>1469</v>
      </c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</row>
    <row r="469">
      <c r="A469" s="31">
        <v>8.01373416553E11</v>
      </c>
      <c r="B469" s="31" t="s">
        <v>2009</v>
      </c>
      <c r="C469" s="31" t="s">
        <v>1972</v>
      </c>
      <c r="D469" s="31" t="s">
        <v>495</v>
      </c>
      <c r="E469" s="31" t="s">
        <v>1974</v>
      </c>
      <c r="F469" s="30"/>
      <c r="G469" s="30"/>
      <c r="H469" s="30"/>
      <c r="I469" s="30" t="str">
        <f>VLOOKUP(D469,'Active Employees'!$B$2:$B$498,1,false)</f>
        <v>jonathan.dieu@docker.com</v>
      </c>
      <c r="J469" s="33" t="s">
        <v>1469</v>
      </c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</row>
    <row r="470">
      <c r="A470" s="31">
        <v>8.37880040897E11</v>
      </c>
      <c r="B470" s="31" t="s">
        <v>2010</v>
      </c>
      <c r="C470" s="31" t="s">
        <v>1972</v>
      </c>
      <c r="D470" s="31" t="s">
        <v>495</v>
      </c>
      <c r="E470" s="31" t="s">
        <v>1974</v>
      </c>
      <c r="F470" s="30"/>
      <c r="G470" s="30"/>
      <c r="H470" s="30"/>
      <c r="I470" s="30" t="str">
        <f>VLOOKUP(D470,'Active Employees'!$B$2:$B$498,1,false)</f>
        <v>jonathan.dieu@docker.com</v>
      </c>
      <c r="J470" s="33" t="s">
        <v>1469</v>
      </c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</row>
    <row r="471">
      <c r="A471" s="31">
        <v>8.66613861722E11</v>
      </c>
      <c r="B471" s="31" t="s">
        <v>2011</v>
      </c>
      <c r="C471" s="31" t="s">
        <v>1972</v>
      </c>
      <c r="D471" s="31" t="s">
        <v>495</v>
      </c>
      <c r="E471" s="31" t="s">
        <v>1974</v>
      </c>
      <c r="F471" s="30"/>
      <c r="G471" s="30"/>
      <c r="H471" s="30"/>
      <c r="I471" s="30" t="str">
        <f>VLOOKUP(D471,'Active Employees'!$B$2:$B$498,1,false)</f>
        <v>jonathan.dieu@docker.com</v>
      </c>
      <c r="J471" s="33" t="s">
        <v>1469</v>
      </c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</row>
    <row r="472">
      <c r="A472" s="31">
        <v>8.7100165961E11</v>
      </c>
      <c r="B472" s="31" t="s">
        <v>2012</v>
      </c>
      <c r="C472" s="31" t="s">
        <v>1972</v>
      </c>
      <c r="D472" s="31" t="s">
        <v>495</v>
      </c>
      <c r="E472" s="31" t="s">
        <v>1974</v>
      </c>
      <c r="F472" s="30"/>
      <c r="G472" s="30"/>
      <c r="H472" s="30"/>
      <c r="I472" s="30" t="str">
        <f>VLOOKUP(D472,'Active Employees'!$B$2:$B$498,1,false)</f>
        <v>jonathan.dieu@docker.com</v>
      </c>
      <c r="J472" s="33" t="s">
        <v>1469</v>
      </c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</row>
    <row r="473">
      <c r="A473" s="31">
        <v>8.82892008441E11</v>
      </c>
      <c r="B473" s="31" t="s">
        <v>2013</v>
      </c>
      <c r="C473" s="31" t="s">
        <v>1972</v>
      </c>
      <c r="D473" s="31" t="s">
        <v>495</v>
      </c>
      <c r="E473" s="31" t="s">
        <v>1974</v>
      </c>
      <c r="F473" s="30"/>
      <c r="G473" s="30"/>
      <c r="H473" s="30"/>
      <c r="I473" s="30" t="str">
        <f>VLOOKUP(D473,'Active Employees'!$B$2:$B$498,1,false)</f>
        <v>jonathan.dieu@docker.com</v>
      </c>
      <c r="J473" s="33" t="s">
        <v>1469</v>
      </c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</row>
    <row r="474">
      <c r="A474" s="31">
        <v>8.88577047425E11</v>
      </c>
      <c r="B474" s="31" t="s">
        <v>2014</v>
      </c>
      <c r="C474" s="31" t="s">
        <v>1972</v>
      </c>
      <c r="D474" s="31" t="s">
        <v>495</v>
      </c>
      <c r="E474" s="31" t="s">
        <v>1974</v>
      </c>
      <c r="F474" s="30"/>
      <c r="G474" s="30"/>
      <c r="H474" s="30"/>
      <c r="I474" s="30" t="str">
        <f>VLOOKUP(D474,'Active Employees'!$B$2:$B$498,1,false)</f>
        <v>jonathan.dieu@docker.com</v>
      </c>
      <c r="J474" s="33" t="s">
        <v>1469</v>
      </c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</row>
    <row r="475">
      <c r="A475" s="31">
        <v>8.91377047271E11</v>
      </c>
      <c r="B475" s="31" t="s">
        <v>2015</v>
      </c>
      <c r="C475" s="31" t="s">
        <v>1972</v>
      </c>
      <c r="D475" s="31" t="s">
        <v>495</v>
      </c>
      <c r="E475" s="31" t="s">
        <v>1974</v>
      </c>
      <c r="F475" s="30"/>
      <c r="G475" s="30"/>
      <c r="H475" s="30"/>
      <c r="I475" s="30" t="str">
        <f>VLOOKUP(D475,'Active Employees'!$B$2:$B$498,1,false)</f>
        <v>jonathan.dieu@docker.com</v>
      </c>
      <c r="J475" s="33" t="s">
        <v>1469</v>
      </c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</row>
    <row r="476">
      <c r="A476" s="31">
        <v>9.03032050004E11</v>
      </c>
      <c r="B476" s="31" t="s">
        <v>2016</v>
      </c>
      <c r="C476" s="31" t="s">
        <v>1972</v>
      </c>
      <c r="D476" s="31" t="s">
        <v>495</v>
      </c>
      <c r="E476" s="31" t="s">
        <v>1974</v>
      </c>
      <c r="F476" s="30"/>
      <c r="G476" s="30"/>
      <c r="H476" s="30"/>
      <c r="I476" s="30" t="str">
        <f>VLOOKUP(D476,'Active Employees'!$B$2:$B$498,1,false)</f>
        <v>jonathan.dieu@docker.com</v>
      </c>
      <c r="J476" s="33" t="s">
        <v>1469</v>
      </c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</row>
    <row r="477">
      <c r="A477" s="31">
        <v>9.03773873662E11</v>
      </c>
      <c r="B477" s="31" t="s">
        <v>2017</v>
      </c>
      <c r="C477" s="31" t="s">
        <v>1972</v>
      </c>
      <c r="D477" s="31" t="s">
        <v>495</v>
      </c>
      <c r="E477" s="31" t="s">
        <v>1974</v>
      </c>
      <c r="F477" s="30"/>
      <c r="G477" s="30"/>
      <c r="H477" s="30"/>
      <c r="I477" s="30" t="str">
        <f>VLOOKUP(D477,'Active Employees'!$B$2:$B$498,1,false)</f>
        <v>jonathan.dieu@docker.com</v>
      </c>
      <c r="J477" s="33" t="s">
        <v>1469</v>
      </c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</row>
    <row r="478">
      <c r="A478" s="31">
        <v>9.12777366807E11</v>
      </c>
      <c r="B478" s="31" t="s">
        <v>2018</v>
      </c>
      <c r="C478" s="31" t="s">
        <v>1972</v>
      </c>
      <c r="D478" s="31" t="s">
        <v>495</v>
      </c>
      <c r="E478" s="31" t="s">
        <v>1974</v>
      </c>
      <c r="F478" s="30"/>
      <c r="G478" s="30"/>
      <c r="H478" s="30"/>
      <c r="I478" s="30" t="str">
        <f>VLOOKUP(D478,'Active Employees'!$B$2:$B$498,1,false)</f>
        <v>jonathan.dieu@docker.com</v>
      </c>
      <c r="J478" s="33" t="s">
        <v>1469</v>
      </c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</row>
    <row r="479">
      <c r="A479" s="31">
        <v>9.58563233736E11</v>
      </c>
      <c r="B479" s="31" t="s">
        <v>2019</v>
      </c>
      <c r="C479" s="31" t="s">
        <v>1972</v>
      </c>
      <c r="D479" s="31" t="s">
        <v>495</v>
      </c>
      <c r="E479" s="31" t="s">
        <v>1974</v>
      </c>
      <c r="F479" s="30"/>
      <c r="G479" s="30"/>
      <c r="H479" s="30"/>
      <c r="I479" s="30" t="str">
        <f>VLOOKUP(D479,'Active Employees'!$B$2:$B$498,1,false)</f>
        <v>jonathan.dieu@docker.com</v>
      </c>
      <c r="J479" s="33" t="s">
        <v>1469</v>
      </c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</row>
    <row r="480">
      <c r="A480" s="31">
        <v>9.75050170311E11</v>
      </c>
      <c r="B480" s="31" t="s">
        <v>2020</v>
      </c>
      <c r="C480" s="31" t="s">
        <v>1972</v>
      </c>
      <c r="D480" s="31" t="s">
        <v>495</v>
      </c>
      <c r="E480" s="31" t="s">
        <v>1974</v>
      </c>
      <c r="F480" s="30"/>
      <c r="G480" s="30"/>
      <c r="H480" s="30"/>
      <c r="I480" s="30" t="str">
        <f>VLOOKUP(D480,'Active Employees'!$B$2:$B$498,1,false)</f>
        <v>jonathan.dieu@docker.com</v>
      </c>
      <c r="J480" s="33" t="s">
        <v>1469</v>
      </c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</row>
    <row r="481">
      <c r="A481" s="31">
        <v>9.91137750147E11</v>
      </c>
      <c r="B481" s="31" t="s">
        <v>2021</v>
      </c>
      <c r="C481" s="31" t="s">
        <v>1972</v>
      </c>
      <c r="D481" s="31" t="s">
        <v>495</v>
      </c>
      <c r="E481" s="31" t="s">
        <v>1974</v>
      </c>
      <c r="F481" s="30"/>
      <c r="G481" s="30"/>
      <c r="H481" s="30"/>
      <c r="I481" s="30" t="str">
        <f>VLOOKUP(D481,'Active Employees'!$B$2:$B$498,1,false)</f>
        <v>jonathan.dieu@docker.com</v>
      </c>
      <c r="J481" s="33" t="s">
        <v>1469</v>
      </c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</row>
    <row r="482">
      <c r="A482" s="31">
        <v>1.0438487392E10</v>
      </c>
      <c r="B482" s="31" t="s">
        <v>1971</v>
      </c>
      <c r="C482" s="31" t="s">
        <v>1972</v>
      </c>
      <c r="D482" s="31" t="s">
        <v>206</v>
      </c>
      <c r="E482" s="31" t="s">
        <v>1974</v>
      </c>
      <c r="F482" s="30"/>
      <c r="G482" s="30"/>
      <c r="H482" s="30"/>
      <c r="I482" s="30" t="str">
        <f>VLOOKUP(D482,'Active Employees'!$B$2:$B$498,1,false)</f>
        <v>romain.belorgey@docker.com</v>
      </c>
      <c r="J482" s="33" t="s">
        <v>1469</v>
      </c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</row>
    <row r="483">
      <c r="A483" s="31">
        <v>4.7302296459E10</v>
      </c>
      <c r="B483" s="31" t="s">
        <v>1975</v>
      </c>
      <c r="C483" s="31" t="s">
        <v>1972</v>
      </c>
      <c r="D483" s="31" t="s">
        <v>206</v>
      </c>
      <c r="E483" s="31" t="s">
        <v>1974</v>
      </c>
      <c r="F483" s="30"/>
      <c r="G483" s="30"/>
      <c r="H483" s="30"/>
      <c r="I483" s="30" t="str">
        <f>VLOOKUP(D483,'Active Employees'!$B$2:$B$498,1,false)</f>
        <v>romain.belorgey@docker.com</v>
      </c>
      <c r="J483" s="33" t="s">
        <v>1469</v>
      </c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</row>
    <row r="484">
      <c r="A484" s="31">
        <v>5.8264503038E10</v>
      </c>
      <c r="B484" s="31" t="s">
        <v>1976</v>
      </c>
      <c r="C484" s="31" t="s">
        <v>1972</v>
      </c>
      <c r="D484" s="31" t="s">
        <v>206</v>
      </c>
      <c r="E484" s="31" t="s">
        <v>1974</v>
      </c>
      <c r="F484" s="30"/>
      <c r="G484" s="30"/>
      <c r="H484" s="30"/>
      <c r="I484" s="30" t="str">
        <f>VLOOKUP(D484,'Active Employees'!$B$2:$B$498,1,false)</f>
        <v>romain.belorgey@docker.com</v>
      </c>
      <c r="J484" s="33" t="s">
        <v>1469</v>
      </c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</row>
    <row r="485">
      <c r="A485" s="31">
        <v>9.9407438094E10</v>
      </c>
      <c r="B485" s="31" t="s">
        <v>1977</v>
      </c>
      <c r="C485" s="31" t="s">
        <v>1972</v>
      </c>
      <c r="D485" s="31" t="s">
        <v>206</v>
      </c>
      <c r="E485" s="31" t="s">
        <v>1974</v>
      </c>
      <c r="F485" s="30"/>
      <c r="G485" s="30"/>
      <c r="H485" s="30"/>
      <c r="I485" s="30" t="str">
        <f>VLOOKUP(D485,'Active Employees'!$B$2:$B$498,1,false)</f>
        <v>romain.belorgey@docker.com</v>
      </c>
      <c r="J485" s="33" t="s">
        <v>1469</v>
      </c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</row>
    <row r="486">
      <c r="A486" s="31">
        <v>1.11664719423E11</v>
      </c>
      <c r="B486" s="31" t="s">
        <v>1978</v>
      </c>
      <c r="C486" s="31" t="s">
        <v>1972</v>
      </c>
      <c r="D486" s="31" t="s">
        <v>206</v>
      </c>
      <c r="E486" s="31" t="s">
        <v>1974</v>
      </c>
      <c r="F486" s="30"/>
      <c r="G486" s="30"/>
      <c r="H486" s="30"/>
      <c r="I486" s="30" t="str">
        <f>VLOOKUP(D486,'Active Employees'!$B$2:$B$498,1,false)</f>
        <v>romain.belorgey@docker.com</v>
      </c>
      <c r="J486" s="33" t="s">
        <v>1469</v>
      </c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</row>
    <row r="487">
      <c r="A487" s="31">
        <v>1.75142243308E11</v>
      </c>
      <c r="B487" s="31" t="s">
        <v>1979</v>
      </c>
      <c r="C487" s="31" t="s">
        <v>1972</v>
      </c>
      <c r="D487" s="31" t="s">
        <v>206</v>
      </c>
      <c r="E487" s="31" t="s">
        <v>1974</v>
      </c>
      <c r="F487" s="30"/>
      <c r="G487" s="30"/>
      <c r="H487" s="30"/>
      <c r="I487" s="30" t="str">
        <f>VLOOKUP(D487,'Active Employees'!$B$2:$B$498,1,false)</f>
        <v>romain.belorgey@docker.com</v>
      </c>
      <c r="J487" s="33" t="s">
        <v>1469</v>
      </c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</row>
    <row r="488">
      <c r="A488" s="31">
        <v>2.67155176707E11</v>
      </c>
      <c r="B488" s="31" t="s">
        <v>1980</v>
      </c>
      <c r="C488" s="31" t="s">
        <v>1972</v>
      </c>
      <c r="D488" s="31" t="s">
        <v>206</v>
      </c>
      <c r="E488" s="31" t="s">
        <v>1974</v>
      </c>
      <c r="F488" s="30"/>
      <c r="G488" s="30"/>
      <c r="H488" s="30"/>
      <c r="I488" s="30" t="str">
        <f>VLOOKUP(D488,'Active Employees'!$B$2:$B$498,1,false)</f>
        <v>romain.belorgey@docker.com</v>
      </c>
      <c r="J488" s="33" t="s">
        <v>1469</v>
      </c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</row>
    <row r="489">
      <c r="A489" s="31">
        <v>2.77603989202E11</v>
      </c>
      <c r="B489" s="31" t="s">
        <v>1981</v>
      </c>
      <c r="C489" s="31" t="s">
        <v>1972</v>
      </c>
      <c r="D489" s="31" t="s">
        <v>206</v>
      </c>
      <c r="E489" s="31" t="s">
        <v>1974</v>
      </c>
      <c r="F489" s="30"/>
      <c r="G489" s="30"/>
      <c r="H489" s="30"/>
      <c r="I489" s="30" t="str">
        <f>VLOOKUP(D489,'Active Employees'!$B$2:$B$498,1,false)</f>
        <v>romain.belorgey@docker.com</v>
      </c>
      <c r="J489" s="33" t="s">
        <v>1469</v>
      </c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</row>
    <row r="490">
      <c r="A490" s="31">
        <v>3.00042230143E11</v>
      </c>
      <c r="B490" s="31" t="s">
        <v>1982</v>
      </c>
      <c r="C490" s="31" t="s">
        <v>1972</v>
      </c>
      <c r="D490" s="31" t="s">
        <v>206</v>
      </c>
      <c r="E490" s="31" t="s">
        <v>1974</v>
      </c>
      <c r="F490" s="30"/>
      <c r="G490" s="30"/>
      <c r="H490" s="30"/>
      <c r="I490" s="30" t="str">
        <f>VLOOKUP(D490,'Active Employees'!$B$2:$B$498,1,false)</f>
        <v>romain.belorgey@docker.com</v>
      </c>
      <c r="J490" s="33" t="s">
        <v>1469</v>
      </c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</row>
    <row r="491">
      <c r="A491" s="31">
        <v>3.0370012255E11</v>
      </c>
      <c r="B491" s="31" t="s">
        <v>1983</v>
      </c>
      <c r="C491" s="31" t="s">
        <v>1972</v>
      </c>
      <c r="D491" s="31" t="s">
        <v>206</v>
      </c>
      <c r="E491" s="31" t="s">
        <v>1974</v>
      </c>
      <c r="F491" s="30"/>
      <c r="G491" s="30"/>
      <c r="H491" s="30"/>
      <c r="I491" s="30" t="str">
        <f>VLOOKUP(D491,'Active Employees'!$B$2:$B$498,1,false)</f>
        <v>romain.belorgey@docker.com</v>
      </c>
      <c r="J491" s="33" t="s">
        <v>1469</v>
      </c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</row>
    <row r="492">
      <c r="A492" s="31">
        <v>3.13121495448E11</v>
      </c>
      <c r="B492" s="31" t="s">
        <v>1984</v>
      </c>
      <c r="C492" s="31" t="s">
        <v>1972</v>
      </c>
      <c r="D492" s="31" t="s">
        <v>206</v>
      </c>
      <c r="E492" s="31" t="s">
        <v>1974</v>
      </c>
      <c r="F492" s="30"/>
      <c r="G492" s="30"/>
      <c r="H492" s="30"/>
      <c r="I492" s="30" t="str">
        <f>VLOOKUP(D492,'Active Employees'!$B$2:$B$498,1,false)</f>
        <v>romain.belorgey@docker.com</v>
      </c>
      <c r="J492" s="33" t="s">
        <v>1469</v>
      </c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</row>
    <row r="493">
      <c r="A493" s="31">
        <v>3.18510287843E11</v>
      </c>
      <c r="B493" s="31" t="s">
        <v>1985</v>
      </c>
      <c r="C493" s="31" t="s">
        <v>1972</v>
      </c>
      <c r="D493" s="31" t="s">
        <v>206</v>
      </c>
      <c r="E493" s="31" t="s">
        <v>1974</v>
      </c>
      <c r="F493" s="30"/>
      <c r="G493" s="30"/>
      <c r="H493" s="30"/>
      <c r="I493" s="30" t="str">
        <f>VLOOKUP(D493,'Active Employees'!$B$2:$B$498,1,false)</f>
        <v>romain.belorgey@docker.com</v>
      </c>
      <c r="J493" s="33" t="s">
        <v>1469</v>
      </c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</row>
    <row r="494">
      <c r="A494" s="31">
        <v>3.28193795291E11</v>
      </c>
      <c r="B494" s="31" t="s">
        <v>1579</v>
      </c>
      <c r="C494" s="31" t="s">
        <v>1972</v>
      </c>
      <c r="D494" s="31" t="s">
        <v>206</v>
      </c>
      <c r="E494" s="31" t="s">
        <v>1974</v>
      </c>
      <c r="F494" s="30"/>
      <c r="G494" s="30"/>
      <c r="H494" s="30"/>
      <c r="I494" s="30" t="str">
        <f>VLOOKUP(D494,'Active Employees'!$B$2:$B$498,1,false)</f>
        <v>romain.belorgey@docker.com</v>
      </c>
      <c r="J494" s="33" t="s">
        <v>1469</v>
      </c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</row>
    <row r="495">
      <c r="A495" s="31">
        <v>3.45862510308E11</v>
      </c>
      <c r="B495" s="31" t="s">
        <v>1986</v>
      </c>
      <c r="C495" s="31" t="s">
        <v>1972</v>
      </c>
      <c r="D495" s="31" t="s">
        <v>206</v>
      </c>
      <c r="E495" s="31" t="s">
        <v>1974</v>
      </c>
      <c r="F495" s="30"/>
      <c r="G495" s="30"/>
      <c r="H495" s="30"/>
      <c r="I495" s="30" t="str">
        <f>VLOOKUP(D495,'Active Employees'!$B$2:$B$498,1,false)</f>
        <v>romain.belorgey@docker.com</v>
      </c>
      <c r="J495" s="33" t="s">
        <v>1469</v>
      </c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</row>
    <row r="496">
      <c r="A496" s="31">
        <v>3.64430574006E11</v>
      </c>
      <c r="B496" s="31" t="s">
        <v>1987</v>
      </c>
      <c r="C496" s="31" t="s">
        <v>1972</v>
      </c>
      <c r="D496" s="31" t="s">
        <v>206</v>
      </c>
      <c r="E496" s="31" t="s">
        <v>1974</v>
      </c>
      <c r="F496" s="30"/>
      <c r="G496" s="30"/>
      <c r="H496" s="30"/>
      <c r="I496" s="30" t="str">
        <f>VLOOKUP(D496,'Active Employees'!$B$2:$B$498,1,false)</f>
        <v>romain.belorgey@docker.com</v>
      </c>
      <c r="J496" s="33" t="s">
        <v>1469</v>
      </c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</row>
    <row r="497">
      <c r="A497" s="31">
        <v>3.98949996071E11</v>
      </c>
      <c r="B497" s="31" t="s">
        <v>1988</v>
      </c>
      <c r="C497" s="31" t="s">
        <v>1989</v>
      </c>
      <c r="D497" s="31" t="s">
        <v>206</v>
      </c>
      <c r="E497" s="31" t="s">
        <v>1974</v>
      </c>
      <c r="F497" s="30"/>
      <c r="G497" s="30"/>
      <c r="H497" s="30"/>
      <c r="I497" s="30" t="str">
        <f>VLOOKUP(D497,'Active Employees'!$B$2:$B$498,1,false)</f>
        <v>romain.belorgey@docker.com</v>
      </c>
      <c r="J497" s="33" t="s">
        <v>1469</v>
      </c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</row>
    <row r="498">
      <c r="A498" s="31">
        <v>4.33192899833E11</v>
      </c>
      <c r="B498" s="31" t="s">
        <v>1990</v>
      </c>
      <c r="C498" s="31" t="s">
        <v>1972</v>
      </c>
      <c r="D498" s="31" t="s">
        <v>206</v>
      </c>
      <c r="E498" s="31" t="s">
        <v>1974</v>
      </c>
      <c r="F498" s="30"/>
      <c r="G498" s="30"/>
      <c r="H498" s="30"/>
      <c r="I498" s="30" t="str">
        <f>VLOOKUP(D498,'Active Employees'!$B$2:$B$498,1,false)</f>
        <v>romain.belorgey@docker.com</v>
      </c>
      <c r="J498" s="33" t="s">
        <v>1469</v>
      </c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</row>
    <row r="499">
      <c r="A499" s="31">
        <v>4.47924746603E11</v>
      </c>
      <c r="B499" s="31" t="s">
        <v>1991</v>
      </c>
      <c r="C499" s="31" t="s">
        <v>1972</v>
      </c>
      <c r="D499" s="31" t="s">
        <v>206</v>
      </c>
      <c r="E499" s="31" t="s">
        <v>1974</v>
      </c>
      <c r="F499" s="30"/>
      <c r="G499" s="30"/>
      <c r="H499" s="30"/>
      <c r="I499" s="30" t="str">
        <f>VLOOKUP(D499,'Active Employees'!$B$2:$B$498,1,false)</f>
        <v>romain.belorgey@docker.com</v>
      </c>
      <c r="J499" s="33" t="s">
        <v>1469</v>
      </c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</row>
    <row r="500">
      <c r="A500" s="31">
        <v>4.6347093944E11</v>
      </c>
      <c r="B500" s="31" t="s">
        <v>1992</v>
      </c>
      <c r="C500" s="31" t="s">
        <v>1972</v>
      </c>
      <c r="D500" s="31" t="s">
        <v>206</v>
      </c>
      <c r="E500" s="31" t="s">
        <v>1974</v>
      </c>
      <c r="F500" s="30"/>
      <c r="G500" s="30"/>
      <c r="H500" s="30"/>
      <c r="I500" s="30" t="str">
        <f>VLOOKUP(D500,'Active Employees'!$B$2:$B$498,1,false)</f>
        <v>romain.belorgey@docker.com</v>
      </c>
      <c r="J500" s="33" t="s">
        <v>1469</v>
      </c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</row>
    <row r="501">
      <c r="A501" s="31">
        <v>4.77715925773E11</v>
      </c>
      <c r="B501" s="31" t="s">
        <v>1993</v>
      </c>
      <c r="C501" s="31" t="s">
        <v>1972</v>
      </c>
      <c r="D501" s="31" t="s">
        <v>206</v>
      </c>
      <c r="E501" s="31" t="s">
        <v>1974</v>
      </c>
      <c r="F501" s="30"/>
      <c r="G501" s="30"/>
      <c r="H501" s="30"/>
      <c r="I501" s="30" t="str">
        <f>VLOOKUP(D501,'Active Employees'!$B$2:$B$498,1,false)</f>
        <v>romain.belorgey@docker.com</v>
      </c>
      <c r="J501" s="33" t="s">
        <v>1469</v>
      </c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</row>
    <row r="502">
      <c r="A502" s="31">
        <v>5.06620354984E11</v>
      </c>
      <c r="B502" s="31" t="s">
        <v>1994</v>
      </c>
      <c r="C502" s="31" t="s">
        <v>1972</v>
      </c>
      <c r="D502" s="31" t="s">
        <v>206</v>
      </c>
      <c r="E502" s="31" t="s">
        <v>1974</v>
      </c>
      <c r="F502" s="30"/>
      <c r="G502" s="30"/>
      <c r="H502" s="30"/>
      <c r="I502" s="30" t="str">
        <f>VLOOKUP(D502,'Active Employees'!$B$2:$B$498,1,false)</f>
        <v>romain.belorgey@docker.com</v>
      </c>
      <c r="J502" s="33" t="s">
        <v>1469</v>
      </c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</row>
    <row r="503">
      <c r="A503" s="31">
        <v>5.39272219385E11</v>
      </c>
      <c r="B503" s="31" t="s">
        <v>1995</v>
      </c>
      <c r="C503" s="31" t="s">
        <v>1972</v>
      </c>
      <c r="D503" s="31" t="s">
        <v>206</v>
      </c>
      <c r="E503" s="31" t="s">
        <v>1974</v>
      </c>
      <c r="F503" s="30"/>
      <c r="G503" s="30"/>
      <c r="H503" s="30"/>
      <c r="I503" s="30" t="str">
        <f>VLOOKUP(D503,'Active Employees'!$B$2:$B$498,1,false)</f>
        <v>romain.belorgey@docker.com</v>
      </c>
      <c r="J503" s="33" t="s">
        <v>1469</v>
      </c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</row>
    <row r="504">
      <c r="A504" s="31">
        <v>5.40898635624E11</v>
      </c>
      <c r="B504" s="31" t="s">
        <v>1996</v>
      </c>
      <c r="C504" s="31" t="s">
        <v>1972</v>
      </c>
      <c r="D504" s="31" t="s">
        <v>206</v>
      </c>
      <c r="E504" s="31" t="s">
        <v>1974</v>
      </c>
      <c r="F504" s="30"/>
      <c r="G504" s="30"/>
      <c r="H504" s="30"/>
      <c r="I504" s="30" t="str">
        <f>VLOOKUP(D504,'Active Employees'!$B$2:$B$498,1,false)</f>
        <v>romain.belorgey@docker.com</v>
      </c>
      <c r="J504" s="33" t="s">
        <v>1469</v>
      </c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</row>
    <row r="505">
      <c r="A505" s="31">
        <v>6.02326734147E11</v>
      </c>
      <c r="B505" s="31" t="s">
        <v>1997</v>
      </c>
      <c r="C505" s="31" t="s">
        <v>1972</v>
      </c>
      <c r="D505" s="31" t="s">
        <v>206</v>
      </c>
      <c r="E505" s="31" t="s">
        <v>1974</v>
      </c>
      <c r="F505" s="30"/>
      <c r="G505" s="30"/>
      <c r="H505" s="30"/>
      <c r="I505" s="30" t="str">
        <f>VLOOKUP(D505,'Active Employees'!$B$2:$B$498,1,false)</f>
        <v>romain.belorgey@docker.com</v>
      </c>
      <c r="J505" s="33" t="s">
        <v>1469</v>
      </c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</row>
    <row r="506">
      <c r="A506" s="31">
        <v>6.22992712626E11</v>
      </c>
      <c r="B506" s="31" t="s">
        <v>1998</v>
      </c>
      <c r="C506" s="31" t="s">
        <v>1972</v>
      </c>
      <c r="D506" s="31" t="s">
        <v>206</v>
      </c>
      <c r="E506" s="31" t="s">
        <v>1974</v>
      </c>
      <c r="F506" s="30"/>
      <c r="G506" s="30"/>
      <c r="H506" s="30"/>
      <c r="I506" s="30" t="str">
        <f>VLOOKUP(D506,'Active Employees'!$B$2:$B$498,1,false)</f>
        <v>romain.belorgey@docker.com</v>
      </c>
      <c r="J506" s="33" t="s">
        <v>1469</v>
      </c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</row>
    <row r="507">
      <c r="A507" s="31">
        <v>6.37423373108E11</v>
      </c>
      <c r="B507" s="31" t="s">
        <v>1999</v>
      </c>
      <c r="C507" s="31" t="s">
        <v>1972</v>
      </c>
      <c r="D507" s="31" t="s">
        <v>206</v>
      </c>
      <c r="E507" s="31" t="s">
        <v>1974</v>
      </c>
      <c r="F507" s="30"/>
      <c r="G507" s="30"/>
      <c r="H507" s="30"/>
      <c r="I507" s="30" t="str">
        <f>VLOOKUP(D507,'Active Employees'!$B$2:$B$498,1,false)</f>
        <v>romain.belorgey@docker.com</v>
      </c>
      <c r="J507" s="33" t="s">
        <v>1469</v>
      </c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</row>
    <row r="508">
      <c r="A508" s="31">
        <v>6.53834391849E11</v>
      </c>
      <c r="B508" s="31" t="s">
        <v>2000</v>
      </c>
      <c r="C508" s="31" t="s">
        <v>1972</v>
      </c>
      <c r="D508" s="31" t="s">
        <v>206</v>
      </c>
      <c r="E508" s="31" t="s">
        <v>1974</v>
      </c>
      <c r="F508" s="30"/>
      <c r="G508" s="30"/>
      <c r="H508" s="30"/>
      <c r="I508" s="30" t="str">
        <f>VLOOKUP(D508,'Active Employees'!$B$2:$B$498,1,false)</f>
        <v>romain.belorgey@docker.com</v>
      </c>
      <c r="J508" s="33" t="s">
        <v>1469</v>
      </c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</row>
    <row r="509">
      <c r="A509" s="31">
        <v>6.54089975909E11</v>
      </c>
      <c r="B509" s="31" t="s">
        <v>2001</v>
      </c>
      <c r="C509" s="31" t="s">
        <v>1972</v>
      </c>
      <c r="D509" s="31" t="s">
        <v>206</v>
      </c>
      <c r="E509" s="31" t="s">
        <v>1974</v>
      </c>
      <c r="F509" s="30"/>
      <c r="G509" s="30"/>
      <c r="H509" s="30"/>
      <c r="I509" s="30" t="str">
        <f>VLOOKUP(D509,'Active Employees'!$B$2:$B$498,1,false)</f>
        <v>romain.belorgey@docker.com</v>
      </c>
      <c r="J509" s="33" t="s">
        <v>1469</v>
      </c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</row>
    <row r="510">
      <c r="A510" s="31">
        <v>6.54654578585E11</v>
      </c>
      <c r="B510" s="31" t="s">
        <v>2002</v>
      </c>
      <c r="C510" s="31" t="s">
        <v>1972</v>
      </c>
      <c r="D510" s="31" t="s">
        <v>206</v>
      </c>
      <c r="E510" s="31" t="s">
        <v>1974</v>
      </c>
      <c r="F510" s="30"/>
      <c r="G510" s="30"/>
      <c r="H510" s="30"/>
      <c r="I510" s="30" t="str">
        <f>VLOOKUP(D510,'Active Employees'!$B$2:$B$498,1,false)</f>
        <v>romain.belorgey@docker.com</v>
      </c>
      <c r="J510" s="33" t="s">
        <v>1469</v>
      </c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</row>
    <row r="511">
      <c r="A511" s="31">
        <v>6.76043725699E11</v>
      </c>
      <c r="B511" s="31" t="s">
        <v>2003</v>
      </c>
      <c r="C511" s="31" t="s">
        <v>1972</v>
      </c>
      <c r="D511" s="31" t="s">
        <v>206</v>
      </c>
      <c r="E511" s="31" t="s">
        <v>1974</v>
      </c>
      <c r="F511" s="30"/>
      <c r="G511" s="30"/>
      <c r="H511" s="30"/>
      <c r="I511" s="30" t="str">
        <f>VLOOKUP(D511,'Active Employees'!$B$2:$B$498,1,false)</f>
        <v>romain.belorgey@docker.com</v>
      </c>
      <c r="J511" s="33" t="s">
        <v>1469</v>
      </c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</row>
    <row r="512">
      <c r="A512" s="31">
        <v>6.89740959397E11</v>
      </c>
      <c r="B512" s="31" t="s">
        <v>2004</v>
      </c>
      <c r="C512" s="31" t="s">
        <v>1972</v>
      </c>
      <c r="D512" s="31" t="s">
        <v>206</v>
      </c>
      <c r="E512" s="31" t="s">
        <v>1974</v>
      </c>
      <c r="F512" s="30"/>
      <c r="G512" s="30"/>
      <c r="H512" s="30"/>
      <c r="I512" s="30" t="str">
        <f>VLOOKUP(D512,'Active Employees'!$B$2:$B$498,1,false)</f>
        <v>romain.belorgey@docker.com</v>
      </c>
      <c r="J512" s="33" t="s">
        <v>1469</v>
      </c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</row>
    <row r="513">
      <c r="A513" s="31">
        <v>7.10015040892E11</v>
      </c>
      <c r="B513" s="31" t="s">
        <v>2005</v>
      </c>
      <c r="C513" s="31" t="s">
        <v>1972</v>
      </c>
      <c r="D513" s="31" t="s">
        <v>206</v>
      </c>
      <c r="E513" s="31" t="s">
        <v>1974</v>
      </c>
      <c r="F513" s="30"/>
      <c r="G513" s="30"/>
      <c r="H513" s="30"/>
      <c r="I513" s="30" t="str">
        <f>VLOOKUP(D513,'Active Employees'!$B$2:$B$498,1,false)</f>
        <v>romain.belorgey@docker.com</v>
      </c>
      <c r="J513" s="33" t="s">
        <v>1469</v>
      </c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</row>
    <row r="514">
      <c r="A514" s="31">
        <v>7.15809519905E11</v>
      </c>
      <c r="B514" s="31" t="s">
        <v>2006</v>
      </c>
      <c r="C514" s="31" t="s">
        <v>1972</v>
      </c>
      <c r="D514" s="31" t="s">
        <v>206</v>
      </c>
      <c r="E514" s="31" t="s">
        <v>1974</v>
      </c>
      <c r="F514" s="30"/>
      <c r="G514" s="30"/>
      <c r="H514" s="30"/>
      <c r="I514" s="30" t="str">
        <f>VLOOKUP(D514,'Active Employees'!$B$2:$B$498,1,false)</f>
        <v>romain.belorgey@docker.com</v>
      </c>
      <c r="J514" s="33" t="s">
        <v>1469</v>
      </c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</row>
    <row r="515">
      <c r="A515" s="31">
        <v>7.25113757135E11</v>
      </c>
      <c r="B515" s="31" t="s">
        <v>2007</v>
      </c>
      <c r="C515" s="31" t="s">
        <v>1972</v>
      </c>
      <c r="D515" s="31" t="s">
        <v>206</v>
      </c>
      <c r="E515" s="31" t="s">
        <v>1974</v>
      </c>
      <c r="F515" s="30"/>
      <c r="G515" s="30"/>
      <c r="H515" s="30"/>
      <c r="I515" s="30" t="str">
        <f>VLOOKUP(D515,'Active Employees'!$B$2:$B$498,1,false)</f>
        <v>romain.belorgey@docker.com</v>
      </c>
      <c r="J515" s="33" t="s">
        <v>1469</v>
      </c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</row>
    <row r="516">
      <c r="A516" s="31">
        <v>7.41686272442E11</v>
      </c>
      <c r="B516" s="31" t="s">
        <v>2008</v>
      </c>
      <c r="C516" s="31" t="s">
        <v>1972</v>
      </c>
      <c r="D516" s="31" t="s">
        <v>206</v>
      </c>
      <c r="E516" s="31" t="s">
        <v>1974</v>
      </c>
      <c r="F516" s="30"/>
      <c r="G516" s="30"/>
      <c r="H516" s="30"/>
      <c r="I516" s="30" t="str">
        <f>VLOOKUP(D516,'Active Employees'!$B$2:$B$498,1,false)</f>
        <v>romain.belorgey@docker.com</v>
      </c>
      <c r="J516" s="33" t="s">
        <v>1469</v>
      </c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</row>
    <row r="517">
      <c r="A517" s="31">
        <v>8.01373416553E11</v>
      </c>
      <c r="B517" s="31" t="s">
        <v>2009</v>
      </c>
      <c r="C517" s="31" t="s">
        <v>1972</v>
      </c>
      <c r="D517" s="31" t="s">
        <v>206</v>
      </c>
      <c r="E517" s="31" t="s">
        <v>1974</v>
      </c>
      <c r="F517" s="30"/>
      <c r="G517" s="30"/>
      <c r="H517" s="30"/>
      <c r="I517" s="30" t="str">
        <f>VLOOKUP(D517,'Active Employees'!$B$2:$B$498,1,false)</f>
        <v>romain.belorgey@docker.com</v>
      </c>
      <c r="J517" s="33" t="s">
        <v>1469</v>
      </c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</row>
    <row r="518">
      <c r="A518" s="31">
        <v>8.37880040897E11</v>
      </c>
      <c r="B518" s="31" t="s">
        <v>2010</v>
      </c>
      <c r="C518" s="31" t="s">
        <v>1972</v>
      </c>
      <c r="D518" s="31" t="s">
        <v>206</v>
      </c>
      <c r="E518" s="31" t="s">
        <v>1974</v>
      </c>
      <c r="F518" s="30"/>
      <c r="G518" s="30"/>
      <c r="H518" s="30"/>
      <c r="I518" s="30" t="str">
        <f>VLOOKUP(D518,'Active Employees'!$B$2:$B$498,1,false)</f>
        <v>romain.belorgey@docker.com</v>
      </c>
      <c r="J518" s="33" t="s">
        <v>1469</v>
      </c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</row>
    <row r="519">
      <c r="A519" s="31">
        <v>8.66613861722E11</v>
      </c>
      <c r="B519" s="31" t="s">
        <v>2011</v>
      </c>
      <c r="C519" s="31" t="s">
        <v>1972</v>
      </c>
      <c r="D519" s="31" t="s">
        <v>206</v>
      </c>
      <c r="E519" s="31" t="s">
        <v>1974</v>
      </c>
      <c r="F519" s="30"/>
      <c r="G519" s="30"/>
      <c r="H519" s="30"/>
      <c r="I519" s="30" t="str">
        <f>VLOOKUP(D519,'Active Employees'!$B$2:$B$498,1,false)</f>
        <v>romain.belorgey@docker.com</v>
      </c>
      <c r="J519" s="33" t="s">
        <v>1469</v>
      </c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</row>
    <row r="520">
      <c r="A520" s="31">
        <v>8.7100165961E11</v>
      </c>
      <c r="B520" s="31" t="s">
        <v>2012</v>
      </c>
      <c r="C520" s="31" t="s">
        <v>1972</v>
      </c>
      <c r="D520" s="31" t="s">
        <v>206</v>
      </c>
      <c r="E520" s="31" t="s">
        <v>1974</v>
      </c>
      <c r="F520" s="30"/>
      <c r="G520" s="30"/>
      <c r="H520" s="30"/>
      <c r="I520" s="30" t="str">
        <f>VLOOKUP(D520,'Active Employees'!$B$2:$B$498,1,false)</f>
        <v>romain.belorgey@docker.com</v>
      </c>
      <c r="J520" s="33" t="s">
        <v>1469</v>
      </c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</row>
    <row r="521">
      <c r="A521" s="31">
        <v>8.82892008441E11</v>
      </c>
      <c r="B521" s="31" t="s">
        <v>2013</v>
      </c>
      <c r="C521" s="31" t="s">
        <v>1972</v>
      </c>
      <c r="D521" s="31" t="s">
        <v>206</v>
      </c>
      <c r="E521" s="31" t="s">
        <v>1974</v>
      </c>
      <c r="F521" s="30"/>
      <c r="G521" s="30"/>
      <c r="H521" s="30"/>
      <c r="I521" s="30" t="str">
        <f>VLOOKUP(D521,'Active Employees'!$B$2:$B$498,1,false)</f>
        <v>romain.belorgey@docker.com</v>
      </c>
      <c r="J521" s="33" t="s">
        <v>1469</v>
      </c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</row>
    <row r="522">
      <c r="A522" s="31">
        <v>8.88577047425E11</v>
      </c>
      <c r="B522" s="31" t="s">
        <v>2014</v>
      </c>
      <c r="C522" s="31" t="s">
        <v>1972</v>
      </c>
      <c r="D522" s="31" t="s">
        <v>206</v>
      </c>
      <c r="E522" s="31" t="s">
        <v>1974</v>
      </c>
      <c r="F522" s="30"/>
      <c r="G522" s="30"/>
      <c r="H522" s="30"/>
      <c r="I522" s="30" t="str">
        <f>VLOOKUP(D522,'Active Employees'!$B$2:$B$498,1,false)</f>
        <v>romain.belorgey@docker.com</v>
      </c>
      <c r="J522" s="33" t="s">
        <v>1469</v>
      </c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</row>
    <row r="523">
      <c r="A523" s="31">
        <v>8.91377047271E11</v>
      </c>
      <c r="B523" s="31" t="s">
        <v>2015</v>
      </c>
      <c r="C523" s="31" t="s">
        <v>1972</v>
      </c>
      <c r="D523" s="31" t="s">
        <v>206</v>
      </c>
      <c r="E523" s="31" t="s">
        <v>1974</v>
      </c>
      <c r="F523" s="30"/>
      <c r="G523" s="30"/>
      <c r="H523" s="30"/>
      <c r="I523" s="30" t="str">
        <f>VLOOKUP(D523,'Active Employees'!$B$2:$B$498,1,false)</f>
        <v>romain.belorgey@docker.com</v>
      </c>
      <c r="J523" s="33" t="s">
        <v>1469</v>
      </c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</row>
    <row r="524">
      <c r="A524" s="31">
        <v>9.03032050004E11</v>
      </c>
      <c r="B524" s="31" t="s">
        <v>2016</v>
      </c>
      <c r="C524" s="31" t="s">
        <v>1972</v>
      </c>
      <c r="D524" s="31" t="s">
        <v>206</v>
      </c>
      <c r="E524" s="31" t="s">
        <v>1974</v>
      </c>
      <c r="F524" s="30"/>
      <c r="G524" s="30"/>
      <c r="H524" s="30"/>
      <c r="I524" s="30" t="str">
        <f>VLOOKUP(D524,'Active Employees'!$B$2:$B$498,1,false)</f>
        <v>romain.belorgey@docker.com</v>
      </c>
      <c r="J524" s="33" t="s">
        <v>1469</v>
      </c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</row>
    <row r="525">
      <c r="A525" s="31">
        <v>9.03773873662E11</v>
      </c>
      <c r="B525" s="31" t="s">
        <v>2017</v>
      </c>
      <c r="C525" s="31" t="s">
        <v>1972</v>
      </c>
      <c r="D525" s="31" t="s">
        <v>206</v>
      </c>
      <c r="E525" s="31" t="s">
        <v>1974</v>
      </c>
      <c r="F525" s="30"/>
      <c r="G525" s="30"/>
      <c r="H525" s="30"/>
      <c r="I525" s="30" t="str">
        <f>VLOOKUP(D525,'Active Employees'!$B$2:$B$498,1,false)</f>
        <v>romain.belorgey@docker.com</v>
      </c>
      <c r="J525" s="33" t="s">
        <v>1469</v>
      </c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</row>
    <row r="526">
      <c r="A526" s="31">
        <v>9.12777366807E11</v>
      </c>
      <c r="B526" s="31" t="s">
        <v>2018</v>
      </c>
      <c r="C526" s="31" t="s">
        <v>1972</v>
      </c>
      <c r="D526" s="31" t="s">
        <v>206</v>
      </c>
      <c r="E526" s="31" t="s">
        <v>1974</v>
      </c>
      <c r="F526" s="30"/>
      <c r="G526" s="30"/>
      <c r="H526" s="30"/>
      <c r="I526" s="30" t="str">
        <f>VLOOKUP(D526,'Active Employees'!$B$2:$B$498,1,false)</f>
        <v>romain.belorgey@docker.com</v>
      </c>
      <c r="J526" s="33" t="s">
        <v>1469</v>
      </c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</row>
    <row r="527">
      <c r="A527" s="31">
        <v>9.58563233736E11</v>
      </c>
      <c r="B527" s="31" t="s">
        <v>2019</v>
      </c>
      <c r="C527" s="31" t="s">
        <v>1972</v>
      </c>
      <c r="D527" s="31" t="s">
        <v>206</v>
      </c>
      <c r="E527" s="31" t="s">
        <v>1974</v>
      </c>
      <c r="F527" s="30"/>
      <c r="G527" s="30"/>
      <c r="H527" s="30"/>
      <c r="I527" s="30" t="str">
        <f>VLOOKUP(D527,'Active Employees'!$B$2:$B$498,1,false)</f>
        <v>romain.belorgey@docker.com</v>
      </c>
      <c r="J527" s="33" t="s">
        <v>1469</v>
      </c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</row>
    <row r="528">
      <c r="A528" s="31">
        <v>9.75050170311E11</v>
      </c>
      <c r="B528" s="31" t="s">
        <v>2020</v>
      </c>
      <c r="C528" s="31" t="s">
        <v>1972</v>
      </c>
      <c r="D528" s="31" t="s">
        <v>206</v>
      </c>
      <c r="E528" s="31" t="s">
        <v>1974</v>
      </c>
      <c r="F528" s="30"/>
      <c r="G528" s="30"/>
      <c r="H528" s="30"/>
      <c r="I528" s="30" t="str">
        <f>VLOOKUP(D528,'Active Employees'!$B$2:$B$498,1,false)</f>
        <v>romain.belorgey@docker.com</v>
      </c>
      <c r="J528" s="33" t="s">
        <v>1469</v>
      </c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</row>
    <row r="529">
      <c r="A529" s="31">
        <v>9.91137750147E11</v>
      </c>
      <c r="B529" s="31" t="s">
        <v>2021</v>
      </c>
      <c r="C529" s="31" t="s">
        <v>1972</v>
      </c>
      <c r="D529" s="31" t="s">
        <v>206</v>
      </c>
      <c r="E529" s="31" t="s">
        <v>1974</v>
      </c>
      <c r="F529" s="30"/>
      <c r="G529" s="30"/>
      <c r="H529" s="30"/>
      <c r="I529" s="30" t="str">
        <f>VLOOKUP(D529,'Active Employees'!$B$2:$B$498,1,false)</f>
        <v>romain.belorgey@docker.com</v>
      </c>
      <c r="J529" s="33" t="s">
        <v>1469</v>
      </c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</row>
    <row r="530">
      <c r="A530" s="31">
        <v>1.0438487392E10</v>
      </c>
      <c r="B530" s="31" t="s">
        <v>1971</v>
      </c>
      <c r="C530" s="31" t="s">
        <v>1972</v>
      </c>
      <c r="D530" s="31" t="s">
        <v>1225</v>
      </c>
      <c r="E530" s="31" t="s">
        <v>1974</v>
      </c>
      <c r="F530" s="30"/>
      <c r="G530" s="30"/>
      <c r="H530" s="30"/>
      <c r="I530" s="30" t="str">
        <f>VLOOKUP(D530,'Active Employees'!$B$2:$B$498,1,false)</f>
        <v>stefan.scherer@docker.com</v>
      </c>
      <c r="J530" s="33" t="s">
        <v>1469</v>
      </c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</row>
    <row r="531">
      <c r="A531" s="31">
        <v>4.7302296459E10</v>
      </c>
      <c r="B531" s="31" t="s">
        <v>1975</v>
      </c>
      <c r="C531" s="31" t="s">
        <v>1972</v>
      </c>
      <c r="D531" s="31" t="s">
        <v>1225</v>
      </c>
      <c r="E531" s="31" t="s">
        <v>1974</v>
      </c>
      <c r="F531" s="30"/>
      <c r="G531" s="30"/>
      <c r="H531" s="30"/>
      <c r="I531" s="30" t="str">
        <f>VLOOKUP(D531,'Active Employees'!$B$2:$B$498,1,false)</f>
        <v>stefan.scherer@docker.com</v>
      </c>
      <c r="J531" s="33" t="s">
        <v>1469</v>
      </c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</row>
    <row r="532">
      <c r="A532" s="31">
        <v>5.8264503038E10</v>
      </c>
      <c r="B532" s="31" t="s">
        <v>1976</v>
      </c>
      <c r="C532" s="31" t="s">
        <v>1972</v>
      </c>
      <c r="D532" s="31" t="s">
        <v>1225</v>
      </c>
      <c r="E532" s="31" t="s">
        <v>1974</v>
      </c>
      <c r="F532" s="30"/>
      <c r="G532" s="30"/>
      <c r="H532" s="30"/>
      <c r="I532" s="30" t="str">
        <f>VLOOKUP(D532,'Active Employees'!$B$2:$B$498,1,false)</f>
        <v>stefan.scherer@docker.com</v>
      </c>
      <c r="J532" s="33" t="s">
        <v>1469</v>
      </c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</row>
    <row r="533">
      <c r="A533" s="31">
        <v>9.9407438094E10</v>
      </c>
      <c r="B533" s="31" t="s">
        <v>1977</v>
      </c>
      <c r="C533" s="31" t="s">
        <v>1972</v>
      </c>
      <c r="D533" s="31" t="s">
        <v>1225</v>
      </c>
      <c r="E533" s="31" t="s">
        <v>1974</v>
      </c>
      <c r="F533" s="30"/>
      <c r="G533" s="30"/>
      <c r="H533" s="30"/>
      <c r="I533" s="30" t="str">
        <f>VLOOKUP(D533,'Active Employees'!$B$2:$B$498,1,false)</f>
        <v>stefan.scherer@docker.com</v>
      </c>
      <c r="J533" s="33" t="s">
        <v>1469</v>
      </c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</row>
    <row r="534">
      <c r="A534" s="31">
        <v>1.11664719423E11</v>
      </c>
      <c r="B534" s="31" t="s">
        <v>1978</v>
      </c>
      <c r="C534" s="31" t="s">
        <v>1972</v>
      </c>
      <c r="D534" s="31" t="s">
        <v>1225</v>
      </c>
      <c r="E534" s="31" t="s">
        <v>1974</v>
      </c>
      <c r="F534" s="30"/>
      <c r="G534" s="30"/>
      <c r="H534" s="30"/>
      <c r="I534" s="30" t="str">
        <f>VLOOKUP(D534,'Active Employees'!$B$2:$B$498,1,false)</f>
        <v>stefan.scherer@docker.com</v>
      </c>
      <c r="J534" s="33" t="s">
        <v>1469</v>
      </c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</row>
    <row r="535">
      <c r="A535" s="31">
        <v>1.75142243308E11</v>
      </c>
      <c r="B535" s="31" t="s">
        <v>1979</v>
      </c>
      <c r="C535" s="31" t="s">
        <v>1972</v>
      </c>
      <c r="D535" s="31" t="s">
        <v>1225</v>
      </c>
      <c r="E535" s="31" t="s">
        <v>1974</v>
      </c>
      <c r="F535" s="30"/>
      <c r="G535" s="30"/>
      <c r="H535" s="30"/>
      <c r="I535" s="30" t="str">
        <f>VLOOKUP(D535,'Active Employees'!$B$2:$B$498,1,false)</f>
        <v>stefan.scherer@docker.com</v>
      </c>
      <c r="J535" s="33" t="s">
        <v>1469</v>
      </c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</row>
    <row r="536">
      <c r="A536" s="31">
        <v>2.67155176707E11</v>
      </c>
      <c r="B536" s="31" t="s">
        <v>1980</v>
      </c>
      <c r="C536" s="31" t="s">
        <v>1972</v>
      </c>
      <c r="D536" s="31" t="s">
        <v>1225</v>
      </c>
      <c r="E536" s="31" t="s">
        <v>1974</v>
      </c>
      <c r="F536" s="30"/>
      <c r="G536" s="30"/>
      <c r="H536" s="30"/>
      <c r="I536" s="30" t="str">
        <f>VLOOKUP(D536,'Active Employees'!$B$2:$B$498,1,false)</f>
        <v>stefan.scherer@docker.com</v>
      </c>
      <c r="J536" s="33" t="s">
        <v>1469</v>
      </c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</row>
    <row r="537">
      <c r="A537" s="31">
        <v>2.77603989202E11</v>
      </c>
      <c r="B537" s="31" t="s">
        <v>1981</v>
      </c>
      <c r="C537" s="31" t="s">
        <v>1972</v>
      </c>
      <c r="D537" s="31" t="s">
        <v>1225</v>
      </c>
      <c r="E537" s="31" t="s">
        <v>1974</v>
      </c>
      <c r="F537" s="30"/>
      <c r="G537" s="30"/>
      <c r="H537" s="30"/>
      <c r="I537" s="30" t="str">
        <f>VLOOKUP(D537,'Active Employees'!$B$2:$B$498,1,false)</f>
        <v>stefan.scherer@docker.com</v>
      </c>
      <c r="J537" s="33" t="s">
        <v>1469</v>
      </c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</row>
    <row r="538">
      <c r="A538" s="31">
        <v>3.00042230143E11</v>
      </c>
      <c r="B538" s="31" t="s">
        <v>1982</v>
      </c>
      <c r="C538" s="31" t="s">
        <v>1972</v>
      </c>
      <c r="D538" s="31" t="s">
        <v>1225</v>
      </c>
      <c r="E538" s="31" t="s">
        <v>1974</v>
      </c>
      <c r="F538" s="30"/>
      <c r="G538" s="30"/>
      <c r="H538" s="30"/>
      <c r="I538" s="30" t="str">
        <f>VLOOKUP(D538,'Active Employees'!$B$2:$B$498,1,false)</f>
        <v>stefan.scherer@docker.com</v>
      </c>
      <c r="J538" s="33" t="s">
        <v>1469</v>
      </c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</row>
    <row r="539">
      <c r="A539" s="31">
        <v>3.0370012255E11</v>
      </c>
      <c r="B539" s="31" t="s">
        <v>1983</v>
      </c>
      <c r="C539" s="31" t="s">
        <v>1972</v>
      </c>
      <c r="D539" s="31" t="s">
        <v>1225</v>
      </c>
      <c r="E539" s="31" t="s">
        <v>1974</v>
      </c>
      <c r="F539" s="30"/>
      <c r="G539" s="30"/>
      <c r="H539" s="30"/>
      <c r="I539" s="30" t="str">
        <f>VLOOKUP(D539,'Active Employees'!$B$2:$B$498,1,false)</f>
        <v>stefan.scherer@docker.com</v>
      </c>
      <c r="J539" s="33" t="s">
        <v>1469</v>
      </c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</row>
    <row r="540">
      <c r="A540" s="31">
        <v>3.13121495448E11</v>
      </c>
      <c r="B540" s="31" t="s">
        <v>1984</v>
      </c>
      <c r="C540" s="31" t="s">
        <v>1972</v>
      </c>
      <c r="D540" s="31" t="s">
        <v>1225</v>
      </c>
      <c r="E540" s="31" t="s">
        <v>1974</v>
      </c>
      <c r="F540" s="30"/>
      <c r="G540" s="30"/>
      <c r="H540" s="30"/>
      <c r="I540" s="30" t="str">
        <f>VLOOKUP(D540,'Active Employees'!$B$2:$B$498,1,false)</f>
        <v>stefan.scherer@docker.com</v>
      </c>
      <c r="J540" s="33" t="s">
        <v>1469</v>
      </c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</row>
    <row r="541">
      <c r="A541" s="31">
        <v>3.18510287843E11</v>
      </c>
      <c r="B541" s="31" t="s">
        <v>1985</v>
      </c>
      <c r="C541" s="31" t="s">
        <v>1972</v>
      </c>
      <c r="D541" s="31" t="s">
        <v>1225</v>
      </c>
      <c r="E541" s="31" t="s">
        <v>1974</v>
      </c>
      <c r="F541" s="30"/>
      <c r="G541" s="30"/>
      <c r="H541" s="30"/>
      <c r="I541" s="30" t="str">
        <f>VLOOKUP(D541,'Active Employees'!$B$2:$B$498,1,false)</f>
        <v>stefan.scherer@docker.com</v>
      </c>
      <c r="J541" s="33" t="s">
        <v>1469</v>
      </c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</row>
    <row r="542">
      <c r="A542" s="31">
        <v>3.28193795291E11</v>
      </c>
      <c r="B542" s="31" t="s">
        <v>1579</v>
      </c>
      <c r="C542" s="31" t="s">
        <v>1972</v>
      </c>
      <c r="D542" s="31" t="s">
        <v>1225</v>
      </c>
      <c r="E542" s="31" t="s">
        <v>1974</v>
      </c>
      <c r="F542" s="30"/>
      <c r="G542" s="30"/>
      <c r="H542" s="30"/>
      <c r="I542" s="30" t="str">
        <f>VLOOKUP(D542,'Active Employees'!$B$2:$B$498,1,false)</f>
        <v>stefan.scherer@docker.com</v>
      </c>
      <c r="J542" s="33" t="s">
        <v>1469</v>
      </c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</row>
    <row r="543">
      <c r="A543" s="31">
        <v>3.45862510308E11</v>
      </c>
      <c r="B543" s="31" t="s">
        <v>1986</v>
      </c>
      <c r="C543" s="31" t="s">
        <v>1972</v>
      </c>
      <c r="D543" s="31" t="s">
        <v>1225</v>
      </c>
      <c r="E543" s="31" t="s">
        <v>1974</v>
      </c>
      <c r="F543" s="30"/>
      <c r="G543" s="30"/>
      <c r="H543" s="30"/>
      <c r="I543" s="30" t="str">
        <f>VLOOKUP(D543,'Active Employees'!$B$2:$B$498,1,false)</f>
        <v>stefan.scherer@docker.com</v>
      </c>
      <c r="J543" s="33" t="s">
        <v>1469</v>
      </c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</row>
    <row r="544">
      <c r="A544" s="31">
        <v>3.64430574006E11</v>
      </c>
      <c r="B544" s="31" t="s">
        <v>1987</v>
      </c>
      <c r="C544" s="31" t="s">
        <v>1972</v>
      </c>
      <c r="D544" s="31" t="s">
        <v>1225</v>
      </c>
      <c r="E544" s="31" t="s">
        <v>1974</v>
      </c>
      <c r="F544" s="30"/>
      <c r="G544" s="30"/>
      <c r="H544" s="30"/>
      <c r="I544" s="30" t="str">
        <f>VLOOKUP(D544,'Active Employees'!$B$2:$B$498,1,false)</f>
        <v>stefan.scherer@docker.com</v>
      </c>
      <c r="J544" s="33" t="s">
        <v>1469</v>
      </c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</row>
    <row r="545">
      <c r="A545" s="31">
        <v>3.98949996071E11</v>
      </c>
      <c r="B545" s="31" t="s">
        <v>1988</v>
      </c>
      <c r="C545" s="31" t="s">
        <v>1989</v>
      </c>
      <c r="D545" s="31" t="s">
        <v>1225</v>
      </c>
      <c r="E545" s="31" t="s">
        <v>1974</v>
      </c>
      <c r="F545" s="30"/>
      <c r="G545" s="30"/>
      <c r="H545" s="30"/>
      <c r="I545" s="30" t="str">
        <f>VLOOKUP(D545,'Active Employees'!$B$2:$B$498,1,false)</f>
        <v>stefan.scherer@docker.com</v>
      </c>
      <c r="J545" s="33" t="s">
        <v>1469</v>
      </c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</row>
    <row r="546">
      <c r="A546" s="31">
        <v>4.33192899833E11</v>
      </c>
      <c r="B546" s="31" t="s">
        <v>1990</v>
      </c>
      <c r="C546" s="31" t="s">
        <v>1972</v>
      </c>
      <c r="D546" s="31" t="s">
        <v>1225</v>
      </c>
      <c r="E546" s="31" t="s">
        <v>1974</v>
      </c>
      <c r="F546" s="30"/>
      <c r="G546" s="30"/>
      <c r="H546" s="30"/>
      <c r="I546" s="30" t="str">
        <f>VLOOKUP(D546,'Active Employees'!$B$2:$B$498,1,false)</f>
        <v>stefan.scherer@docker.com</v>
      </c>
      <c r="J546" s="33" t="s">
        <v>1469</v>
      </c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</row>
    <row r="547">
      <c r="A547" s="31">
        <v>4.47924746603E11</v>
      </c>
      <c r="B547" s="31" t="s">
        <v>1991</v>
      </c>
      <c r="C547" s="31" t="s">
        <v>1972</v>
      </c>
      <c r="D547" s="31" t="s">
        <v>1225</v>
      </c>
      <c r="E547" s="31" t="s">
        <v>1974</v>
      </c>
      <c r="F547" s="30"/>
      <c r="G547" s="30"/>
      <c r="H547" s="30"/>
      <c r="I547" s="30" t="str">
        <f>VLOOKUP(D547,'Active Employees'!$B$2:$B$498,1,false)</f>
        <v>stefan.scherer@docker.com</v>
      </c>
      <c r="J547" s="33" t="s">
        <v>1469</v>
      </c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</row>
    <row r="548">
      <c r="A548" s="31">
        <v>4.6347093944E11</v>
      </c>
      <c r="B548" s="31" t="s">
        <v>1992</v>
      </c>
      <c r="C548" s="31" t="s">
        <v>1972</v>
      </c>
      <c r="D548" s="31" t="s">
        <v>1225</v>
      </c>
      <c r="E548" s="31" t="s">
        <v>1974</v>
      </c>
      <c r="F548" s="30"/>
      <c r="G548" s="30"/>
      <c r="H548" s="30"/>
      <c r="I548" s="30" t="str">
        <f>VLOOKUP(D548,'Active Employees'!$B$2:$B$498,1,false)</f>
        <v>stefan.scherer@docker.com</v>
      </c>
      <c r="J548" s="33" t="s">
        <v>1469</v>
      </c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</row>
    <row r="549">
      <c r="A549" s="31">
        <v>4.77715925773E11</v>
      </c>
      <c r="B549" s="31" t="s">
        <v>1993</v>
      </c>
      <c r="C549" s="31" t="s">
        <v>1972</v>
      </c>
      <c r="D549" s="31" t="s">
        <v>1225</v>
      </c>
      <c r="E549" s="31" t="s">
        <v>1974</v>
      </c>
      <c r="F549" s="30"/>
      <c r="G549" s="30"/>
      <c r="H549" s="30"/>
      <c r="I549" s="30" t="str">
        <f>VLOOKUP(D549,'Active Employees'!$B$2:$B$498,1,false)</f>
        <v>stefan.scherer@docker.com</v>
      </c>
      <c r="J549" s="33" t="s">
        <v>1469</v>
      </c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</row>
    <row r="550">
      <c r="A550" s="31">
        <v>5.06620354984E11</v>
      </c>
      <c r="B550" s="31" t="s">
        <v>1994</v>
      </c>
      <c r="C550" s="31" t="s">
        <v>1972</v>
      </c>
      <c r="D550" s="31" t="s">
        <v>1225</v>
      </c>
      <c r="E550" s="31" t="s">
        <v>1974</v>
      </c>
      <c r="F550" s="30"/>
      <c r="G550" s="30"/>
      <c r="H550" s="30"/>
      <c r="I550" s="30" t="str">
        <f>VLOOKUP(D550,'Active Employees'!$B$2:$B$498,1,false)</f>
        <v>stefan.scherer@docker.com</v>
      </c>
      <c r="J550" s="33" t="s">
        <v>1469</v>
      </c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</row>
    <row r="551">
      <c r="A551" s="31">
        <v>5.39272219385E11</v>
      </c>
      <c r="B551" s="31" t="s">
        <v>1995</v>
      </c>
      <c r="C551" s="31" t="s">
        <v>1972</v>
      </c>
      <c r="D551" s="31" t="s">
        <v>1225</v>
      </c>
      <c r="E551" s="31" t="s">
        <v>1974</v>
      </c>
      <c r="F551" s="30"/>
      <c r="G551" s="30"/>
      <c r="H551" s="30"/>
      <c r="I551" s="30" t="str">
        <f>VLOOKUP(D551,'Active Employees'!$B$2:$B$498,1,false)</f>
        <v>stefan.scherer@docker.com</v>
      </c>
      <c r="J551" s="33" t="s">
        <v>1469</v>
      </c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</row>
    <row r="552">
      <c r="A552" s="31">
        <v>5.40898635624E11</v>
      </c>
      <c r="B552" s="31" t="s">
        <v>1996</v>
      </c>
      <c r="C552" s="31" t="s">
        <v>1972</v>
      </c>
      <c r="D552" s="31" t="s">
        <v>1225</v>
      </c>
      <c r="E552" s="31" t="s">
        <v>1974</v>
      </c>
      <c r="F552" s="30"/>
      <c r="G552" s="30"/>
      <c r="H552" s="30"/>
      <c r="I552" s="30" t="str">
        <f>VLOOKUP(D552,'Active Employees'!$B$2:$B$498,1,false)</f>
        <v>stefan.scherer@docker.com</v>
      </c>
      <c r="J552" s="33" t="s">
        <v>1469</v>
      </c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</row>
    <row r="553">
      <c r="A553" s="31">
        <v>6.02326734147E11</v>
      </c>
      <c r="B553" s="31" t="s">
        <v>1997</v>
      </c>
      <c r="C553" s="31" t="s">
        <v>1972</v>
      </c>
      <c r="D553" s="31" t="s">
        <v>1225</v>
      </c>
      <c r="E553" s="31" t="s">
        <v>1974</v>
      </c>
      <c r="F553" s="30"/>
      <c r="G553" s="30"/>
      <c r="H553" s="30"/>
      <c r="I553" s="30" t="str">
        <f>VLOOKUP(D553,'Active Employees'!$B$2:$B$498,1,false)</f>
        <v>stefan.scherer@docker.com</v>
      </c>
      <c r="J553" s="33" t="s">
        <v>1469</v>
      </c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</row>
    <row r="554">
      <c r="A554" s="31">
        <v>6.22992712626E11</v>
      </c>
      <c r="B554" s="31" t="s">
        <v>1998</v>
      </c>
      <c r="C554" s="31" t="s">
        <v>1972</v>
      </c>
      <c r="D554" s="31" t="s">
        <v>1225</v>
      </c>
      <c r="E554" s="31" t="s">
        <v>1974</v>
      </c>
      <c r="F554" s="30"/>
      <c r="G554" s="30"/>
      <c r="H554" s="30"/>
      <c r="I554" s="30" t="str">
        <f>VLOOKUP(D554,'Active Employees'!$B$2:$B$498,1,false)</f>
        <v>stefan.scherer@docker.com</v>
      </c>
      <c r="J554" s="33" t="s">
        <v>1469</v>
      </c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</row>
    <row r="555">
      <c r="A555" s="31">
        <v>6.37423373108E11</v>
      </c>
      <c r="B555" s="31" t="s">
        <v>1999</v>
      </c>
      <c r="C555" s="31" t="s">
        <v>1972</v>
      </c>
      <c r="D555" s="31" t="s">
        <v>1225</v>
      </c>
      <c r="E555" s="31" t="s">
        <v>1974</v>
      </c>
      <c r="F555" s="30"/>
      <c r="G555" s="30"/>
      <c r="H555" s="30"/>
      <c r="I555" s="30" t="str">
        <f>VLOOKUP(D555,'Active Employees'!$B$2:$B$498,1,false)</f>
        <v>stefan.scherer@docker.com</v>
      </c>
      <c r="J555" s="33" t="s">
        <v>1469</v>
      </c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</row>
    <row r="556">
      <c r="A556" s="31">
        <v>6.53834391849E11</v>
      </c>
      <c r="B556" s="31" t="s">
        <v>2000</v>
      </c>
      <c r="C556" s="31" t="s">
        <v>1972</v>
      </c>
      <c r="D556" s="31" t="s">
        <v>1225</v>
      </c>
      <c r="E556" s="31" t="s">
        <v>1974</v>
      </c>
      <c r="F556" s="30"/>
      <c r="G556" s="30"/>
      <c r="H556" s="30"/>
      <c r="I556" s="30" t="str">
        <f>VLOOKUP(D556,'Active Employees'!$B$2:$B$498,1,false)</f>
        <v>stefan.scherer@docker.com</v>
      </c>
      <c r="J556" s="33" t="s">
        <v>1469</v>
      </c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</row>
    <row r="557">
      <c r="A557" s="31">
        <v>6.54089975909E11</v>
      </c>
      <c r="B557" s="31" t="s">
        <v>2001</v>
      </c>
      <c r="C557" s="31" t="s">
        <v>1972</v>
      </c>
      <c r="D557" s="31" t="s">
        <v>1225</v>
      </c>
      <c r="E557" s="31" t="s">
        <v>1974</v>
      </c>
      <c r="F557" s="30"/>
      <c r="G557" s="30"/>
      <c r="H557" s="30"/>
      <c r="I557" s="30" t="str">
        <f>VLOOKUP(D557,'Active Employees'!$B$2:$B$498,1,false)</f>
        <v>stefan.scherer@docker.com</v>
      </c>
      <c r="J557" s="33" t="s">
        <v>1469</v>
      </c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</row>
    <row r="558">
      <c r="A558" s="31">
        <v>6.54654578585E11</v>
      </c>
      <c r="B558" s="31" t="s">
        <v>2002</v>
      </c>
      <c r="C558" s="31" t="s">
        <v>1972</v>
      </c>
      <c r="D558" s="31" t="s">
        <v>1225</v>
      </c>
      <c r="E558" s="31" t="s">
        <v>1974</v>
      </c>
      <c r="F558" s="30"/>
      <c r="G558" s="30"/>
      <c r="H558" s="30"/>
      <c r="I558" s="30" t="str">
        <f>VLOOKUP(D558,'Active Employees'!$B$2:$B$498,1,false)</f>
        <v>stefan.scherer@docker.com</v>
      </c>
      <c r="J558" s="33" t="s">
        <v>1469</v>
      </c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</row>
    <row r="559">
      <c r="A559" s="31">
        <v>6.76043725699E11</v>
      </c>
      <c r="B559" s="31" t="s">
        <v>2003</v>
      </c>
      <c r="C559" s="31" t="s">
        <v>1972</v>
      </c>
      <c r="D559" s="31" t="s">
        <v>1225</v>
      </c>
      <c r="E559" s="31" t="s">
        <v>1974</v>
      </c>
      <c r="F559" s="30"/>
      <c r="G559" s="30"/>
      <c r="H559" s="30"/>
      <c r="I559" s="30" t="str">
        <f>VLOOKUP(D559,'Active Employees'!$B$2:$B$498,1,false)</f>
        <v>stefan.scherer@docker.com</v>
      </c>
      <c r="J559" s="33" t="s">
        <v>1469</v>
      </c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</row>
    <row r="560">
      <c r="A560" s="31">
        <v>6.89740959397E11</v>
      </c>
      <c r="B560" s="31" t="s">
        <v>2004</v>
      </c>
      <c r="C560" s="31" t="s">
        <v>1972</v>
      </c>
      <c r="D560" s="31" t="s">
        <v>1225</v>
      </c>
      <c r="E560" s="31" t="s">
        <v>1974</v>
      </c>
      <c r="F560" s="30"/>
      <c r="G560" s="30"/>
      <c r="H560" s="30"/>
      <c r="I560" s="30" t="str">
        <f>VLOOKUP(D560,'Active Employees'!$B$2:$B$498,1,false)</f>
        <v>stefan.scherer@docker.com</v>
      </c>
      <c r="J560" s="33" t="s">
        <v>1469</v>
      </c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</row>
    <row r="561">
      <c r="A561" s="31">
        <v>7.10015040892E11</v>
      </c>
      <c r="B561" s="31" t="s">
        <v>2005</v>
      </c>
      <c r="C561" s="31" t="s">
        <v>1972</v>
      </c>
      <c r="D561" s="31" t="s">
        <v>1225</v>
      </c>
      <c r="E561" s="31" t="s">
        <v>1974</v>
      </c>
      <c r="F561" s="30"/>
      <c r="G561" s="30"/>
      <c r="H561" s="30"/>
      <c r="I561" s="30" t="str">
        <f>VLOOKUP(D561,'Active Employees'!$B$2:$B$498,1,false)</f>
        <v>stefan.scherer@docker.com</v>
      </c>
      <c r="J561" s="33" t="s">
        <v>1469</v>
      </c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</row>
    <row r="562">
      <c r="A562" s="31">
        <v>7.15809519905E11</v>
      </c>
      <c r="B562" s="31" t="s">
        <v>2006</v>
      </c>
      <c r="C562" s="31" t="s">
        <v>1972</v>
      </c>
      <c r="D562" s="31" t="s">
        <v>1225</v>
      </c>
      <c r="E562" s="31" t="s">
        <v>1974</v>
      </c>
      <c r="F562" s="30"/>
      <c r="G562" s="30"/>
      <c r="H562" s="30"/>
      <c r="I562" s="30" t="str">
        <f>VLOOKUP(D562,'Active Employees'!$B$2:$B$498,1,false)</f>
        <v>stefan.scherer@docker.com</v>
      </c>
      <c r="J562" s="33" t="s">
        <v>1469</v>
      </c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</row>
    <row r="563">
      <c r="A563" s="31">
        <v>7.25113757135E11</v>
      </c>
      <c r="B563" s="31" t="s">
        <v>2007</v>
      </c>
      <c r="C563" s="31" t="s">
        <v>1972</v>
      </c>
      <c r="D563" s="31" t="s">
        <v>1225</v>
      </c>
      <c r="E563" s="31" t="s">
        <v>1974</v>
      </c>
      <c r="F563" s="30"/>
      <c r="G563" s="30"/>
      <c r="H563" s="30"/>
      <c r="I563" s="30" t="str">
        <f>VLOOKUP(D563,'Active Employees'!$B$2:$B$498,1,false)</f>
        <v>stefan.scherer@docker.com</v>
      </c>
      <c r="J563" s="33" t="s">
        <v>1469</v>
      </c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</row>
    <row r="564">
      <c r="A564" s="31">
        <v>7.41686272442E11</v>
      </c>
      <c r="B564" s="31" t="s">
        <v>2008</v>
      </c>
      <c r="C564" s="31" t="s">
        <v>1972</v>
      </c>
      <c r="D564" s="31" t="s">
        <v>1225</v>
      </c>
      <c r="E564" s="31" t="s">
        <v>1974</v>
      </c>
      <c r="F564" s="30"/>
      <c r="G564" s="30"/>
      <c r="H564" s="30"/>
      <c r="I564" s="30" t="str">
        <f>VLOOKUP(D564,'Active Employees'!$B$2:$B$498,1,false)</f>
        <v>stefan.scherer@docker.com</v>
      </c>
      <c r="J564" s="33" t="s">
        <v>1469</v>
      </c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</row>
    <row r="565">
      <c r="A565" s="31">
        <v>8.01373416553E11</v>
      </c>
      <c r="B565" s="31" t="s">
        <v>2009</v>
      </c>
      <c r="C565" s="31" t="s">
        <v>1972</v>
      </c>
      <c r="D565" s="31" t="s">
        <v>1225</v>
      </c>
      <c r="E565" s="31" t="s">
        <v>1974</v>
      </c>
      <c r="F565" s="30"/>
      <c r="G565" s="30"/>
      <c r="H565" s="30"/>
      <c r="I565" s="30" t="str">
        <f>VLOOKUP(D565,'Active Employees'!$B$2:$B$498,1,false)</f>
        <v>stefan.scherer@docker.com</v>
      </c>
      <c r="J565" s="33" t="s">
        <v>1469</v>
      </c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</row>
    <row r="566">
      <c r="A566" s="31">
        <v>8.37880040897E11</v>
      </c>
      <c r="B566" s="31" t="s">
        <v>2010</v>
      </c>
      <c r="C566" s="31" t="s">
        <v>1972</v>
      </c>
      <c r="D566" s="31" t="s">
        <v>1225</v>
      </c>
      <c r="E566" s="31" t="s">
        <v>1974</v>
      </c>
      <c r="F566" s="30"/>
      <c r="G566" s="30"/>
      <c r="H566" s="30"/>
      <c r="I566" s="30" t="str">
        <f>VLOOKUP(D566,'Active Employees'!$B$2:$B$498,1,false)</f>
        <v>stefan.scherer@docker.com</v>
      </c>
      <c r="J566" s="33" t="s">
        <v>1469</v>
      </c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</row>
    <row r="567">
      <c r="A567" s="31">
        <v>8.66613861722E11</v>
      </c>
      <c r="B567" s="31" t="s">
        <v>2011</v>
      </c>
      <c r="C567" s="31" t="s">
        <v>1972</v>
      </c>
      <c r="D567" s="31" t="s">
        <v>1225</v>
      </c>
      <c r="E567" s="31" t="s">
        <v>1974</v>
      </c>
      <c r="F567" s="30"/>
      <c r="G567" s="30"/>
      <c r="H567" s="30"/>
      <c r="I567" s="30" t="str">
        <f>VLOOKUP(D567,'Active Employees'!$B$2:$B$498,1,false)</f>
        <v>stefan.scherer@docker.com</v>
      </c>
      <c r="J567" s="33" t="s">
        <v>1469</v>
      </c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</row>
    <row r="568">
      <c r="A568" s="31">
        <v>8.7100165961E11</v>
      </c>
      <c r="B568" s="31" t="s">
        <v>2012</v>
      </c>
      <c r="C568" s="31" t="s">
        <v>1972</v>
      </c>
      <c r="D568" s="31" t="s">
        <v>1225</v>
      </c>
      <c r="E568" s="31" t="s">
        <v>1974</v>
      </c>
      <c r="F568" s="30"/>
      <c r="G568" s="30"/>
      <c r="H568" s="30"/>
      <c r="I568" s="30" t="str">
        <f>VLOOKUP(D568,'Active Employees'!$B$2:$B$498,1,false)</f>
        <v>stefan.scherer@docker.com</v>
      </c>
      <c r="J568" s="33" t="s">
        <v>1469</v>
      </c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</row>
    <row r="569">
      <c r="A569" s="31">
        <v>8.82892008441E11</v>
      </c>
      <c r="B569" s="31" t="s">
        <v>2013</v>
      </c>
      <c r="C569" s="31" t="s">
        <v>1972</v>
      </c>
      <c r="D569" s="31" t="s">
        <v>1225</v>
      </c>
      <c r="E569" s="31" t="s">
        <v>1974</v>
      </c>
      <c r="F569" s="30"/>
      <c r="G569" s="30"/>
      <c r="H569" s="30"/>
      <c r="I569" s="30" t="str">
        <f>VLOOKUP(D569,'Active Employees'!$B$2:$B$498,1,false)</f>
        <v>stefan.scherer@docker.com</v>
      </c>
      <c r="J569" s="33" t="s">
        <v>1469</v>
      </c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</row>
    <row r="570">
      <c r="A570" s="31">
        <v>8.88577047425E11</v>
      </c>
      <c r="B570" s="31" t="s">
        <v>2014</v>
      </c>
      <c r="C570" s="31" t="s">
        <v>1972</v>
      </c>
      <c r="D570" s="31" t="s">
        <v>1225</v>
      </c>
      <c r="E570" s="31" t="s">
        <v>1974</v>
      </c>
      <c r="F570" s="30"/>
      <c r="G570" s="30"/>
      <c r="H570" s="30"/>
      <c r="I570" s="30" t="str">
        <f>VLOOKUP(D570,'Active Employees'!$B$2:$B$498,1,false)</f>
        <v>stefan.scherer@docker.com</v>
      </c>
      <c r="J570" s="33" t="s">
        <v>1469</v>
      </c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</row>
    <row r="571">
      <c r="A571" s="31">
        <v>8.91377047271E11</v>
      </c>
      <c r="B571" s="31" t="s">
        <v>2015</v>
      </c>
      <c r="C571" s="31" t="s">
        <v>1972</v>
      </c>
      <c r="D571" s="31" t="s">
        <v>1225</v>
      </c>
      <c r="E571" s="31" t="s">
        <v>1974</v>
      </c>
      <c r="F571" s="30"/>
      <c r="G571" s="30"/>
      <c r="H571" s="30"/>
      <c r="I571" s="30" t="str">
        <f>VLOOKUP(D571,'Active Employees'!$B$2:$B$498,1,false)</f>
        <v>stefan.scherer@docker.com</v>
      </c>
      <c r="J571" s="33" t="s">
        <v>1469</v>
      </c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</row>
    <row r="572">
      <c r="A572" s="31">
        <v>9.03032050004E11</v>
      </c>
      <c r="B572" s="31" t="s">
        <v>2016</v>
      </c>
      <c r="C572" s="31" t="s">
        <v>1972</v>
      </c>
      <c r="D572" s="31" t="s">
        <v>1225</v>
      </c>
      <c r="E572" s="31" t="s">
        <v>1974</v>
      </c>
      <c r="F572" s="30"/>
      <c r="G572" s="30"/>
      <c r="H572" s="30"/>
      <c r="I572" s="30" t="str">
        <f>VLOOKUP(D572,'Active Employees'!$B$2:$B$498,1,false)</f>
        <v>stefan.scherer@docker.com</v>
      </c>
      <c r="J572" s="33" t="s">
        <v>1469</v>
      </c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</row>
    <row r="573">
      <c r="A573" s="31">
        <v>9.03773873662E11</v>
      </c>
      <c r="B573" s="31" t="s">
        <v>2017</v>
      </c>
      <c r="C573" s="31" t="s">
        <v>1972</v>
      </c>
      <c r="D573" s="31" t="s">
        <v>1225</v>
      </c>
      <c r="E573" s="31" t="s">
        <v>1974</v>
      </c>
      <c r="F573" s="30"/>
      <c r="G573" s="30"/>
      <c r="H573" s="30"/>
      <c r="I573" s="30" t="str">
        <f>VLOOKUP(D573,'Active Employees'!$B$2:$B$498,1,false)</f>
        <v>stefan.scherer@docker.com</v>
      </c>
      <c r="J573" s="33" t="s">
        <v>1469</v>
      </c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</row>
    <row r="574">
      <c r="A574" s="31">
        <v>9.12777366807E11</v>
      </c>
      <c r="B574" s="31" t="s">
        <v>2018</v>
      </c>
      <c r="C574" s="31" t="s">
        <v>1972</v>
      </c>
      <c r="D574" s="31" t="s">
        <v>1225</v>
      </c>
      <c r="E574" s="31" t="s">
        <v>1974</v>
      </c>
      <c r="F574" s="30"/>
      <c r="G574" s="30"/>
      <c r="H574" s="30"/>
      <c r="I574" s="30" t="str">
        <f>VLOOKUP(D574,'Active Employees'!$B$2:$B$498,1,false)</f>
        <v>stefan.scherer@docker.com</v>
      </c>
      <c r="J574" s="33" t="s">
        <v>1469</v>
      </c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</row>
    <row r="575">
      <c r="A575" s="31">
        <v>9.58563233736E11</v>
      </c>
      <c r="B575" s="31" t="s">
        <v>2019</v>
      </c>
      <c r="C575" s="31" t="s">
        <v>1972</v>
      </c>
      <c r="D575" s="31" t="s">
        <v>1225</v>
      </c>
      <c r="E575" s="31" t="s">
        <v>1974</v>
      </c>
      <c r="F575" s="30"/>
      <c r="G575" s="30"/>
      <c r="H575" s="30"/>
      <c r="I575" s="30" t="str">
        <f>VLOOKUP(D575,'Active Employees'!$B$2:$B$498,1,false)</f>
        <v>stefan.scherer@docker.com</v>
      </c>
      <c r="J575" s="33" t="s">
        <v>1469</v>
      </c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</row>
    <row r="576">
      <c r="A576" s="31">
        <v>9.75050170311E11</v>
      </c>
      <c r="B576" s="31" t="s">
        <v>2020</v>
      </c>
      <c r="C576" s="31" t="s">
        <v>1972</v>
      </c>
      <c r="D576" s="31" t="s">
        <v>1225</v>
      </c>
      <c r="E576" s="31" t="s">
        <v>1974</v>
      </c>
      <c r="F576" s="30"/>
      <c r="G576" s="30"/>
      <c r="H576" s="30"/>
      <c r="I576" s="30" t="str">
        <f>VLOOKUP(D576,'Active Employees'!$B$2:$B$498,1,false)</f>
        <v>stefan.scherer@docker.com</v>
      </c>
      <c r="J576" s="33" t="s">
        <v>1469</v>
      </c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</row>
    <row r="577">
      <c r="A577" s="31">
        <v>9.91137750147E11</v>
      </c>
      <c r="B577" s="31" t="s">
        <v>2021</v>
      </c>
      <c r="C577" s="31" t="s">
        <v>1972</v>
      </c>
      <c r="D577" s="31" t="s">
        <v>1225</v>
      </c>
      <c r="E577" s="31" t="s">
        <v>1974</v>
      </c>
      <c r="F577" s="30"/>
      <c r="G577" s="30"/>
      <c r="H577" s="30"/>
      <c r="I577" s="30" t="str">
        <f>VLOOKUP(D577,'Active Employees'!$B$2:$B$498,1,false)</f>
        <v>stefan.scherer@docker.com</v>
      </c>
      <c r="J577" s="33" t="s">
        <v>1469</v>
      </c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</row>
  </sheetData>
  <autoFilter ref="$D$1:$D$10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13"/>
    <col hidden="1" min="3" max="4" width="12.63"/>
    <col customWidth="1" min="5" max="5" width="33.13"/>
    <col customWidth="1" min="6" max="6" width="13.75"/>
    <col customWidth="1" hidden="1" min="7" max="7" width="27.5"/>
    <col customWidth="1" min="8" max="8" width="13.5"/>
    <col customWidth="1" min="9" max="9" width="25.63"/>
    <col customWidth="1" min="10" max="10" width="33.0"/>
  </cols>
  <sheetData>
    <row r="1">
      <c r="A1" s="26" t="s">
        <v>2023</v>
      </c>
      <c r="B1" s="26" t="s">
        <v>1517</v>
      </c>
      <c r="C1" s="26" t="s">
        <v>1518</v>
      </c>
      <c r="D1" s="26" t="s">
        <v>2024</v>
      </c>
      <c r="E1" s="26" t="s">
        <v>2025</v>
      </c>
      <c r="F1" s="26" t="s">
        <v>1521</v>
      </c>
      <c r="G1" s="29" t="s">
        <v>1463</v>
      </c>
      <c r="H1" s="29" t="s">
        <v>1462</v>
      </c>
      <c r="I1" s="29" t="s">
        <v>1461</v>
      </c>
      <c r="J1" s="26" t="s">
        <v>1460</v>
      </c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>
      <c r="A2" s="39" t="s">
        <v>2026</v>
      </c>
      <c r="B2" s="39" t="s">
        <v>2027</v>
      </c>
      <c r="C2" s="39" t="s">
        <v>2028</v>
      </c>
      <c r="D2" s="39" t="s">
        <v>2029</v>
      </c>
      <c r="E2" s="39" t="s">
        <v>2030</v>
      </c>
      <c r="F2" s="39" t="s">
        <v>1528</v>
      </c>
      <c r="G2" s="39" t="str">
        <f>VLOOKUP(A2,'Active Employees'!$B$2:$B$498,1,false)</f>
        <v>#N/A</v>
      </c>
      <c r="H2" s="43" t="s">
        <v>2031</v>
      </c>
      <c r="I2" s="43" t="s">
        <v>2032</v>
      </c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39" t="s">
        <v>2033</v>
      </c>
      <c r="B3" s="39" t="s">
        <v>2027</v>
      </c>
      <c r="C3" s="39" t="s">
        <v>2028</v>
      </c>
      <c r="D3" s="39" t="s">
        <v>2029</v>
      </c>
      <c r="E3" s="39" t="s">
        <v>2030</v>
      </c>
      <c r="F3" s="39" t="s">
        <v>1528</v>
      </c>
      <c r="G3" s="39" t="str">
        <f>VLOOKUP(A3,'Active Employees'!$B$2:$B$498,1,false)</f>
        <v>#N/A</v>
      </c>
      <c r="H3" s="43" t="s">
        <v>2031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>
      <c r="A4" s="39" t="s">
        <v>2034</v>
      </c>
      <c r="B4" s="39" t="s">
        <v>2027</v>
      </c>
      <c r="C4" s="39" t="s">
        <v>2035</v>
      </c>
      <c r="D4" s="39" t="s">
        <v>2035</v>
      </c>
      <c r="E4" s="39" t="s">
        <v>2030</v>
      </c>
      <c r="F4" s="39" t="s">
        <v>1528</v>
      </c>
      <c r="G4" s="39" t="str">
        <f>VLOOKUP(A4,'Active Employees'!$B$2:$B$498,1,false)</f>
        <v>#N/A</v>
      </c>
      <c r="H4" s="43" t="s">
        <v>1466</v>
      </c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>
      <c r="A5" s="39" t="s">
        <v>2034</v>
      </c>
      <c r="B5" s="39" t="s">
        <v>2027</v>
      </c>
      <c r="C5" s="39" t="s">
        <v>2036</v>
      </c>
      <c r="D5" s="39" t="s">
        <v>2037</v>
      </c>
      <c r="E5" s="39" t="s">
        <v>2030</v>
      </c>
      <c r="F5" s="39" t="s">
        <v>1528</v>
      </c>
      <c r="G5" s="39" t="str">
        <f>VLOOKUP(A5,'Active Employees'!$B$2:$B$498,1,false)</f>
        <v>#N/A</v>
      </c>
      <c r="H5" s="43" t="s">
        <v>1466</v>
      </c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>
      <c r="A6" s="39" t="s">
        <v>2034</v>
      </c>
      <c r="B6" s="39" t="s">
        <v>2027</v>
      </c>
      <c r="C6" s="39" t="s">
        <v>2038</v>
      </c>
      <c r="D6" s="39" t="s">
        <v>2039</v>
      </c>
      <c r="E6" s="39" t="s">
        <v>2030</v>
      </c>
      <c r="F6" s="39" t="s">
        <v>1528</v>
      </c>
      <c r="G6" s="39" t="str">
        <f>VLOOKUP(A6,'Active Employees'!$B$2:$B$498,1,false)</f>
        <v>#N/A</v>
      </c>
      <c r="H6" s="43" t="s">
        <v>1466</v>
      </c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>
      <c r="A7" s="39" t="s">
        <v>2034</v>
      </c>
      <c r="B7" s="39" t="s">
        <v>2027</v>
      </c>
      <c r="C7" s="39" t="s">
        <v>2040</v>
      </c>
      <c r="D7" s="39" t="s">
        <v>2041</v>
      </c>
      <c r="E7" s="39" t="s">
        <v>2030</v>
      </c>
      <c r="F7" s="39" t="s">
        <v>1528</v>
      </c>
      <c r="G7" s="39" t="str">
        <f>VLOOKUP(A7,'Active Employees'!$B$2:$B$498,1,false)</f>
        <v>#N/A</v>
      </c>
      <c r="H7" s="43" t="s">
        <v>1466</v>
      </c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>
      <c r="A8" s="39" t="s">
        <v>2034</v>
      </c>
      <c r="B8" s="39" t="s">
        <v>2027</v>
      </c>
      <c r="C8" s="39" t="s">
        <v>2042</v>
      </c>
      <c r="D8" s="39" t="s">
        <v>2043</v>
      </c>
      <c r="E8" s="39" t="s">
        <v>2030</v>
      </c>
      <c r="F8" s="39" t="s">
        <v>1528</v>
      </c>
      <c r="G8" s="39" t="str">
        <f>VLOOKUP(A8,'Active Employees'!$B$2:$B$498,1,false)</f>
        <v>#N/A</v>
      </c>
      <c r="H8" s="43" t="s">
        <v>1466</v>
      </c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>
      <c r="A9" s="39" t="s">
        <v>2034</v>
      </c>
      <c r="B9" s="39" t="s">
        <v>2027</v>
      </c>
      <c r="C9" s="39" t="s">
        <v>2044</v>
      </c>
      <c r="D9" s="39" t="s">
        <v>2045</v>
      </c>
      <c r="E9" s="39" t="s">
        <v>2030</v>
      </c>
      <c r="F9" s="39" t="s">
        <v>1528</v>
      </c>
      <c r="G9" s="39" t="str">
        <f>VLOOKUP(A9,'Active Employees'!$B$2:$B$498,1,false)</f>
        <v>#N/A</v>
      </c>
      <c r="H9" s="43" t="s">
        <v>1466</v>
      </c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>
      <c r="A10" s="39" t="s">
        <v>2034</v>
      </c>
      <c r="B10" s="39" t="s">
        <v>2027</v>
      </c>
      <c r="C10" s="39" t="s">
        <v>2046</v>
      </c>
      <c r="D10" s="39" t="s">
        <v>2046</v>
      </c>
      <c r="E10" s="39" t="s">
        <v>2030</v>
      </c>
      <c r="F10" s="39" t="s">
        <v>1528</v>
      </c>
      <c r="G10" s="39" t="str">
        <f>VLOOKUP(A10,'Active Employees'!$B$2:$B$498,1,false)</f>
        <v>#N/A</v>
      </c>
      <c r="H10" s="43" t="s">
        <v>1466</v>
      </c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>
      <c r="A11" s="39" t="s">
        <v>2034</v>
      </c>
      <c r="B11" s="39" t="s">
        <v>2027</v>
      </c>
      <c r="C11" s="39" t="s">
        <v>2047</v>
      </c>
      <c r="D11" s="39" t="s">
        <v>2047</v>
      </c>
      <c r="E11" s="39" t="s">
        <v>2030</v>
      </c>
      <c r="F11" s="39" t="s">
        <v>1528</v>
      </c>
      <c r="G11" s="39" t="str">
        <f>VLOOKUP(A11,'Active Employees'!$B$2:$B$498,1,false)</f>
        <v>#N/A</v>
      </c>
      <c r="H11" s="43" t="s">
        <v>1466</v>
      </c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>
      <c r="A12" s="39" t="s">
        <v>1638</v>
      </c>
      <c r="B12" s="39" t="s">
        <v>2027</v>
      </c>
      <c r="C12" s="39" t="s">
        <v>2048</v>
      </c>
      <c r="D12" s="39" t="s">
        <v>2049</v>
      </c>
      <c r="E12" s="39" t="s">
        <v>2030</v>
      </c>
      <c r="F12" s="39" t="s">
        <v>1528</v>
      </c>
      <c r="G12" s="39" t="str">
        <f>VLOOKUP(A12,'Active Employees'!$B$2:$B$498,1,false)</f>
        <v>#N/A</v>
      </c>
      <c r="H12" s="43" t="s">
        <v>1466</v>
      </c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>
      <c r="A13" s="39" t="s">
        <v>2050</v>
      </c>
      <c r="B13" s="39" t="s">
        <v>2027</v>
      </c>
      <c r="C13" s="39" t="s">
        <v>2036</v>
      </c>
      <c r="D13" s="39" t="s">
        <v>2037</v>
      </c>
      <c r="E13" s="39" t="s">
        <v>2051</v>
      </c>
      <c r="F13" s="39" t="s">
        <v>1528</v>
      </c>
      <c r="G13" s="39" t="str">
        <f>VLOOKUP(A13,'Active Employees'!$B$2:$B$498,1,false)</f>
        <v>#N/A</v>
      </c>
      <c r="H13" s="43" t="s">
        <v>1466</v>
      </c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>
      <c r="A14" s="39" t="s">
        <v>2052</v>
      </c>
      <c r="B14" s="39" t="s">
        <v>2027</v>
      </c>
      <c r="C14" s="39" t="s">
        <v>2053</v>
      </c>
      <c r="D14" s="39" t="s">
        <v>2054</v>
      </c>
      <c r="E14" s="39" t="s">
        <v>2030</v>
      </c>
      <c r="F14" s="39" t="s">
        <v>1528</v>
      </c>
      <c r="G14" s="39" t="str">
        <f>VLOOKUP(A14,'Active Employees'!$B$2:$B$498,1,false)</f>
        <v>#N/A</v>
      </c>
      <c r="H14" s="43" t="s">
        <v>1466</v>
      </c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>
      <c r="A15" s="39" t="s">
        <v>2055</v>
      </c>
      <c r="B15" s="39" t="s">
        <v>2027</v>
      </c>
      <c r="C15" s="39" t="s">
        <v>2053</v>
      </c>
      <c r="D15" s="39" t="s">
        <v>2054</v>
      </c>
      <c r="E15" s="39" t="s">
        <v>2030</v>
      </c>
      <c r="F15" s="39" t="s">
        <v>1528</v>
      </c>
      <c r="G15" s="39" t="str">
        <f>VLOOKUP(A15,'Active Employees'!$B$2:$B$498,1,false)</f>
        <v>#N/A</v>
      </c>
      <c r="H15" s="43" t="s">
        <v>1466</v>
      </c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>
      <c r="A16" s="39" t="s">
        <v>2055</v>
      </c>
      <c r="B16" s="39" t="s">
        <v>2027</v>
      </c>
      <c r="C16" s="39" t="s">
        <v>2056</v>
      </c>
      <c r="D16" s="39" t="s">
        <v>2057</v>
      </c>
      <c r="E16" s="39" t="s">
        <v>2030</v>
      </c>
      <c r="F16" s="39" t="s">
        <v>1528</v>
      </c>
      <c r="G16" s="39" t="str">
        <f>VLOOKUP(A16,'Active Employees'!$B$2:$B$498,1,false)</f>
        <v>#N/A</v>
      </c>
      <c r="H16" s="43" t="s">
        <v>1466</v>
      </c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>
      <c r="A17" s="39" t="s">
        <v>2058</v>
      </c>
      <c r="B17" s="39" t="s">
        <v>2027</v>
      </c>
      <c r="C17" s="39" t="s">
        <v>2036</v>
      </c>
      <c r="D17" s="39" t="s">
        <v>2037</v>
      </c>
      <c r="E17" s="39" t="s">
        <v>2051</v>
      </c>
      <c r="F17" s="39" t="s">
        <v>1528</v>
      </c>
      <c r="G17" s="39" t="str">
        <f>VLOOKUP(A17,'Active Employees'!$B$2:$B$498,1,false)</f>
        <v>#N/A</v>
      </c>
      <c r="H17" s="43" t="s">
        <v>1466</v>
      </c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39" t="s">
        <v>2059</v>
      </c>
      <c r="B18" s="39" t="s">
        <v>2027</v>
      </c>
      <c r="C18" s="39" t="s">
        <v>2060</v>
      </c>
      <c r="D18" s="39" t="s">
        <v>2061</v>
      </c>
      <c r="E18" s="39" t="s">
        <v>2030</v>
      </c>
      <c r="F18" s="39" t="s">
        <v>1528</v>
      </c>
      <c r="G18" s="39" t="str">
        <f>VLOOKUP(A18,'Active Employees'!$B$2:$B$498,1,false)</f>
        <v>#N/A</v>
      </c>
      <c r="H18" s="43" t="s">
        <v>1466</v>
      </c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>
      <c r="A19" s="39" t="s">
        <v>2062</v>
      </c>
      <c r="B19" s="39" t="s">
        <v>2027</v>
      </c>
      <c r="C19" s="39" t="s">
        <v>2063</v>
      </c>
      <c r="D19" s="39" t="s">
        <v>2064</v>
      </c>
      <c r="E19" s="39" t="s">
        <v>2030</v>
      </c>
      <c r="F19" s="39" t="s">
        <v>1528</v>
      </c>
      <c r="G19" s="39" t="str">
        <f>VLOOKUP(A19,'Active Employees'!$B$2:$B$498,1,false)</f>
        <v>#N/A</v>
      </c>
      <c r="H19" s="43" t="s">
        <v>1466</v>
      </c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>
      <c r="A20" s="39" t="s">
        <v>2062</v>
      </c>
      <c r="B20" s="39" t="s">
        <v>2027</v>
      </c>
      <c r="C20" s="39" t="s">
        <v>2044</v>
      </c>
      <c r="D20" s="39" t="s">
        <v>2045</v>
      </c>
      <c r="E20" s="39" t="s">
        <v>2030</v>
      </c>
      <c r="F20" s="39" t="s">
        <v>1528</v>
      </c>
      <c r="G20" s="39" t="str">
        <f>VLOOKUP(A20,'Active Employees'!$B$2:$B$498,1,false)</f>
        <v>#N/A</v>
      </c>
      <c r="H20" s="43" t="s">
        <v>1466</v>
      </c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>
      <c r="A21" s="39" t="s">
        <v>1671</v>
      </c>
      <c r="B21" s="39" t="s">
        <v>2027</v>
      </c>
      <c r="C21" s="39" t="s">
        <v>2065</v>
      </c>
      <c r="D21" s="39" t="s">
        <v>2066</v>
      </c>
      <c r="E21" s="39" t="s">
        <v>2030</v>
      </c>
      <c r="F21" s="39" t="s">
        <v>1528</v>
      </c>
      <c r="G21" s="39" t="str">
        <f>VLOOKUP(A21,'Active Employees'!$B$2:$B$498,1,false)</f>
        <v>#N/A</v>
      </c>
      <c r="H21" s="43" t="s">
        <v>1466</v>
      </c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>
      <c r="A22" s="39" t="s">
        <v>2067</v>
      </c>
      <c r="B22" s="39" t="s">
        <v>2027</v>
      </c>
      <c r="C22" s="39" t="s">
        <v>2068</v>
      </c>
      <c r="D22" s="39" t="s">
        <v>2069</v>
      </c>
      <c r="E22" s="39" t="s">
        <v>2030</v>
      </c>
      <c r="F22" s="39" t="s">
        <v>1528</v>
      </c>
      <c r="G22" s="39" t="str">
        <f>VLOOKUP(A22,'Active Employees'!$B$2:$B$498,1,false)</f>
        <v>#N/A</v>
      </c>
      <c r="H22" s="43" t="s">
        <v>1466</v>
      </c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39" t="s">
        <v>2070</v>
      </c>
      <c r="B23" s="39" t="s">
        <v>2027</v>
      </c>
      <c r="C23" s="39" t="s">
        <v>2053</v>
      </c>
      <c r="D23" s="39" t="s">
        <v>2054</v>
      </c>
      <c r="E23" s="39" t="s">
        <v>2030</v>
      </c>
      <c r="F23" s="39" t="s">
        <v>1528</v>
      </c>
      <c r="G23" s="39" t="str">
        <f>VLOOKUP(A23,'Active Employees'!$B$2:$B$498,1,false)</f>
        <v>#N/A</v>
      </c>
      <c r="H23" s="43" t="s">
        <v>1466</v>
      </c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>
      <c r="A24" s="39" t="s">
        <v>2071</v>
      </c>
      <c r="B24" s="39" t="s">
        <v>2027</v>
      </c>
      <c r="C24" s="39" t="s">
        <v>2072</v>
      </c>
      <c r="D24" s="39" t="s">
        <v>2073</v>
      </c>
      <c r="E24" s="39" t="s">
        <v>2074</v>
      </c>
      <c r="F24" s="39" t="s">
        <v>1528</v>
      </c>
      <c r="G24" s="39" t="str">
        <f>VLOOKUP(A24,'Active Employees'!$B$2:$B$498,1,false)</f>
        <v>#N/A</v>
      </c>
      <c r="H24" s="43" t="s">
        <v>1466</v>
      </c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>
      <c r="A25" s="39" t="s">
        <v>1698</v>
      </c>
      <c r="B25" s="39" t="s">
        <v>2027</v>
      </c>
      <c r="C25" s="39" t="s">
        <v>2075</v>
      </c>
      <c r="D25" s="39" t="s">
        <v>2075</v>
      </c>
      <c r="E25" s="39" t="s">
        <v>2030</v>
      </c>
      <c r="F25" s="39" t="s">
        <v>1528</v>
      </c>
      <c r="G25" s="39" t="str">
        <f>VLOOKUP(A25,'Active Employees'!$B$2:$B$498,1,false)</f>
        <v>#N/A</v>
      </c>
      <c r="H25" s="43" t="s">
        <v>1466</v>
      </c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>
      <c r="A26" s="39" t="s">
        <v>2076</v>
      </c>
      <c r="B26" s="39" t="s">
        <v>2027</v>
      </c>
      <c r="C26" s="39" t="s">
        <v>2077</v>
      </c>
      <c r="D26" s="39" t="s">
        <v>2078</v>
      </c>
      <c r="E26" s="39" t="s">
        <v>2074</v>
      </c>
      <c r="F26" s="39" t="s">
        <v>1528</v>
      </c>
      <c r="G26" s="39" t="str">
        <f>VLOOKUP(A26,'Active Employees'!$B$2:$B$498,1,false)</f>
        <v>#N/A</v>
      </c>
      <c r="H26" s="43" t="s">
        <v>1466</v>
      </c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>
      <c r="A27" s="39" t="s">
        <v>2079</v>
      </c>
      <c r="B27" s="39" t="s">
        <v>2027</v>
      </c>
      <c r="C27" s="39" t="s">
        <v>2080</v>
      </c>
      <c r="D27" s="39" t="s">
        <v>2081</v>
      </c>
      <c r="E27" s="39" t="s">
        <v>2030</v>
      </c>
      <c r="F27" s="39" t="s">
        <v>1528</v>
      </c>
      <c r="G27" s="39" t="str">
        <f>VLOOKUP(A27,'Active Employees'!$B$2:$B$498,1,false)</f>
        <v>#N/A</v>
      </c>
      <c r="H27" s="43" t="s">
        <v>1466</v>
      </c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>
      <c r="A28" s="39" t="s">
        <v>1571</v>
      </c>
      <c r="B28" s="39" t="s">
        <v>2027</v>
      </c>
      <c r="C28" s="39" t="s">
        <v>2040</v>
      </c>
      <c r="D28" s="39" t="s">
        <v>2082</v>
      </c>
      <c r="E28" s="39" t="s">
        <v>2030</v>
      </c>
      <c r="F28" s="39" t="s">
        <v>1528</v>
      </c>
      <c r="G28" s="39" t="str">
        <f>VLOOKUP(A28,'Active Employees'!$B$2:$B$498,1,false)</f>
        <v>#N/A</v>
      </c>
      <c r="H28" s="43" t="s">
        <v>1466</v>
      </c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39" t="s">
        <v>1571</v>
      </c>
      <c r="B29" s="39" t="s">
        <v>2027</v>
      </c>
      <c r="C29" s="39" t="s">
        <v>2083</v>
      </c>
      <c r="D29" s="39" t="s">
        <v>2084</v>
      </c>
      <c r="E29" s="39" t="s">
        <v>2030</v>
      </c>
      <c r="F29" s="39" t="s">
        <v>1528</v>
      </c>
      <c r="G29" s="39" t="str">
        <f>VLOOKUP(A29,'Active Employees'!$B$2:$B$498,1,false)</f>
        <v>#N/A</v>
      </c>
      <c r="H29" s="43" t="s">
        <v>1466</v>
      </c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39" t="s">
        <v>2085</v>
      </c>
      <c r="B30" s="39" t="s">
        <v>2027</v>
      </c>
      <c r="C30" s="39" t="s">
        <v>2086</v>
      </c>
      <c r="D30" s="39" t="s">
        <v>2087</v>
      </c>
      <c r="E30" s="39" t="s">
        <v>2030</v>
      </c>
      <c r="F30" s="39" t="s">
        <v>1528</v>
      </c>
      <c r="G30" s="39" t="str">
        <f>VLOOKUP(A30,'Active Employees'!$B$2:$B$498,1,false)</f>
        <v>#N/A</v>
      </c>
      <c r="H30" s="43" t="s">
        <v>1466</v>
      </c>
      <c r="I30" s="44" t="s">
        <v>2088</v>
      </c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39" t="s">
        <v>2089</v>
      </c>
      <c r="B31" s="39" t="s">
        <v>2027</v>
      </c>
      <c r="C31" s="39" t="s">
        <v>2090</v>
      </c>
      <c r="D31" s="39" t="s">
        <v>2091</v>
      </c>
      <c r="E31" s="39" t="s">
        <v>2074</v>
      </c>
      <c r="F31" s="39" t="s">
        <v>1528</v>
      </c>
      <c r="G31" s="39" t="str">
        <f>VLOOKUP(A31,'Active Employees'!$B$2:$B$498,1,false)</f>
        <v>#N/A</v>
      </c>
      <c r="H31" s="43" t="s">
        <v>1466</v>
      </c>
      <c r="I31" s="44" t="s">
        <v>2088</v>
      </c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39" t="s">
        <v>2092</v>
      </c>
      <c r="B32" s="39" t="s">
        <v>2027</v>
      </c>
      <c r="C32" s="39" t="s">
        <v>2065</v>
      </c>
      <c r="D32" s="39" t="s">
        <v>2066</v>
      </c>
      <c r="E32" s="39" t="s">
        <v>2030</v>
      </c>
      <c r="F32" s="39" t="s">
        <v>1528</v>
      </c>
      <c r="G32" s="39" t="str">
        <f>VLOOKUP(A32,'Active Employees'!$B$2:$B$498,1,false)</f>
        <v>#N/A</v>
      </c>
      <c r="H32" s="43" t="s">
        <v>1466</v>
      </c>
      <c r="I32" s="44" t="s">
        <v>2088</v>
      </c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39" t="s">
        <v>2093</v>
      </c>
      <c r="B33" s="39" t="s">
        <v>2027</v>
      </c>
      <c r="C33" s="39" t="s">
        <v>2083</v>
      </c>
      <c r="D33" s="39" t="s">
        <v>2094</v>
      </c>
      <c r="E33" s="39" t="s">
        <v>2030</v>
      </c>
      <c r="F33" s="39" t="s">
        <v>1528</v>
      </c>
      <c r="G33" s="39" t="str">
        <f>VLOOKUP(A33,'Active Employees'!$B$2:$B$498,1,false)</f>
        <v>#N/A</v>
      </c>
      <c r="H33" s="43" t="s">
        <v>1466</v>
      </c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39" t="s">
        <v>2093</v>
      </c>
      <c r="B34" s="39" t="s">
        <v>2027</v>
      </c>
      <c r="C34" s="39" t="s">
        <v>2095</v>
      </c>
      <c r="D34" s="39" t="s">
        <v>2096</v>
      </c>
      <c r="E34" s="39" t="s">
        <v>2074</v>
      </c>
      <c r="F34" s="39" t="s">
        <v>1528</v>
      </c>
      <c r="G34" s="39" t="str">
        <f>VLOOKUP(A34,'Active Employees'!$B$2:$B$498,1,false)</f>
        <v>#N/A</v>
      </c>
      <c r="H34" s="43" t="s">
        <v>1466</v>
      </c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39" t="s">
        <v>2093</v>
      </c>
      <c r="B35" s="39" t="s">
        <v>2027</v>
      </c>
      <c r="C35" s="39" t="s">
        <v>2083</v>
      </c>
      <c r="D35" s="39" t="s">
        <v>2097</v>
      </c>
      <c r="E35" s="39" t="s">
        <v>2030</v>
      </c>
      <c r="F35" s="39" t="s">
        <v>1528</v>
      </c>
      <c r="G35" s="39" t="str">
        <f>VLOOKUP(A35,'Active Employees'!$B$2:$B$498,1,false)</f>
        <v>#N/A</v>
      </c>
      <c r="H35" s="43" t="s">
        <v>1466</v>
      </c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39" t="s">
        <v>2098</v>
      </c>
      <c r="B36" s="39" t="s">
        <v>2027</v>
      </c>
      <c r="C36" s="39" t="s">
        <v>2099</v>
      </c>
      <c r="D36" s="39" t="s">
        <v>2100</v>
      </c>
      <c r="E36" s="39" t="s">
        <v>2030</v>
      </c>
      <c r="F36" s="39" t="s">
        <v>1528</v>
      </c>
      <c r="G36" s="39" t="str">
        <f>VLOOKUP(A36,'Active Employees'!$B$2:$B$498,1,false)</f>
        <v>#N/A</v>
      </c>
      <c r="H36" s="43" t="s">
        <v>1466</v>
      </c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39" t="s">
        <v>1113</v>
      </c>
      <c r="B37" s="39" t="s">
        <v>2027</v>
      </c>
      <c r="C37" s="39" t="s">
        <v>2053</v>
      </c>
      <c r="D37" s="39" t="s">
        <v>2054</v>
      </c>
      <c r="E37" s="39" t="s">
        <v>2030</v>
      </c>
      <c r="F37" s="39" t="s">
        <v>1528</v>
      </c>
      <c r="G37" s="39" t="str">
        <f>VLOOKUP(A37,'Active Employees'!$B$2:$B$498,1,false)</f>
        <v>zhelyazko.petrov@docker.com</v>
      </c>
      <c r="H37" s="43" t="s">
        <v>1466</v>
      </c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39" t="s">
        <v>1113</v>
      </c>
      <c r="B38" s="39" t="s">
        <v>2027</v>
      </c>
      <c r="C38" s="39" t="s">
        <v>2056</v>
      </c>
      <c r="D38" s="39" t="s">
        <v>2057</v>
      </c>
      <c r="E38" s="39" t="s">
        <v>2030</v>
      </c>
      <c r="F38" s="39" t="s">
        <v>1528</v>
      </c>
      <c r="G38" s="39" t="str">
        <f>VLOOKUP(A38,'Active Employees'!$B$2:$B$498,1,false)</f>
        <v>zhelyazko.petrov@docker.com</v>
      </c>
      <c r="H38" s="43" t="s">
        <v>1466</v>
      </c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39" t="s">
        <v>1113</v>
      </c>
      <c r="B39" s="39" t="s">
        <v>2027</v>
      </c>
      <c r="C39" s="39" t="s">
        <v>2086</v>
      </c>
      <c r="D39" s="39" t="s">
        <v>2087</v>
      </c>
      <c r="E39" s="39" t="s">
        <v>2030</v>
      </c>
      <c r="F39" s="39" t="s">
        <v>1528</v>
      </c>
      <c r="G39" s="39" t="str">
        <f>VLOOKUP(A39,'Active Employees'!$B$2:$B$498,1,false)</f>
        <v>zhelyazko.petrov@docker.com</v>
      </c>
      <c r="H39" s="43" t="s">
        <v>1466</v>
      </c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31" t="s">
        <v>2101</v>
      </c>
      <c r="B40" s="31" t="s">
        <v>2027</v>
      </c>
      <c r="C40" s="31" t="s">
        <v>2102</v>
      </c>
      <c r="D40" s="31" t="s">
        <v>2103</v>
      </c>
      <c r="E40" s="31" t="s">
        <v>2030</v>
      </c>
      <c r="F40" s="31" t="s">
        <v>1528</v>
      </c>
      <c r="G40" s="31" t="str">
        <f>VLOOKUP(A40,'Active Employees'!$B$2:$B$498,1,false)</f>
        <v>#N/A</v>
      </c>
      <c r="H40" s="33" t="s">
        <v>1469</v>
      </c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1" t="s">
        <v>2101</v>
      </c>
      <c r="B41" s="31" t="s">
        <v>2027</v>
      </c>
      <c r="C41" s="31" t="s">
        <v>2104</v>
      </c>
      <c r="D41" s="31" t="s">
        <v>2105</v>
      </c>
      <c r="E41" s="31" t="s">
        <v>2030</v>
      </c>
      <c r="F41" s="31" t="s">
        <v>1528</v>
      </c>
      <c r="G41" s="31" t="str">
        <f>VLOOKUP(A41,'Active Employees'!$B$2:$B$498,1,false)</f>
        <v>#N/A</v>
      </c>
      <c r="H41" s="33" t="s">
        <v>1469</v>
      </c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>
      <c r="A42" s="31" t="s">
        <v>2101</v>
      </c>
      <c r="B42" s="31" t="s">
        <v>2027</v>
      </c>
      <c r="C42" s="31" t="s">
        <v>2104</v>
      </c>
      <c r="D42" s="31" t="s">
        <v>2106</v>
      </c>
      <c r="E42" s="31" t="s">
        <v>2030</v>
      </c>
      <c r="F42" s="31" t="s">
        <v>1528</v>
      </c>
      <c r="G42" s="31" t="str">
        <f>VLOOKUP(A42,'Active Employees'!$B$2:$B$498,1,false)</f>
        <v>#N/A</v>
      </c>
      <c r="H42" s="33" t="s">
        <v>1469</v>
      </c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>
      <c r="A43" s="31" t="s">
        <v>2107</v>
      </c>
      <c r="B43" s="31" t="s">
        <v>2027</v>
      </c>
      <c r="C43" s="31" t="s">
        <v>2108</v>
      </c>
      <c r="D43" s="31" t="s">
        <v>2109</v>
      </c>
      <c r="E43" s="31" t="s">
        <v>2030</v>
      </c>
      <c r="F43" s="31" t="s">
        <v>1528</v>
      </c>
      <c r="G43" s="31" t="str">
        <f>VLOOKUP(A43,'Active Employees'!$B$2:$B$498,1,false)</f>
        <v>#N/A</v>
      </c>
      <c r="H43" s="33" t="s">
        <v>1469</v>
      </c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>
      <c r="A44" s="31" t="s">
        <v>2110</v>
      </c>
      <c r="B44" s="31" t="s">
        <v>2027</v>
      </c>
      <c r="C44" s="31" t="s">
        <v>2111</v>
      </c>
      <c r="D44" s="31" t="s">
        <v>2112</v>
      </c>
      <c r="E44" s="31" t="s">
        <v>2074</v>
      </c>
      <c r="F44" s="31" t="s">
        <v>1528</v>
      </c>
      <c r="G44" s="31" t="str">
        <f>VLOOKUP(A44,'Active Employees'!$B$2:$B$498,1,false)</f>
        <v>#N/A</v>
      </c>
      <c r="H44" s="33" t="s">
        <v>1469</v>
      </c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>
      <c r="A45" s="31" t="s">
        <v>724</v>
      </c>
      <c r="B45" s="31" t="s">
        <v>2113</v>
      </c>
      <c r="C45" s="31" t="s">
        <v>2114</v>
      </c>
      <c r="D45" s="31">
        <v>7.56105189467E11</v>
      </c>
      <c r="E45" s="31" t="s">
        <v>2115</v>
      </c>
      <c r="F45" s="31" t="s">
        <v>1528</v>
      </c>
      <c r="G45" s="31" t="str">
        <f>VLOOKUP(A45,'Active Employees'!$B$2:$B$498,1,false)</f>
        <v>alex.hokanson@docker.com</v>
      </c>
      <c r="H45" s="33" t="s">
        <v>1469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>
      <c r="A46" s="31" t="s">
        <v>510</v>
      </c>
      <c r="B46" s="31" t="s">
        <v>2113</v>
      </c>
      <c r="C46" s="31" t="s">
        <v>2114</v>
      </c>
      <c r="D46" s="31">
        <v>7.56105189467E11</v>
      </c>
      <c r="E46" s="31" t="s">
        <v>2115</v>
      </c>
      <c r="F46" s="31" t="s">
        <v>1528</v>
      </c>
      <c r="G46" s="31" t="str">
        <f>VLOOKUP(A46,'Active Employees'!$B$2:$B$498,1,false)</f>
        <v>david.dooling@docker.com</v>
      </c>
      <c r="H46" s="33" t="s">
        <v>1469</v>
      </c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>
      <c r="A47" s="31" t="s">
        <v>267</v>
      </c>
      <c r="B47" s="31" t="s">
        <v>2113</v>
      </c>
      <c r="C47" s="31" t="s">
        <v>2114</v>
      </c>
      <c r="D47" s="31">
        <v>7.56105189467E11</v>
      </c>
      <c r="E47" s="31" t="s">
        <v>2115</v>
      </c>
      <c r="F47" s="31" t="s">
        <v>1528</v>
      </c>
      <c r="G47" s="31" t="str">
        <f>VLOOKUP(A47,'Active Employees'!$B$2:$B$498,1,false)</f>
        <v>james.braden@docker.com</v>
      </c>
      <c r="H47" s="33" t="s">
        <v>1469</v>
      </c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31" t="s">
        <v>1317</v>
      </c>
      <c r="B48" s="31" t="s">
        <v>2113</v>
      </c>
      <c r="C48" s="31" t="s">
        <v>2114</v>
      </c>
      <c r="D48" s="31">
        <v>7.56105189467E11</v>
      </c>
      <c r="E48" s="31" t="s">
        <v>2116</v>
      </c>
      <c r="F48" s="31" t="s">
        <v>1528</v>
      </c>
      <c r="G48" s="31" t="str">
        <f>VLOOKUP(A48,'Active Employees'!$B$2:$B$498,1,false)</f>
        <v>jeffrey.strauss@docker.com</v>
      </c>
      <c r="H48" s="33" t="s">
        <v>1469</v>
      </c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>
      <c r="A49" s="31" t="s">
        <v>2117</v>
      </c>
      <c r="B49" s="31" t="s">
        <v>2113</v>
      </c>
      <c r="C49" s="31" t="s">
        <v>2114</v>
      </c>
      <c r="D49" s="31">
        <v>7.56105189467E11</v>
      </c>
      <c r="E49" s="31" t="s">
        <v>2118</v>
      </c>
      <c r="F49" s="31" t="s">
        <v>1528</v>
      </c>
      <c r="G49" s="31" t="str">
        <f>VLOOKUP(A49,'Active Employees'!$B$2:$B$498,1,false)</f>
        <v>Robert.Lorimer@docker.com</v>
      </c>
      <c r="H49" s="33" t="s">
        <v>1469</v>
      </c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>
      <c r="A50" s="31" t="s">
        <v>1255</v>
      </c>
      <c r="B50" s="31" t="s">
        <v>2113</v>
      </c>
      <c r="C50" s="31" t="s">
        <v>2114</v>
      </c>
      <c r="D50" s="31">
        <v>7.56105189467E11</v>
      </c>
      <c r="E50" s="31" t="s">
        <v>2119</v>
      </c>
      <c r="F50" s="31" t="s">
        <v>1528</v>
      </c>
      <c r="G50" s="31" t="str">
        <f>VLOOKUP(A50,'Active Employees'!$B$2:$B$498,1,false)</f>
        <v>shawn.shakir@docker.com</v>
      </c>
      <c r="H50" s="33" t="s">
        <v>1469</v>
      </c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>
      <c r="A51" s="31" t="s">
        <v>1271</v>
      </c>
      <c r="B51" s="31" t="s">
        <v>2027</v>
      </c>
      <c r="C51" s="31" t="s">
        <v>2083</v>
      </c>
      <c r="D51" s="31" t="s">
        <v>2120</v>
      </c>
      <c r="E51" s="31" t="s">
        <v>2030</v>
      </c>
      <c r="F51" s="31" t="s">
        <v>1528</v>
      </c>
      <c r="G51" s="31" t="str">
        <f>VLOOKUP(A51,'Active Employees'!$B$2:$B$498,1,false)</f>
        <v>abhi.singh@docker.com</v>
      </c>
      <c r="H51" s="33" t="s">
        <v>1469</v>
      </c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>
      <c r="A52" s="31" t="s">
        <v>2121</v>
      </c>
      <c r="B52" s="31" t="s">
        <v>2027</v>
      </c>
      <c r="C52" s="31" t="s">
        <v>2122</v>
      </c>
      <c r="D52" s="31" t="s">
        <v>2123</v>
      </c>
      <c r="E52" s="31" t="s">
        <v>2124</v>
      </c>
      <c r="F52" s="31" t="s">
        <v>1528</v>
      </c>
      <c r="G52" s="31" t="str">
        <f>VLOOKUP(A52,'Active Employees'!$B$2:$B$498,1,false)</f>
        <v>#N/A</v>
      </c>
      <c r="H52" s="33" t="s">
        <v>1469</v>
      </c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31" t="s">
        <v>2121</v>
      </c>
      <c r="B53" s="31" t="s">
        <v>2027</v>
      </c>
      <c r="C53" s="31" t="s">
        <v>2104</v>
      </c>
      <c r="D53" s="31" t="s">
        <v>2125</v>
      </c>
      <c r="E53" s="31" t="s">
        <v>2030</v>
      </c>
      <c r="F53" s="31" t="s">
        <v>1528</v>
      </c>
      <c r="G53" s="31" t="str">
        <f>VLOOKUP(A53,'Active Employees'!$B$2:$B$498,1,false)</f>
        <v>#N/A</v>
      </c>
      <c r="H53" s="33" t="s">
        <v>1469</v>
      </c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>
      <c r="A54" s="31" t="s">
        <v>2121</v>
      </c>
      <c r="B54" s="31" t="s">
        <v>2027</v>
      </c>
      <c r="C54" s="31" t="s">
        <v>2104</v>
      </c>
      <c r="D54" s="31" t="s">
        <v>2106</v>
      </c>
      <c r="E54" s="31" t="s">
        <v>2030</v>
      </c>
      <c r="F54" s="31" t="s">
        <v>1528</v>
      </c>
      <c r="G54" s="31" t="str">
        <f>VLOOKUP(A54,'Active Employees'!$B$2:$B$498,1,false)</f>
        <v>#N/A</v>
      </c>
      <c r="H54" s="33" t="s">
        <v>1469</v>
      </c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>
      <c r="A55" s="31" t="s">
        <v>2126</v>
      </c>
      <c r="B55" s="31" t="s">
        <v>2027</v>
      </c>
      <c r="C55" s="31" t="s">
        <v>2104</v>
      </c>
      <c r="D55" s="31" t="s">
        <v>2127</v>
      </c>
      <c r="E55" s="31" t="s">
        <v>2030</v>
      </c>
      <c r="F55" s="31" t="s">
        <v>1528</v>
      </c>
      <c r="G55" s="31" t="str">
        <f>VLOOKUP(A55,'Active Employees'!$B$2:$B$498,1,false)</f>
        <v>#N/A</v>
      </c>
      <c r="H55" s="33" t="s">
        <v>1469</v>
      </c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31" t="s">
        <v>2126</v>
      </c>
      <c r="B56" s="31" t="s">
        <v>2027</v>
      </c>
      <c r="C56" s="31" t="s">
        <v>2104</v>
      </c>
      <c r="D56" s="31" t="s">
        <v>2106</v>
      </c>
      <c r="E56" s="31" t="s">
        <v>2030</v>
      </c>
      <c r="F56" s="31" t="s">
        <v>1528</v>
      </c>
      <c r="G56" s="31" t="str">
        <f>VLOOKUP(A56,'Active Employees'!$B$2:$B$498,1,false)</f>
        <v>#N/A</v>
      </c>
      <c r="H56" s="33" t="s">
        <v>1469</v>
      </c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>
      <c r="A57" s="31" t="s">
        <v>2128</v>
      </c>
      <c r="B57" s="31" t="s">
        <v>2027</v>
      </c>
      <c r="C57" s="31" t="s">
        <v>2104</v>
      </c>
      <c r="D57" s="31" t="s">
        <v>2129</v>
      </c>
      <c r="E57" s="31" t="s">
        <v>2030</v>
      </c>
      <c r="F57" s="31" t="s">
        <v>1528</v>
      </c>
      <c r="G57" s="31" t="str">
        <f>VLOOKUP(A57,'Active Employees'!$B$2:$B$498,1,false)</f>
        <v>#N/A</v>
      </c>
      <c r="H57" s="33" t="s">
        <v>1469</v>
      </c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>
      <c r="A58" s="31" t="s">
        <v>2128</v>
      </c>
      <c r="B58" s="31" t="s">
        <v>2027</v>
      </c>
      <c r="C58" s="31" t="s">
        <v>2104</v>
      </c>
      <c r="D58" s="31" t="s">
        <v>2130</v>
      </c>
      <c r="E58" s="31" t="s">
        <v>2030</v>
      </c>
      <c r="F58" s="31" t="s">
        <v>1528</v>
      </c>
      <c r="G58" s="31" t="str">
        <f>VLOOKUP(A58,'Active Employees'!$B$2:$B$498,1,false)</f>
        <v>#N/A</v>
      </c>
      <c r="H58" s="33" t="s">
        <v>1469</v>
      </c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>
      <c r="A59" s="31" t="s">
        <v>2128</v>
      </c>
      <c r="B59" s="31" t="s">
        <v>2027</v>
      </c>
      <c r="C59" s="31" t="s">
        <v>2104</v>
      </c>
      <c r="D59" s="31" t="s">
        <v>2125</v>
      </c>
      <c r="E59" s="31" t="s">
        <v>2030</v>
      </c>
      <c r="F59" s="31" t="s">
        <v>1528</v>
      </c>
      <c r="G59" s="31" t="str">
        <f>VLOOKUP(A59,'Active Employees'!$B$2:$B$498,1,false)</f>
        <v>#N/A</v>
      </c>
      <c r="H59" s="33" t="s">
        <v>1469</v>
      </c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>
      <c r="A60" s="31" t="s">
        <v>2131</v>
      </c>
      <c r="B60" s="31" t="s">
        <v>2027</v>
      </c>
      <c r="C60" s="31" t="s">
        <v>2104</v>
      </c>
      <c r="D60" s="31" t="s">
        <v>2132</v>
      </c>
      <c r="E60" s="31" t="s">
        <v>2030</v>
      </c>
      <c r="F60" s="31" t="s">
        <v>1528</v>
      </c>
      <c r="G60" s="31" t="str">
        <f>VLOOKUP(A60,'Active Employees'!$B$2:$B$498,1,false)</f>
        <v>#N/A</v>
      </c>
      <c r="H60" s="33" t="s">
        <v>1469</v>
      </c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>
      <c r="A61" s="31" t="s">
        <v>2131</v>
      </c>
      <c r="B61" s="31" t="s">
        <v>2027</v>
      </c>
      <c r="C61" s="31" t="s">
        <v>2104</v>
      </c>
      <c r="D61" s="31" t="s">
        <v>2125</v>
      </c>
      <c r="E61" s="31" t="s">
        <v>2030</v>
      </c>
      <c r="F61" s="31" t="s">
        <v>1528</v>
      </c>
      <c r="G61" s="31" t="str">
        <f>VLOOKUP(A61,'Active Employees'!$B$2:$B$498,1,false)</f>
        <v>#N/A</v>
      </c>
      <c r="H61" s="33" t="s">
        <v>1469</v>
      </c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>
      <c r="A62" s="31" t="s">
        <v>1349</v>
      </c>
      <c r="B62" s="31" t="s">
        <v>2027</v>
      </c>
      <c r="C62" s="31" t="s">
        <v>2133</v>
      </c>
      <c r="D62" s="31" t="s">
        <v>2134</v>
      </c>
      <c r="E62" s="31" t="s">
        <v>2030</v>
      </c>
      <c r="F62" s="31" t="s">
        <v>1528</v>
      </c>
      <c r="G62" s="31" t="str">
        <f>VLOOKUP(A62,'Active Employees'!$B$2:$B$498,1,false)</f>
        <v>alano.terblanche@docker.com</v>
      </c>
      <c r="H62" s="33" t="s">
        <v>1469</v>
      </c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>
      <c r="A63" s="31" t="s">
        <v>724</v>
      </c>
      <c r="B63" s="31" t="s">
        <v>2027</v>
      </c>
      <c r="C63" s="31" t="s">
        <v>2135</v>
      </c>
      <c r="D63" s="31" t="s">
        <v>2136</v>
      </c>
      <c r="E63" s="31" t="s">
        <v>2030</v>
      </c>
      <c r="F63" s="31" t="s">
        <v>1528</v>
      </c>
      <c r="G63" s="31" t="str">
        <f>VLOOKUP(A63,'Active Employees'!$B$2:$B$498,1,false)</f>
        <v>alex.hokanson@docker.com</v>
      </c>
      <c r="H63" s="33" t="s">
        <v>1469</v>
      </c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>
      <c r="A64" s="31" t="s">
        <v>724</v>
      </c>
      <c r="B64" s="31" t="s">
        <v>2027</v>
      </c>
      <c r="C64" s="31" t="s">
        <v>2137</v>
      </c>
      <c r="D64" s="31" t="s">
        <v>2138</v>
      </c>
      <c r="E64" s="31" t="s">
        <v>2030</v>
      </c>
      <c r="F64" s="31" t="s">
        <v>1528</v>
      </c>
      <c r="G64" s="31" t="str">
        <f>VLOOKUP(A64,'Active Employees'!$B$2:$B$498,1,false)</f>
        <v>alex.hokanson@docker.com</v>
      </c>
      <c r="H64" s="33" t="s">
        <v>1469</v>
      </c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>
      <c r="A65" s="31" t="s">
        <v>724</v>
      </c>
      <c r="B65" s="31" t="s">
        <v>2027</v>
      </c>
      <c r="C65" s="31" t="s">
        <v>2065</v>
      </c>
      <c r="D65" s="31" t="s">
        <v>2066</v>
      </c>
      <c r="E65" s="31" t="s">
        <v>2030</v>
      </c>
      <c r="F65" s="31" t="s">
        <v>1528</v>
      </c>
      <c r="G65" s="31" t="str">
        <f>VLOOKUP(A65,'Active Employees'!$B$2:$B$498,1,false)</f>
        <v>alex.hokanson@docker.com</v>
      </c>
      <c r="H65" s="33" t="s">
        <v>1469</v>
      </c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>
      <c r="A66" s="31" t="s">
        <v>724</v>
      </c>
      <c r="B66" s="31" t="s">
        <v>2027</v>
      </c>
      <c r="C66" s="31" t="s">
        <v>2139</v>
      </c>
      <c r="D66" s="31" t="s">
        <v>2140</v>
      </c>
      <c r="E66" s="31" t="s">
        <v>2030</v>
      </c>
      <c r="F66" s="31" t="s">
        <v>1528</v>
      </c>
      <c r="G66" s="31" t="str">
        <f>VLOOKUP(A66,'Active Employees'!$B$2:$B$498,1,false)</f>
        <v>alex.hokanson@docker.com</v>
      </c>
      <c r="H66" s="33" t="s">
        <v>1469</v>
      </c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>
      <c r="A67" s="31" t="s">
        <v>724</v>
      </c>
      <c r="B67" s="31" t="s">
        <v>2027</v>
      </c>
      <c r="C67" s="31" t="s">
        <v>2053</v>
      </c>
      <c r="D67" s="31" t="s">
        <v>2054</v>
      </c>
      <c r="E67" s="31" t="s">
        <v>2030</v>
      </c>
      <c r="F67" s="31" t="s">
        <v>1528</v>
      </c>
      <c r="G67" s="31" t="str">
        <f>VLOOKUP(A67,'Active Employees'!$B$2:$B$498,1,false)</f>
        <v>alex.hokanson@docker.com</v>
      </c>
      <c r="H67" s="33" t="s">
        <v>1469</v>
      </c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>
      <c r="A68" s="31" t="s">
        <v>724</v>
      </c>
      <c r="B68" s="31" t="s">
        <v>2027</v>
      </c>
      <c r="C68" s="31" t="s">
        <v>2141</v>
      </c>
      <c r="D68" s="31" t="s">
        <v>2142</v>
      </c>
      <c r="E68" s="31" t="s">
        <v>2030</v>
      </c>
      <c r="F68" s="31" t="s">
        <v>1528</v>
      </c>
      <c r="G68" s="31" t="str">
        <f>VLOOKUP(A68,'Active Employees'!$B$2:$B$498,1,false)</f>
        <v>alex.hokanson@docker.com</v>
      </c>
      <c r="H68" s="33" t="s">
        <v>1469</v>
      </c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>
      <c r="A69" s="31" t="s">
        <v>724</v>
      </c>
      <c r="B69" s="31" t="s">
        <v>2027</v>
      </c>
      <c r="C69" s="31" t="s">
        <v>2143</v>
      </c>
      <c r="D69" s="31" t="s">
        <v>2144</v>
      </c>
      <c r="E69" s="31" t="s">
        <v>2030</v>
      </c>
      <c r="F69" s="31" t="s">
        <v>1528</v>
      </c>
      <c r="G69" s="31" t="str">
        <f>VLOOKUP(A69,'Active Employees'!$B$2:$B$498,1,false)</f>
        <v>alex.hokanson@docker.com</v>
      </c>
      <c r="H69" s="33" t="s">
        <v>1469</v>
      </c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>
      <c r="A70" s="31" t="s">
        <v>724</v>
      </c>
      <c r="B70" s="31" t="s">
        <v>2027</v>
      </c>
      <c r="C70" s="31" t="s">
        <v>2145</v>
      </c>
      <c r="D70" s="31" t="s">
        <v>2146</v>
      </c>
      <c r="E70" s="31" t="s">
        <v>2030</v>
      </c>
      <c r="F70" s="31" t="s">
        <v>1528</v>
      </c>
      <c r="G70" s="31" t="str">
        <f>VLOOKUP(A70,'Active Employees'!$B$2:$B$498,1,false)</f>
        <v>alex.hokanson@docker.com</v>
      </c>
      <c r="H70" s="33" t="s">
        <v>1469</v>
      </c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>
      <c r="A71" s="31" t="s">
        <v>1145</v>
      </c>
      <c r="B71" s="31" t="s">
        <v>2027</v>
      </c>
      <c r="C71" s="31" t="s">
        <v>2090</v>
      </c>
      <c r="D71" s="31" t="s">
        <v>2091</v>
      </c>
      <c r="E71" s="31" t="s">
        <v>2030</v>
      </c>
      <c r="F71" s="31" t="s">
        <v>1528</v>
      </c>
      <c r="G71" s="31" t="str">
        <f>VLOOKUP(A71,'Active Employees'!$B$2:$B$498,1,false)</f>
        <v>amn.rahman@docker.com</v>
      </c>
      <c r="H71" s="33" t="s">
        <v>1469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>
      <c r="A72" s="31" t="s">
        <v>1322</v>
      </c>
      <c r="B72" s="31" t="s">
        <v>2027</v>
      </c>
      <c r="C72" s="31" t="s">
        <v>2147</v>
      </c>
      <c r="D72" s="31" t="s">
        <v>2148</v>
      </c>
      <c r="E72" s="31" t="s">
        <v>2074</v>
      </c>
      <c r="F72" s="31" t="s">
        <v>1528</v>
      </c>
      <c r="G72" s="31" t="str">
        <f>VLOOKUP(A72,'Active Employees'!$B$2:$B$498,1,false)</f>
        <v>aurelien.suarez@docker.com</v>
      </c>
      <c r="H72" s="33" t="s">
        <v>1469</v>
      </c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>
      <c r="A73" s="31" t="s">
        <v>1322</v>
      </c>
      <c r="B73" s="31" t="s">
        <v>2027</v>
      </c>
      <c r="C73" s="31" t="s">
        <v>2149</v>
      </c>
      <c r="D73" s="31" t="s">
        <v>2150</v>
      </c>
      <c r="E73" s="31" t="s">
        <v>2074</v>
      </c>
      <c r="F73" s="31" t="s">
        <v>1528</v>
      </c>
      <c r="G73" s="31" t="str">
        <f>VLOOKUP(A73,'Active Employees'!$B$2:$B$498,1,false)</f>
        <v>aurelien.suarez@docker.com</v>
      </c>
      <c r="H73" s="33" t="s">
        <v>1469</v>
      </c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>
      <c r="A74" s="31" t="s">
        <v>952</v>
      </c>
      <c r="B74" s="31" t="s">
        <v>2027</v>
      </c>
      <c r="C74" s="31" t="s">
        <v>2151</v>
      </c>
      <c r="D74" s="31" t="s">
        <v>2152</v>
      </c>
      <c r="E74" s="31" t="s">
        <v>2030</v>
      </c>
      <c r="F74" s="31" t="s">
        <v>1528</v>
      </c>
      <c r="G74" s="31" t="str">
        <f>VLOOKUP(A74,'Active Employees'!$B$2:$B$498,1,false)</f>
        <v>beck.matuszek@docker.com</v>
      </c>
      <c r="H74" s="33" t="s">
        <v>1469</v>
      </c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31" t="s">
        <v>740</v>
      </c>
      <c r="B75" s="31" t="s">
        <v>2027</v>
      </c>
      <c r="C75" s="31" t="s">
        <v>2065</v>
      </c>
      <c r="D75" s="31" t="s">
        <v>2066</v>
      </c>
      <c r="E75" s="31" t="s">
        <v>2074</v>
      </c>
      <c r="F75" s="31" t="s">
        <v>1528</v>
      </c>
      <c r="G75" s="31" t="str">
        <f>VLOOKUP(A75,'Active Employees'!$B$2:$B$498,1,false)</f>
        <v>beisi.hu@docker.com</v>
      </c>
      <c r="H75" s="33" t="s">
        <v>1469</v>
      </c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31" t="s">
        <v>645</v>
      </c>
      <c r="B76" s="31" t="s">
        <v>2027</v>
      </c>
      <c r="C76" s="31" t="s">
        <v>2083</v>
      </c>
      <c r="D76" s="31" t="s">
        <v>2153</v>
      </c>
      <c r="E76" s="31" t="s">
        <v>2030</v>
      </c>
      <c r="F76" s="31" t="s">
        <v>1528</v>
      </c>
      <c r="G76" s="31" t="str">
        <f>VLOOKUP(A76,'Active Employees'!$B$2:$B$498,1,false)</f>
        <v>benjamin.grandfond@docker.com</v>
      </c>
      <c r="H76" s="33" t="s">
        <v>1469</v>
      </c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>
      <c r="A77" s="31" t="s">
        <v>645</v>
      </c>
      <c r="B77" s="31" t="s">
        <v>2027</v>
      </c>
      <c r="C77" s="31" t="s">
        <v>2083</v>
      </c>
      <c r="D77" s="31" t="s">
        <v>2154</v>
      </c>
      <c r="E77" s="31" t="s">
        <v>2030</v>
      </c>
      <c r="F77" s="31" t="s">
        <v>1528</v>
      </c>
      <c r="G77" s="31" t="str">
        <f>VLOOKUP(A77,'Active Employees'!$B$2:$B$498,1,false)</f>
        <v>benjamin.grandfond@docker.com</v>
      </c>
      <c r="H77" s="33" t="s">
        <v>1469</v>
      </c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>
      <c r="A78" s="31" t="s">
        <v>645</v>
      </c>
      <c r="B78" s="31" t="s">
        <v>2027</v>
      </c>
      <c r="C78" s="31" t="s">
        <v>2155</v>
      </c>
      <c r="D78" s="31" t="s">
        <v>2156</v>
      </c>
      <c r="E78" s="31" t="s">
        <v>2030</v>
      </c>
      <c r="F78" s="31" t="s">
        <v>1528</v>
      </c>
      <c r="G78" s="31" t="str">
        <f>VLOOKUP(A78,'Active Employees'!$B$2:$B$498,1,false)</f>
        <v>benjamin.grandfond@docker.com</v>
      </c>
      <c r="H78" s="33" t="s">
        <v>1469</v>
      </c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>
      <c r="A79" s="31" t="s">
        <v>718</v>
      </c>
      <c r="B79" s="31" t="s">
        <v>2027</v>
      </c>
      <c r="C79" s="31" t="s">
        <v>2065</v>
      </c>
      <c r="D79" s="31" t="s">
        <v>2066</v>
      </c>
      <c r="E79" s="31" t="s">
        <v>2074</v>
      </c>
      <c r="F79" s="31" t="s">
        <v>1528</v>
      </c>
      <c r="G79" s="31" t="str">
        <f>VLOOKUP(A79,'Active Employees'!$B$2:$B$498,1,false)</f>
        <v>brianna.hobbs@docker.com</v>
      </c>
      <c r="H79" s="33" t="s">
        <v>1469</v>
      </c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>
      <c r="A80" s="31" t="s">
        <v>253</v>
      </c>
      <c r="B80" s="31" t="s">
        <v>2027</v>
      </c>
      <c r="C80" s="31" t="s">
        <v>2083</v>
      </c>
      <c r="D80" s="31" t="s">
        <v>2157</v>
      </c>
      <c r="E80" s="31" t="s">
        <v>2030</v>
      </c>
      <c r="F80" s="31" t="s">
        <v>1528</v>
      </c>
      <c r="G80" s="31" t="str">
        <f>VLOOKUP(A80,'Active Employees'!$B$2:$B$498,1,false)</f>
        <v>britney.blodget@docker.com</v>
      </c>
      <c r="H80" s="33" t="s">
        <v>1469</v>
      </c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>
      <c r="A81" s="31" t="s">
        <v>214</v>
      </c>
      <c r="B81" s="31" t="s">
        <v>2027</v>
      </c>
      <c r="C81" s="31" t="s">
        <v>2158</v>
      </c>
      <c r="D81" s="31" t="s">
        <v>2158</v>
      </c>
      <c r="E81" s="31" t="s">
        <v>2030</v>
      </c>
      <c r="F81" s="31" t="s">
        <v>1528</v>
      </c>
      <c r="G81" s="31" t="str">
        <f>VLOOKUP(A81,'Active Employees'!$B$2:$B$498,1,false)</f>
        <v>catherine.bendebury@docker.com</v>
      </c>
      <c r="H81" s="33" t="s">
        <v>1469</v>
      </c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>
      <c r="A82" s="31" t="s">
        <v>597</v>
      </c>
      <c r="B82" s="31" t="s">
        <v>2027</v>
      </c>
      <c r="C82" s="31" t="s">
        <v>2159</v>
      </c>
      <c r="D82" s="31" t="s">
        <v>2160</v>
      </c>
      <c r="E82" s="31" t="s">
        <v>2030</v>
      </c>
      <c r="F82" s="31" t="s">
        <v>1528</v>
      </c>
      <c r="G82" s="31" t="str">
        <f>VLOOKUP(A82,'Active Employees'!$B$2:$B$498,1,false)</f>
        <v>chad.fryer@docker.com</v>
      </c>
      <c r="H82" s="33" t="s">
        <v>1469</v>
      </c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>
      <c r="A83" s="31" t="s">
        <v>597</v>
      </c>
      <c r="B83" s="31" t="s">
        <v>2027</v>
      </c>
      <c r="C83" s="31" t="s">
        <v>2086</v>
      </c>
      <c r="D83" s="31" t="s">
        <v>2087</v>
      </c>
      <c r="E83" s="31" t="s">
        <v>2030</v>
      </c>
      <c r="F83" s="31" t="s">
        <v>1528</v>
      </c>
      <c r="G83" s="31" t="str">
        <f>VLOOKUP(A83,'Active Employees'!$B$2:$B$498,1,false)</f>
        <v>chad.fryer@docker.com</v>
      </c>
      <c r="H83" s="33" t="s">
        <v>1469</v>
      </c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>
      <c r="A84" s="31" t="s">
        <v>597</v>
      </c>
      <c r="B84" s="31" t="s">
        <v>2027</v>
      </c>
      <c r="C84" s="31" t="s">
        <v>2161</v>
      </c>
      <c r="D84" s="31" t="s">
        <v>2162</v>
      </c>
      <c r="E84" s="31" t="s">
        <v>2074</v>
      </c>
      <c r="F84" s="31" t="s">
        <v>1528</v>
      </c>
      <c r="G84" s="31" t="str">
        <f>VLOOKUP(A84,'Active Employees'!$B$2:$B$498,1,false)</f>
        <v>chad.fryer@docker.com</v>
      </c>
      <c r="H84" s="33" t="s">
        <v>1469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>
      <c r="A85" s="31" t="s">
        <v>561</v>
      </c>
      <c r="B85" s="31" t="s">
        <v>2027</v>
      </c>
      <c r="C85" s="31" t="s">
        <v>2163</v>
      </c>
      <c r="D85" s="31" t="s">
        <v>2164</v>
      </c>
      <c r="E85" s="31" t="s">
        <v>2030</v>
      </c>
      <c r="F85" s="31" t="s">
        <v>1528</v>
      </c>
      <c r="G85" s="31" t="str">
        <f>VLOOKUP(A85,'Active Employees'!$B$2:$B$498,1,false)</f>
        <v>christian.farris@docker.com</v>
      </c>
      <c r="H85" s="33" t="s">
        <v>1469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>
      <c r="A86" s="31" t="s">
        <v>1111</v>
      </c>
      <c r="B86" s="31" t="s">
        <v>2027</v>
      </c>
      <c r="C86" s="31" t="s">
        <v>2158</v>
      </c>
      <c r="D86" s="31" t="s">
        <v>2158</v>
      </c>
      <c r="E86" s="31" t="s">
        <v>2030</v>
      </c>
      <c r="F86" s="31" t="s">
        <v>1528</v>
      </c>
      <c r="G86" s="31" t="str">
        <f>VLOOKUP(A86,'Active Employees'!$B$2:$B$498,1,false)</f>
        <v>christopher.petito@docker.com</v>
      </c>
      <c r="H86" s="33" t="s">
        <v>1469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>
      <c r="A87" s="31" t="s">
        <v>1125</v>
      </c>
      <c r="B87" s="31" t="s">
        <v>2027</v>
      </c>
      <c r="C87" s="31" t="s">
        <v>2165</v>
      </c>
      <c r="D87" s="31" t="s">
        <v>2166</v>
      </c>
      <c r="E87" s="31" t="s">
        <v>2030</v>
      </c>
      <c r="F87" s="31" t="s">
        <v>1528</v>
      </c>
      <c r="G87" s="31" t="str">
        <f>VLOOKUP(A87,'Active Employees'!$B$2:$B$498,1,false)</f>
        <v>christopher.pluntke@docker.com</v>
      </c>
      <c r="H87" s="33" t="s">
        <v>1469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>
      <c r="A88" s="31" t="s">
        <v>654</v>
      </c>
      <c r="B88" s="31" t="s">
        <v>2027</v>
      </c>
      <c r="C88" s="31" t="s">
        <v>2167</v>
      </c>
      <c r="D88" s="31" t="s">
        <v>2168</v>
      </c>
      <c r="E88" s="31" t="s">
        <v>2030</v>
      </c>
      <c r="F88" s="31" t="s">
        <v>1528</v>
      </c>
      <c r="G88" s="31" t="str">
        <f>VLOOKUP(A88,'Active Employees'!$B$2:$B$498,1,false)</f>
        <v>cody.green@docker.com</v>
      </c>
      <c r="H88" s="33" t="s">
        <v>1469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>
      <c r="A89" s="31" t="s">
        <v>916</v>
      </c>
      <c r="B89" s="31" t="s">
        <v>2027</v>
      </c>
      <c r="C89" s="31" t="s">
        <v>2111</v>
      </c>
      <c r="D89" s="31" t="s">
        <v>2112</v>
      </c>
      <c r="E89" s="31" t="s">
        <v>2074</v>
      </c>
      <c r="F89" s="31" t="s">
        <v>1528</v>
      </c>
      <c r="G89" s="31" t="str">
        <f>VLOOKUP(A89,'Active Employees'!$B$2:$B$498,1,false)</f>
        <v>colin.madison@docker.com</v>
      </c>
      <c r="H89" s="33" t="s">
        <v>1469</v>
      </c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>
      <c r="A90" s="31" t="s">
        <v>1076</v>
      </c>
      <c r="B90" s="31" t="s">
        <v>2027</v>
      </c>
      <c r="C90" s="31" t="s">
        <v>2083</v>
      </c>
      <c r="D90" s="31" t="s">
        <v>2169</v>
      </c>
      <c r="E90" s="31" t="s">
        <v>2030</v>
      </c>
      <c r="F90" s="31" t="s">
        <v>1528</v>
      </c>
      <c r="G90" s="31" t="str">
        <f>VLOOKUP(A90,'Active Employees'!$B$2:$B$498,1,false)</f>
        <v>craig.osterhout@docker.com</v>
      </c>
      <c r="H90" s="33" t="s">
        <v>1469</v>
      </c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>
      <c r="A91" s="31" t="s">
        <v>622</v>
      </c>
      <c r="B91" s="31" t="s">
        <v>2027</v>
      </c>
      <c r="C91" s="31" t="s">
        <v>2145</v>
      </c>
      <c r="D91" s="31" t="s">
        <v>2146</v>
      </c>
      <c r="E91" s="31" t="s">
        <v>2030</v>
      </c>
      <c r="F91" s="31" t="s">
        <v>1528</v>
      </c>
      <c r="G91" s="31" t="str">
        <f>VLOOKUP(A91,'Active Employees'!$B$2:$B$498,1,false)</f>
        <v>damaso.hierro@docker.com</v>
      </c>
      <c r="H91" s="33" t="s">
        <v>1469</v>
      </c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>
      <c r="A92" s="31" t="s">
        <v>1232</v>
      </c>
      <c r="B92" s="31" t="s">
        <v>2027</v>
      </c>
      <c r="C92" s="31" t="s">
        <v>2104</v>
      </c>
      <c r="D92" s="31" t="s">
        <v>2106</v>
      </c>
      <c r="E92" s="31" t="s">
        <v>2030</v>
      </c>
      <c r="F92" s="31" t="s">
        <v>1528</v>
      </c>
      <c r="G92" s="31" t="str">
        <f>VLOOKUP(A92,'Active Employees'!$B$2:$B$498,1,false)</f>
        <v>daniel.schultz@docker.com</v>
      </c>
      <c r="H92" s="33" t="s">
        <v>1469</v>
      </c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>
      <c r="A93" s="31" t="s">
        <v>1232</v>
      </c>
      <c r="B93" s="31" t="s">
        <v>2027</v>
      </c>
      <c r="C93" s="31" t="s">
        <v>2040</v>
      </c>
      <c r="D93" s="31" t="s">
        <v>2041</v>
      </c>
      <c r="E93" s="31" t="s">
        <v>2030</v>
      </c>
      <c r="F93" s="31" t="s">
        <v>1528</v>
      </c>
      <c r="G93" s="31" t="str">
        <f>VLOOKUP(A93,'Active Employees'!$B$2:$B$498,1,false)</f>
        <v>daniel.schultz@docker.com</v>
      </c>
      <c r="H93" s="33" t="s">
        <v>1469</v>
      </c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>
      <c r="A94" s="31" t="s">
        <v>608</v>
      </c>
      <c r="B94" s="31" t="s">
        <v>2027</v>
      </c>
      <c r="C94" s="31" t="s">
        <v>2170</v>
      </c>
      <c r="D94" s="31" t="s">
        <v>2170</v>
      </c>
      <c r="E94" s="31" t="s">
        <v>2030</v>
      </c>
      <c r="F94" s="31" t="s">
        <v>1528</v>
      </c>
      <c r="G94" s="31" t="str">
        <f>VLOOKUP(A94,'Active Employees'!$B$2:$B$498,1,false)</f>
        <v>david.gageot@docker.com</v>
      </c>
      <c r="H94" s="33" t="s">
        <v>1469</v>
      </c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>
      <c r="A95" s="31" t="s">
        <v>608</v>
      </c>
      <c r="B95" s="31" t="s">
        <v>2027</v>
      </c>
      <c r="C95" s="31" t="s">
        <v>2171</v>
      </c>
      <c r="D95" s="31" t="s">
        <v>2172</v>
      </c>
      <c r="E95" s="31" t="s">
        <v>2030</v>
      </c>
      <c r="F95" s="31" t="s">
        <v>1528</v>
      </c>
      <c r="G95" s="31" t="str">
        <f>VLOOKUP(A95,'Active Employees'!$B$2:$B$498,1,false)</f>
        <v>david.gageot@docker.com</v>
      </c>
      <c r="H95" s="33" t="s">
        <v>1469</v>
      </c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>
      <c r="A96" s="31" t="s">
        <v>907</v>
      </c>
      <c r="B96" s="31" t="s">
        <v>2027</v>
      </c>
      <c r="C96" s="31" t="s">
        <v>2158</v>
      </c>
      <c r="D96" s="31" t="s">
        <v>2158</v>
      </c>
      <c r="E96" s="31" t="s">
        <v>2030</v>
      </c>
      <c r="F96" s="31" t="s">
        <v>1528</v>
      </c>
      <c r="G96" s="31" t="str">
        <f>VLOOKUP(A96,'Active Employees'!$B$2:$B$498,1,false)</f>
        <v>djordje.lukic@docker.com</v>
      </c>
      <c r="H96" s="33" t="s">
        <v>1469</v>
      </c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>
      <c r="A97" s="31" t="s">
        <v>907</v>
      </c>
      <c r="B97" s="31" t="s">
        <v>2027</v>
      </c>
      <c r="C97" s="31" t="s">
        <v>2173</v>
      </c>
      <c r="D97" s="31" t="s">
        <v>2174</v>
      </c>
      <c r="E97" s="31" t="s">
        <v>2030</v>
      </c>
      <c r="F97" s="31" t="s">
        <v>1528</v>
      </c>
      <c r="G97" s="31" t="str">
        <f>VLOOKUP(A97,'Active Employees'!$B$2:$B$498,1,false)</f>
        <v>djordje.lukic@docker.com</v>
      </c>
      <c r="H97" s="33" t="s">
        <v>1469</v>
      </c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>
      <c r="A98" s="31" t="s">
        <v>1039</v>
      </c>
      <c r="B98" s="31" t="s">
        <v>2027</v>
      </c>
      <c r="C98" s="31" t="s">
        <v>2095</v>
      </c>
      <c r="D98" s="31" t="s">
        <v>2096</v>
      </c>
      <c r="E98" s="31" t="s">
        <v>2030</v>
      </c>
      <c r="F98" s="31" t="s">
        <v>1528</v>
      </c>
      <c r="G98" s="31" t="str">
        <f>VLOOKUP(A98,'Active Employees'!$B$2:$B$498,1,false)</f>
        <v>fazlan.nazeem@docker.com</v>
      </c>
      <c r="H98" s="33" t="s">
        <v>1469</v>
      </c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>
      <c r="A99" s="31" t="s">
        <v>967</v>
      </c>
      <c r="B99" s="31" t="s">
        <v>2027</v>
      </c>
      <c r="C99" s="31" t="s">
        <v>2053</v>
      </c>
      <c r="D99" s="31" t="s">
        <v>2054</v>
      </c>
      <c r="E99" s="31" t="s">
        <v>2030</v>
      </c>
      <c r="F99" s="31" t="s">
        <v>1528</v>
      </c>
      <c r="G99" s="31" t="str">
        <f>VLOOKUP(A99,'Active Employees'!$B$2:$B$498,1,false)</f>
        <v>fiona.mcshane@docker.com</v>
      </c>
      <c r="H99" s="33" t="s">
        <v>1469</v>
      </c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>
      <c r="A100" s="31" t="s">
        <v>967</v>
      </c>
      <c r="B100" s="31" t="s">
        <v>2027</v>
      </c>
      <c r="C100" s="31" t="s">
        <v>2104</v>
      </c>
      <c r="D100" s="31" t="s">
        <v>2106</v>
      </c>
      <c r="E100" s="31" t="s">
        <v>2030</v>
      </c>
      <c r="F100" s="31" t="s">
        <v>1528</v>
      </c>
      <c r="G100" s="31" t="str">
        <f>VLOOKUP(A100,'Active Employees'!$B$2:$B$498,1,false)</f>
        <v>fiona.mcshane@docker.com</v>
      </c>
      <c r="H100" s="33" t="s">
        <v>1469</v>
      </c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>
      <c r="A101" s="31" t="s">
        <v>967</v>
      </c>
      <c r="B101" s="31" t="s">
        <v>2027</v>
      </c>
      <c r="C101" s="31" t="s">
        <v>2040</v>
      </c>
      <c r="D101" s="31" t="s">
        <v>2041</v>
      </c>
      <c r="E101" s="31" t="s">
        <v>2030</v>
      </c>
      <c r="F101" s="31" t="s">
        <v>1528</v>
      </c>
      <c r="G101" s="31" t="str">
        <f>VLOOKUP(A101,'Active Employees'!$B$2:$B$498,1,false)</f>
        <v>fiona.mcshane@docker.com</v>
      </c>
      <c r="H101" s="33" t="s">
        <v>1469</v>
      </c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>
      <c r="A102" s="31" t="s">
        <v>153</v>
      </c>
      <c r="B102" s="31" t="s">
        <v>2027</v>
      </c>
      <c r="C102" s="31" t="s">
        <v>2167</v>
      </c>
      <c r="D102" s="31" t="s">
        <v>2168</v>
      </c>
      <c r="E102" s="31" t="s">
        <v>2030</v>
      </c>
      <c r="F102" s="31" t="s">
        <v>1528</v>
      </c>
      <c r="G102" s="31" t="str">
        <f>VLOOKUP(A102,'Active Employees'!$B$2:$B$498,1,false)</f>
        <v>hugo.azevedo@docker.com</v>
      </c>
      <c r="H102" s="33" t="s">
        <v>1469</v>
      </c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>
      <c r="A103" s="31" t="s">
        <v>438</v>
      </c>
      <c r="B103" s="31" t="s">
        <v>2027</v>
      </c>
      <c r="C103" s="31" t="s">
        <v>2145</v>
      </c>
      <c r="D103" s="31" t="s">
        <v>2146</v>
      </c>
      <c r="E103" s="31" t="s">
        <v>2030</v>
      </c>
      <c r="F103" s="31" t="s">
        <v>1528</v>
      </c>
      <c r="G103" s="31" t="str">
        <f>VLOOKUP(A103,'Active Employees'!$B$2:$B$498,1,false)</f>
        <v>ivan.curkovic@docker.com</v>
      </c>
      <c r="H103" s="33" t="s">
        <v>1469</v>
      </c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>
      <c r="A104" s="31" t="s">
        <v>1100</v>
      </c>
      <c r="B104" s="31" t="s">
        <v>2027</v>
      </c>
      <c r="C104" s="31" t="s">
        <v>2175</v>
      </c>
      <c r="D104" s="31" t="s">
        <v>2175</v>
      </c>
      <c r="E104" s="31" t="s">
        <v>2074</v>
      </c>
      <c r="F104" s="31" t="s">
        <v>1528</v>
      </c>
      <c r="G104" s="31" t="str">
        <f>VLOOKUP(A104,'Active Employees'!$B$2:$B$498,1,false)</f>
        <v>ivan.pedrazas@docker.com</v>
      </c>
      <c r="H104" s="33" t="s">
        <v>1469</v>
      </c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>
      <c r="A105" s="31" t="s">
        <v>267</v>
      </c>
      <c r="B105" s="31" t="s">
        <v>2027</v>
      </c>
      <c r="C105" s="31" t="s">
        <v>2176</v>
      </c>
      <c r="D105" s="31" t="s">
        <v>2177</v>
      </c>
      <c r="E105" s="31" t="s">
        <v>2030</v>
      </c>
      <c r="F105" s="31" t="s">
        <v>1528</v>
      </c>
      <c r="G105" s="31" t="str">
        <f>VLOOKUP(A105,'Active Employees'!$B$2:$B$498,1,false)</f>
        <v>james.braden@docker.com</v>
      </c>
      <c r="H105" s="33" t="s">
        <v>1469</v>
      </c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>
      <c r="A106" s="31" t="s">
        <v>267</v>
      </c>
      <c r="B106" s="31" t="s">
        <v>2027</v>
      </c>
      <c r="C106" s="31" t="s">
        <v>2167</v>
      </c>
      <c r="D106" s="31" t="s">
        <v>2168</v>
      </c>
      <c r="E106" s="31" t="s">
        <v>2030</v>
      </c>
      <c r="F106" s="31" t="s">
        <v>1528</v>
      </c>
      <c r="G106" s="31" t="str">
        <f>VLOOKUP(A106,'Active Employees'!$B$2:$B$498,1,false)</f>
        <v>james.braden@docker.com</v>
      </c>
      <c r="H106" s="33" t="s">
        <v>1469</v>
      </c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>
      <c r="A107" s="31" t="s">
        <v>267</v>
      </c>
      <c r="B107" s="31" t="s">
        <v>2027</v>
      </c>
      <c r="C107" s="31" t="s">
        <v>2178</v>
      </c>
      <c r="D107" s="31" t="s">
        <v>2179</v>
      </c>
      <c r="E107" s="31" t="s">
        <v>2030</v>
      </c>
      <c r="F107" s="31" t="s">
        <v>1528</v>
      </c>
      <c r="G107" s="31" t="str">
        <f>VLOOKUP(A107,'Active Employees'!$B$2:$B$498,1,false)</f>
        <v>james.braden@docker.com</v>
      </c>
      <c r="H107" s="33" t="s">
        <v>1469</v>
      </c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>
      <c r="A108" s="31" t="s">
        <v>267</v>
      </c>
      <c r="B108" s="31" t="s">
        <v>2027</v>
      </c>
      <c r="C108" s="31" t="s">
        <v>2180</v>
      </c>
      <c r="D108" s="31" t="s">
        <v>2180</v>
      </c>
      <c r="E108" s="31" t="s">
        <v>2030</v>
      </c>
      <c r="F108" s="31" t="s">
        <v>1528</v>
      </c>
      <c r="G108" s="31" t="str">
        <f>VLOOKUP(A108,'Active Employees'!$B$2:$B$498,1,false)</f>
        <v>james.braden@docker.com</v>
      </c>
      <c r="H108" s="33" t="s">
        <v>1469</v>
      </c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>
      <c r="A109" s="31" t="s">
        <v>267</v>
      </c>
      <c r="B109" s="31" t="s">
        <v>2027</v>
      </c>
      <c r="C109" s="31" t="s">
        <v>2158</v>
      </c>
      <c r="D109" s="31" t="s">
        <v>2158</v>
      </c>
      <c r="E109" s="31" t="s">
        <v>2030</v>
      </c>
      <c r="F109" s="31" t="s">
        <v>1528</v>
      </c>
      <c r="G109" s="31" t="str">
        <f>VLOOKUP(A109,'Active Employees'!$B$2:$B$498,1,false)</f>
        <v>james.braden@docker.com</v>
      </c>
      <c r="H109" s="33" t="s">
        <v>1469</v>
      </c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>
      <c r="A110" s="31" t="s">
        <v>267</v>
      </c>
      <c r="B110" s="31" t="s">
        <v>2027</v>
      </c>
      <c r="C110" s="31" t="s">
        <v>2060</v>
      </c>
      <c r="D110" s="31" t="s">
        <v>2061</v>
      </c>
      <c r="E110" s="31" t="s">
        <v>2030</v>
      </c>
      <c r="F110" s="31" t="s">
        <v>1528</v>
      </c>
      <c r="G110" s="31" t="str">
        <f>VLOOKUP(A110,'Active Employees'!$B$2:$B$498,1,false)</f>
        <v>james.braden@docker.com</v>
      </c>
      <c r="H110" s="33" t="s">
        <v>1469</v>
      </c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>
      <c r="A111" s="31" t="s">
        <v>267</v>
      </c>
      <c r="B111" s="31" t="s">
        <v>2027</v>
      </c>
      <c r="C111" s="31" t="s">
        <v>2145</v>
      </c>
      <c r="D111" s="31" t="s">
        <v>2146</v>
      </c>
      <c r="E111" s="31" t="s">
        <v>2181</v>
      </c>
      <c r="F111" s="31" t="s">
        <v>1528</v>
      </c>
      <c r="G111" s="31" t="str">
        <f>VLOOKUP(A111,'Active Employees'!$B$2:$B$498,1,false)</f>
        <v>james.braden@docker.com</v>
      </c>
      <c r="H111" s="33" t="s">
        <v>1469</v>
      </c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>
      <c r="A112" s="31" t="s">
        <v>1155</v>
      </c>
      <c r="B112" s="31" t="s">
        <v>2027</v>
      </c>
      <c r="C112" s="31" t="s">
        <v>2182</v>
      </c>
      <c r="D112" s="31" t="s">
        <v>2183</v>
      </c>
      <c r="E112" s="31" t="s">
        <v>2030</v>
      </c>
      <c r="F112" s="31" t="s">
        <v>1528</v>
      </c>
      <c r="G112" s="31" t="str">
        <f>VLOOKUP(A112,'Active Employees'!$B$2:$B$498,1,false)</f>
        <v>james.ratliff@docker.com</v>
      </c>
      <c r="H112" s="33" t="s">
        <v>1469</v>
      </c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>
      <c r="A113" s="31" t="s">
        <v>460</v>
      </c>
      <c r="B113" s="31" t="s">
        <v>2027</v>
      </c>
      <c r="C113" s="31" t="s">
        <v>2171</v>
      </c>
      <c r="D113" s="31" t="s">
        <v>2184</v>
      </c>
      <c r="E113" s="31" t="s">
        <v>2030</v>
      </c>
      <c r="F113" s="31" t="s">
        <v>1528</v>
      </c>
      <c r="G113" s="31" t="str">
        <f>VLOOKUP(A113,'Active Employees'!$B$2:$B$498,1,false)</f>
        <v>jeanlaurent@docker.com</v>
      </c>
      <c r="H113" s="33" t="s">
        <v>1469</v>
      </c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>
      <c r="A114" s="31" t="s">
        <v>460</v>
      </c>
      <c r="B114" s="31" t="s">
        <v>2027</v>
      </c>
      <c r="C114" s="31" t="s">
        <v>2175</v>
      </c>
      <c r="D114" s="31" t="s">
        <v>2175</v>
      </c>
      <c r="E114" s="31" t="s">
        <v>2074</v>
      </c>
      <c r="F114" s="31" t="s">
        <v>1528</v>
      </c>
      <c r="G114" s="31" t="str">
        <f>VLOOKUP(A114,'Active Employees'!$B$2:$B$498,1,false)</f>
        <v>jeanlaurent@docker.com</v>
      </c>
      <c r="H114" s="33" t="s">
        <v>1469</v>
      </c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>
      <c r="A115" s="31" t="s">
        <v>460</v>
      </c>
      <c r="B115" s="31" t="s">
        <v>2027</v>
      </c>
      <c r="C115" s="31" t="s">
        <v>2185</v>
      </c>
      <c r="D115" s="31" t="s">
        <v>2185</v>
      </c>
      <c r="E115" s="31" t="s">
        <v>2030</v>
      </c>
      <c r="F115" s="31" t="s">
        <v>1528</v>
      </c>
      <c r="G115" s="31" t="str">
        <f>VLOOKUP(A115,'Active Employees'!$B$2:$B$498,1,false)</f>
        <v>jeanlaurent@docker.com</v>
      </c>
      <c r="H115" s="33" t="s">
        <v>1469</v>
      </c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>
      <c r="A116" s="31" t="s">
        <v>460</v>
      </c>
      <c r="B116" s="31" t="s">
        <v>2027</v>
      </c>
      <c r="C116" s="31" t="s">
        <v>2044</v>
      </c>
      <c r="D116" s="31" t="s">
        <v>2045</v>
      </c>
      <c r="E116" s="31" t="s">
        <v>2030</v>
      </c>
      <c r="F116" s="31" t="s">
        <v>1528</v>
      </c>
      <c r="G116" s="31" t="str">
        <f>VLOOKUP(A116,'Active Employees'!$B$2:$B$498,1,false)</f>
        <v>jeanlaurent@docker.com</v>
      </c>
      <c r="H116" s="33" t="s">
        <v>1469</v>
      </c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>
      <c r="A117" s="31" t="s">
        <v>460</v>
      </c>
      <c r="B117" s="31" t="s">
        <v>2027</v>
      </c>
      <c r="C117" s="31" t="s">
        <v>2072</v>
      </c>
      <c r="D117" s="31" t="s">
        <v>2073</v>
      </c>
      <c r="E117" s="31" t="s">
        <v>2074</v>
      </c>
      <c r="F117" s="31" t="s">
        <v>1528</v>
      </c>
      <c r="G117" s="31" t="str">
        <f>VLOOKUP(A117,'Active Employees'!$B$2:$B$498,1,false)</f>
        <v>jeanlaurent@docker.com</v>
      </c>
      <c r="H117" s="33" t="s">
        <v>1469</v>
      </c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>
      <c r="A118" s="31" t="s">
        <v>1227</v>
      </c>
      <c r="B118" s="31" t="s">
        <v>2027</v>
      </c>
      <c r="C118" s="31" t="s">
        <v>2065</v>
      </c>
      <c r="D118" s="31" t="s">
        <v>2066</v>
      </c>
      <c r="E118" s="31" t="s">
        <v>2030</v>
      </c>
      <c r="F118" s="31" t="s">
        <v>1528</v>
      </c>
      <c r="G118" s="31" t="str">
        <f>VLOOKUP(A118,'Active Employees'!$B$2:$B$498,1,false)</f>
        <v>jeffrey.schmitt@docker.com</v>
      </c>
      <c r="H118" s="33" t="s">
        <v>1469</v>
      </c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>
      <c r="A119" s="31" t="s">
        <v>1317</v>
      </c>
      <c r="B119" s="31" t="s">
        <v>2027</v>
      </c>
      <c r="C119" s="31" t="s">
        <v>2165</v>
      </c>
      <c r="D119" s="31" t="s">
        <v>2166</v>
      </c>
      <c r="E119" s="31" t="s">
        <v>2030</v>
      </c>
      <c r="F119" s="31" t="s">
        <v>1528</v>
      </c>
      <c r="G119" s="31" t="str">
        <f>VLOOKUP(A119,'Active Employees'!$B$2:$B$498,1,false)</f>
        <v>jeffrey.strauss@docker.com</v>
      </c>
      <c r="H119" s="33" t="s">
        <v>1469</v>
      </c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>
      <c r="A120" s="31" t="s">
        <v>1317</v>
      </c>
      <c r="B120" s="31" t="s">
        <v>2027</v>
      </c>
      <c r="C120" s="31" t="s">
        <v>2159</v>
      </c>
      <c r="D120" s="31" t="s">
        <v>2160</v>
      </c>
      <c r="E120" s="31" t="s">
        <v>2030</v>
      </c>
      <c r="F120" s="31" t="s">
        <v>1528</v>
      </c>
      <c r="G120" s="31" t="str">
        <f>VLOOKUP(A120,'Active Employees'!$B$2:$B$498,1,false)</f>
        <v>jeffrey.strauss@docker.com</v>
      </c>
      <c r="H120" s="33" t="s">
        <v>1469</v>
      </c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>
      <c r="A121" s="31" t="s">
        <v>1317</v>
      </c>
      <c r="B121" s="31" t="s">
        <v>2027</v>
      </c>
      <c r="C121" s="31" t="s">
        <v>2186</v>
      </c>
      <c r="D121" s="31" t="s">
        <v>2187</v>
      </c>
      <c r="E121" s="31" t="s">
        <v>2030</v>
      </c>
      <c r="F121" s="31" t="s">
        <v>1528</v>
      </c>
      <c r="G121" s="31" t="str">
        <f>VLOOKUP(A121,'Active Employees'!$B$2:$B$498,1,false)</f>
        <v>jeffrey.strauss@docker.com</v>
      </c>
      <c r="H121" s="33" t="s">
        <v>1469</v>
      </c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>
      <c r="A122" s="31" t="s">
        <v>1317</v>
      </c>
      <c r="B122" s="31" t="s">
        <v>2027</v>
      </c>
      <c r="C122" s="31" t="s">
        <v>2161</v>
      </c>
      <c r="D122" s="31" t="s">
        <v>2162</v>
      </c>
      <c r="E122" s="31" t="s">
        <v>2030</v>
      </c>
      <c r="F122" s="31" t="s">
        <v>1528</v>
      </c>
      <c r="G122" s="31" t="str">
        <f>VLOOKUP(A122,'Active Employees'!$B$2:$B$498,1,false)</f>
        <v>jeffrey.strauss@docker.com</v>
      </c>
      <c r="H122" s="33" t="s">
        <v>1469</v>
      </c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>
      <c r="A123" s="31" t="s">
        <v>1317</v>
      </c>
      <c r="B123" s="31" t="s">
        <v>2027</v>
      </c>
      <c r="C123" s="31" t="s">
        <v>2145</v>
      </c>
      <c r="D123" s="31" t="s">
        <v>2146</v>
      </c>
      <c r="E123" s="31" t="s">
        <v>2188</v>
      </c>
      <c r="F123" s="31" t="s">
        <v>1528</v>
      </c>
      <c r="G123" s="31" t="str">
        <f>VLOOKUP(A123,'Active Employees'!$B$2:$B$498,1,false)</f>
        <v>jeffrey.strauss@docker.com</v>
      </c>
      <c r="H123" s="33" t="s">
        <v>1469</v>
      </c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>
      <c r="A124" s="31" t="s">
        <v>158</v>
      </c>
      <c r="B124" s="31" t="s">
        <v>2027</v>
      </c>
      <c r="C124" s="31" t="s">
        <v>2189</v>
      </c>
      <c r="D124" s="31" t="s">
        <v>2190</v>
      </c>
      <c r="E124" s="31" t="s">
        <v>2030</v>
      </c>
      <c r="F124" s="31" t="s">
        <v>1528</v>
      </c>
      <c r="G124" s="31" t="str">
        <f>VLOOKUP(A124,'Active Employees'!$B$2:$B$498,1,false)</f>
        <v>jerry.baker@docker.com</v>
      </c>
      <c r="H124" s="33" t="s">
        <v>1469</v>
      </c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31" t="s">
        <v>760</v>
      </c>
      <c r="B125" s="31" t="s">
        <v>2027</v>
      </c>
      <c r="C125" s="31" t="s">
        <v>2065</v>
      </c>
      <c r="D125" s="31" t="s">
        <v>2066</v>
      </c>
      <c r="E125" s="31" t="s">
        <v>2074</v>
      </c>
      <c r="F125" s="31" t="s">
        <v>1528</v>
      </c>
      <c r="G125" s="31" t="str">
        <f>VLOOKUP(A125,'Active Employees'!$B$2:$B$498,1,false)</f>
        <v>jessica.jacobs@docker.com</v>
      </c>
      <c r="H125" s="33" t="s">
        <v>1469</v>
      </c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>
      <c r="A126" s="31" t="s">
        <v>386</v>
      </c>
      <c r="B126" s="31" t="s">
        <v>2027</v>
      </c>
      <c r="C126" s="31" t="s">
        <v>2036</v>
      </c>
      <c r="D126" s="31" t="s">
        <v>2037</v>
      </c>
      <c r="E126" s="31" t="s">
        <v>2051</v>
      </c>
      <c r="F126" s="31" t="s">
        <v>1528</v>
      </c>
      <c r="G126" s="31" t="str">
        <f>VLOOKUP(A126,'Active Employees'!$B$2:$B$498,1,false)</f>
        <v>jim.clark@docker.com</v>
      </c>
      <c r="H126" s="33" t="s">
        <v>1469</v>
      </c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>
      <c r="A127" s="31" t="s">
        <v>671</v>
      </c>
      <c r="B127" s="31" t="s">
        <v>2027</v>
      </c>
      <c r="C127" s="31" t="s">
        <v>2191</v>
      </c>
      <c r="D127" s="31" t="s">
        <v>2192</v>
      </c>
      <c r="E127" s="31" t="s">
        <v>2030</v>
      </c>
      <c r="F127" s="31" t="s">
        <v>1528</v>
      </c>
      <c r="G127" s="31" t="str">
        <f>VLOOKUP(A127,'Active Employees'!$B$2:$B$498,1,false)</f>
        <v>johannes.grossmann@docker.com</v>
      </c>
      <c r="H127" s="33" t="s">
        <v>1469</v>
      </c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>
      <c r="A128" s="31" t="s">
        <v>419</v>
      </c>
      <c r="B128" s="31" t="s">
        <v>2027</v>
      </c>
      <c r="C128" s="31" t="s">
        <v>2167</v>
      </c>
      <c r="D128" s="31" t="s">
        <v>2168</v>
      </c>
      <c r="E128" s="31" t="s">
        <v>2074</v>
      </c>
      <c r="F128" s="31" t="s">
        <v>1528</v>
      </c>
      <c r="G128" s="31" t="str">
        <f>VLOOKUP(A128,'Active Employees'!$B$2:$B$498,1,false)</f>
        <v>john.craft@docker.com</v>
      </c>
      <c r="H128" s="33" t="s">
        <v>1469</v>
      </c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>
      <c r="A129" s="31" t="s">
        <v>495</v>
      </c>
      <c r="B129" s="31" t="s">
        <v>2027</v>
      </c>
      <c r="C129" s="31" t="s">
        <v>2147</v>
      </c>
      <c r="D129" s="31" t="s">
        <v>2148</v>
      </c>
      <c r="E129" s="31" t="s">
        <v>2030</v>
      </c>
      <c r="F129" s="31" t="s">
        <v>1528</v>
      </c>
      <c r="G129" s="31" t="str">
        <f>VLOOKUP(A129,'Active Employees'!$B$2:$B$498,1,false)</f>
        <v>jonathan.dieu@docker.com</v>
      </c>
      <c r="H129" s="33" t="s">
        <v>1469</v>
      </c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>
      <c r="A130" s="31" t="s">
        <v>495</v>
      </c>
      <c r="B130" s="31" t="s">
        <v>2027</v>
      </c>
      <c r="C130" s="31" t="s">
        <v>2171</v>
      </c>
      <c r="D130" s="31" t="s">
        <v>2193</v>
      </c>
      <c r="E130" s="31" t="s">
        <v>2030</v>
      </c>
      <c r="F130" s="31" t="s">
        <v>1528</v>
      </c>
      <c r="G130" s="31" t="str">
        <f>VLOOKUP(A130,'Active Employees'!$B$2:$B$498,1,false)</f>
        <v>jonathan.dieu@docker.com</v>
      </c>
      <c r="H130" s="33" t="s">
        <v>1469</v>
      </c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>
      <c r="A131" s="31" t="s">
        <v>495</v>
      </c>
      <c r="B131" s="31" t="s">
        <v>2027</v>
      </c>
      <c r="C131" s="31" t="s">
        <v>2149</v>
      </c>
      <c r="D131" s="31" t="s">
        <v>2150</v>
      </c>
      <c r="E131" s="31" t="s">
        <v>2030</v>
      </c>
      <c r="F131" s="31" t="s">
        <v>1528</v>
      </c>
      <c r="G131" s="31" t="str">
        <f>VLOOKUP(A131,'Active Employees'!$B$2:$B$498,1,false)</f>
        <v>jonathan.dieu@docker.com</v>
      </c>
      <c r="H131" s="33" t="s">
        <v>1469</v>
      </c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>
      <c r="A132" s="31" t="s">
        <v>495</v>
      </c>
      <c r="B132" s="31" t="s">
        <v>2027</v>
      </c>
      <c r="C132" s="31" t="s">
        <v>2194</v>
      </c>
      <c r="D132" s="31" t="s">
        <v>2195</v>
      </c>
      <c r="E132" s="31" t="s">
        <v>2030</v>
      </c>
      <c r="F132" s="31" t="s">
        <v>1528</v>
      </c>
      <c r="G132" s="31" t="str">
        <f>VLOOKUP(A132,'Active Employees'!$B$2:$B$498,1,false)</f>
        <v>jonathan.dieu@docker.com</v>
      </c>
      <c r="H132" s="33" t="s">
        <v>1469</v>
      </c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>
      <c r="A133" s="31" t="s">
        <v>495</v>
      </c>
      <c r="B133" s="31" t="s">
        <v>2027</v>
      </c>
      <c r="C133" s="31" t="s">
        <v>2196</v>
      </c>
      <c r="D133" s="31" t="s">
        <v>2197</v>
      </c>
      <c r="E133" s="31" t="s">
        <v>2030</v>
      </c>
      <c r="F133" s="31" t="s">
        <v>1528</v>
      </c>
      <c r="G133" s="31" t="str">
        <f>VLOOKUP(A133,'Active Employees'!$B$2:$B$498,1,false)</f>
        <v>jonathan.dieu@docker.com</v>
      </c>
      <c r="H133" s="33" t="s">
        <v>1469</v>
      </c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>
      <c r="A134" s="31" t="s">
        <v>495</v>
      </c>
      <c r="B134" s="31" t="s">
        <v>2027</v>
      </c>
      <c r="C134" s="31" t="s">
        <v>2198</v>
      </c>
      <c r="D134" s="31" t="s">
        <v>2199</v>
      </c>
      <c r="E134" s="31" t="s">
        <v>2030</v>
      </c>
      <c r="F134" s="31" t="s">
        <v>1528</v>
      </c>
      <c r="G134" s="31" t="str">
        <f>VLOOKUP(A134,'Active Employees'!$B$2:$B$498,1,false)</f>
        <v>jonathan.dieu@docker.com</v>
      </c>
      <c r="H134" s="33" t="s">
        <v>1469</v>
      </c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>
      <c r="A135" s="31" t="s">
        <v>495</v>
      </c>
      <c r="B135" s="31" t="s">
        <v>2027</v>
      </c>
      <c r="C135" s="31" t="s">
        <v>2198</v>
      </c>
      <c r="D135" s="31" t="s">
        <v>2200</v>
      </c>
      <c r="E135" s="31" t="s">
        <v>2030</v>
      </c>
      <c r="F135" s="31" t="s">
        <v>1528</v>
      </c>
      <c r="G135" s="31" t="str">
        <f>VLOOKUP(A135,'Active Employees'!$B$2:$B$498,1,false)</f>
        <v>jonathan.dieu@docker.com</v>
      </c>
      <c r="H135" s="33" t="s">
        <v>1469</v>
      </c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>
      <c r="A136" s="31" t="s">
        <v>495</v>
      </c>
      <c r="B136" s="31" t="s">
        <v>2027</v>
      </c>
      <c r="C136" s="31" t="s">
        <v>2201</v>
      </c>
      <c r="D136" s="31" t="s">
        <v>2201</v>
      </c>
      <c r="E136" s="31" t="s">
        <v>2030</v>
      </c>
      <c r="F136" s="31" t="s">
        <v>1528</v>
      </c>
      <c r="G136" s="31" t="str">
        <f>VLOOKUP(A136,'Active Employees'!$B$2:$B$498,1,false)</f>
        <v>jonathan.dieu@docker.com</v>
      </c>
      <c r="H136" s="33" t="s">
        <v>1469</v>
      </c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>
      <c r="A137" s="31" t="s">
        <v>495</v>
      </c>
      <c r="B137" s="31" t="s">
        <v>2027</v>
      </c>
      <c r="C137" s="31" t="s">
        <v>2202</v>
      </c>
      <c r="D137" s="31" t="s">
        <v>2203</v>
      </c>
      <c r="E137" s="31" t="s">
        <v>2030</v>
      </c>
      <c r="F137" s="31" t="s">
        <v>1528</v>
      </c>
      <c r="G137" s="31" t="str">
        <f>VLOOKUP(A137,'Active Employees'!$B$2:$B$498,1,false)</f>
        <v>jonathan.dieu@docker.com</v>
      </c>
      <c r="H137" s="33" t="s">
        <v>1469</v>
      </c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>
      <c r="A138" s="31" t="s">
        <v>495</v>
      </c>
      <c r="B138" s="31" t="s">
        <v>2027</v>
      </c>
      <c r="C138" s="31" t="s">
        <v>2077</v>
      </c>
      <c r="D138" s="31" t="s">
        <v>2078</v>
      </c>
      <c r="E138" s="31" t="s">
        <v>2030</v>
      </c>
      <c r="F138" s="31" t="s">
        <v>1528</v>
      </c>
      <c r="G138" s="31" t="str">
        <f>VLOOKUP(A138,'Active Employees'!$B$2:$B$498,1,false)</f>
        <v>jonathan.dieu@docker.com</v>
      </c>
      <c r="H138" s="33" t="s">
        <v>1469</v>
      </c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31" t="s">
        <v>495</v>
      </c>
      <c r="B139" s="31" t="s">
        <v>2027</v>
      </c>
      <c r="C139" s="31" t="s">
        <v>2175</v>
      </c>
      <c r="D139" s="31" t="s">
        <v>2175</v>
      </c>
      <c r="E139" s="31" t="s">
        <v>2030</v>
      </c>
      <c r="F139" s="31" t="s">
        <v>1528</v>
      </c>
      <c r="G139" s="31" t="str">
        <f>VLOOKUP(A139,'Active Employees'!$B$2:$B$498,1,false)</f>
        <v>jonathan.dieu@docker.com</v>
      </c>
      <c r="H139" s="33" t="s">
        <v>1469</v>
      </c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>
      <c r="A140" s="31" t="s">
        <v>495</v>
      </c>
      <c r="B140" s="31" t="s">
        <v>2027</v>
      </c>
      <c r="C140" s="31" t="s">
        <v>2151</v>
      </c>
      <c r="D140" s="31" t="s">
        <v>2152</v>
      </c>
      <c r="E140" s="31" t="s">
        <v>2030</v>
      </c>
      <c r="F140" s="31" t="s">
        <v>1528</v>
      </c>
      <c r="G140" s="31" t="str">
        <f>VLOOKUP(A140,'Active Employees'!$B$2:$B$498,1,false)</f>
        <v>jonathan.dieu@docker.com</v>
      </c>
      <c r="H140" s="33" t="s">
        <v>1469</v>
      </c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>
      <c r="A141" s="31" t="s">
        <v>495</v>
      </c>
      <c r="B141" s="31" t="s">
        <v>2027</v>
      </c>
      <c r="C141" s="31" t="s">
        <v>2090</v>
      </c>
      <c r="D141" s="31" t="s">
        <v>2091</v>
      </c>
      <c r="E141" s="31" t="s">
        <v>2204</v>
      </c>
      <c r="F141" s="31" t="s">
        <v>1528</v>
      </c>
      <c r="G141" s="31" t="str">
        <f>VLOOKUP(A141,'Active Employees'!$B$2:$B$498,1,false)</f>
        <v>jonathan.dieu@docker.com</v>
      </c>
      <c r="H141" s="33" t="s">
        <v>1469</v>
      </c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>
      <c r="A142" s="31" t="s">
        <v>615</v>
      </c>
      <c r="B142" s="31" t="s">
        <v>2027</v>
      </c>
      <c r="C142" s="31" t="s">
        <v>2158</v>
      </c>
      <c r="D142" s="31" t="s">
        <v>2158</v>
      </c>
      <c r="E142" s="31" t="s">
        <v>2030</v>
      </c>
      <c r="F142" s="31" t="s">
        <v>1528</v>
      </c>
      <c r="G142" s="31" t="str">
        <f>VLOOKUP(A142,'Active Employees'!$B$2:$B$498,1,false)</f>
        <v>jordan.ganoff@docker.com</v>
      </c>
      <c r="H142" s="33" t="s">
        <v>1469</v>
      </c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>
      <c r="A143" s="31" t="s">
        <v>615</v>
      </c>
      <c r="B143" s="31" t="s">
        <v>2027</v>
      </c>
      <c r="C143" s="31" t="s">
        <v>2175</v>
      </c>
      <c r="D143" s="31" t="s">
        <v>2175</v>
      </c>
      <c r="E143" s="31" t="s">
        <v>2074</v>
      </c>
      <c r="F143" s="31" t="s">
        <v>1528</v>
      </c>
      <c r="G143" s="31" t="str">
        <f>VLOOKUP(A143,'Active Employees'!$B$2:$B$498,1,false)</f>
        <v>jordan.ganoff@docker.com</v>
      </c>
      <c r="H143" s="33" t="s">
        <v>1469</v>
      </c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>
      <c r="A144" s="31" t="s">
        <v>706</v>
      </c>
      <c r="B144" s="31" t="s">
        <v>2027</v>
      </c>
      <c r="C144" s="31" t="s">
        <v>2035</v>
      </c>
      <c r="D144" s="31" t="s">
        <v>2035</v>
      </c>
      <c r="E144" s="31" t="s">
        <v>2030</v>
      </c>
      <c r="F144" s="31" t="s">
        <v>1528</v>
      </c>
      <c r="G144" s="31" t="str">
        <f>VLOOKUP(A144,'Active Employees'!$B$2:$B$498,1,false)</f>
        <v>jordan.hembling@docker.com</v>
      </c>
      <c r="H144" s="33" t="s">
        <v>1469</v>
      </c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>
      <c r="A145" s="31" t="s">
        <v>706</v>
      </c>
      <c r="B145" s="31" t="s">
        <v>2027</v>
      </c>
      <c r="C145" s="31" t="s">
        <v>2090</v>
      </c>
      <c r="D145" s="31" t="s">
        <v>2091</v>
      </c>
      <c r="E145" s="31" t="s">
        <v>2181</v>
      </c>
      <c r="F145" s="31" t="s">
        <v>1528</v>
      </c>
      <c r="G145" s="31" t="str">
        <f>VLOOKUP(A145,'Active Employees'!$B$2:$B$498,1,false)</f>
        <v>jordan.hembling@docker.com</v>
      </c>
      <c r="H145" s="33" t="s">
        <v>1469</v>
      </c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>
      <c r="A146" s="31" t="s">
        <v>1052</v>
      </c>
      <c r="B146" s="31" t="s">
        <v>2027</v>
      </c>
      <c r="C146" s="31" t="s">
        <v>2186</v>
      </c>
      <c r="D146" s="31" t="s">
        <v>2187</v>
      </c>
      <c r="E146" s="31" t="s">
        <v>2030</v>
      </c>
      <c r="F146" s="31" t="s">
        <v>1528</v>
      </c>
      <c r="G146" s="31" t="str">
        <f>VLOOKUP(A146,'Active Employees'!$B$2:$B$498,1,false)</f>
        <v>josh.newman@docker.com</v>
      </c>
      <c r="H146" s="33" t="s">
        <v>1469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>
      <c r="A147" s="31" t="s">
        <v>1052</v>
      </c>
      <c r="B147" s="31" t="s">
        <v>2027</v>
      </c>
      <c r="C147" s="31" t="s">
        <v>2042</v>
      </c>
      <c r="D147" s="31" t="s">
        <v>2043</v>
      </c>
      <c r="E147" s="31" t="s">
        <v>2030</v>
      </c>
      <c r="F147" s="31" t="s">
        <v>1528</v>
      </c>
      <c r="G147" s="31" t="str">
        <f>VLOOKUP(A147,'Active Employees'!$B$2:$B$498,1,false)</f>
        <v>josh.newman@docker.com</v>
      </c>
      <c r="H147" s="33" t="s">
        <v>1469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>
      <c r="A148" s="31" t="s">
        <v>117</v>
      </c>
      <c r="B148" s="31" t="s">
        <v>2027</v>
      </c>
      <c r="C148" s="31" t="s">
        <v>2137</v>
      </c>
      <c r="D148" s="31" t="s">
        <v>2138</v>
      </c>
      <c r="E148" s="31" t="s">
        <v>2030</v>
      </c>
      <c r="F148" s="31" t="s">
        <v>1528</v>
      </c>
      <c r="G148" s="31" t="str">
        <f>VLOOKUP(A148,'Active Employees'!$B$2:$B$498,1,false)</f>
        <v>kavindira.amarendiran@docker.com</v>
      </c>
      <c r="H148" s="33" t="s">
        <v>1469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>
      <c r="A149" s="31" t="s">
        <v>975</v>
      </c>
      <c r="B149" s="31" t="s">
        <v>2027</v>
      </c>
      <c r="C149" s="31" t="s">
        <v>2145</v>
      </c>
      <c r="D149" s="31" t="s">
        <v>2146</v>
      </c>
      <c r="E149" s="31" t="s">
        <v>2030</v>
      </c>
      <c r="F149" s="31" t="s">
        <v>1528</v>
      </c>
      <c r="G149" s="31" t="str">
        <f>VLOOKUP(A149,'Active Employees'!$B$2:$B$498,1,false)</f>
        <v>kirill.merkushev@docker.com</v>
      </c>
      <c r="H149" s="33" t="s">
        <v>1469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>
      <c r="A150" s="31" t="s">
        <v>2205</v>
      </c>
      <c r="B150" s="31" t="s">
        <v>2027</v>
      </c>
      <c r="C150" s="31" t="s">
        <v>2206</v>
      </c>
      <c r="D150" s="31" t="s">
        <v>2207</v>
      </c>
      <c r="E150" s="31" t="s">
        <v>2030</v>
      </c>
      <c r="F150" s="31" t="s">
        <v>1528</v>
      </c>
      <c r="G150" s="31" t="str">
        <f>VLOOKUP(A150,'Active Employees'!$B$2:$B$498,1,false)</f>
        <v>#N/A</v>
      </c>
      <c r="H150" s="33" t="s">
        <v>1469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>
      <c r="A151" s="31" t="s">
        <v>1380</v>
      </c>
      <c r="B151" s="31" t="s">
        <v>2027</v>
      </c>
      <c r="C151" s="31" t="s">
        <v>2135</v>
      </c>
      <c r="D151" s="31" t="s">
        <v>2136</v>
      </c>
      <c r="E151" s="31" t="s">
        <v>2030</v>
      </c>
      <c r="F151" s="31" t="s">
        <v>1528</v>
      </c>
      <c r="G151" s="31" t="str">
        <f>VLOOKUP(A151,'Active Employees'!$B$2:$B$498,1,false)</f>
        <v>kyle.trantham@docker.com</v>
      </c>
      <c r="H151" s="33" t="s">
        <v>1469</v>
      </c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>
      <c r="A152" s="31" t="s">
        <v>343</v>
      </c>
      <c r="B152" s="31" t="s">
        <v>2027</v>
      </c>
      <c r="C152" s="31" t="s">
        <v>2158</v>
      </c>
      <c r="D152" s="31" t="s">
        <v>2158</v>
      </c>
      <c r="E152" s="31" t="s">
        <v>2030</v>
      </c>
      <c r="F152" s="31" t="s">
        <v>1528</v>
      </c>
      <c r="G152" s="31" t="str">
        <f>VLOOKUP(A152,'Active Employees'!$B$2:$B$498,1,false)</f>
        <v>mark.cavage@docker.com</v>
      </c>
      <c r="H152" s="33" t="s">
        <v>1469</v>
      </c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>
      <c r="A153" s="31" t="s">
        <v>1428</v>
      </c>
      <c r="B153" s="31" t="s">
        <v>2027</v>
      </c>
      <c r="C153" s="31" t="s">
        <v>2158</v>
      </c>
      <c r="D153" s="31" t="s">
        <v>2158</v>
      </c>
      <c r="E153" s="31" t="s">
        <v>2030</v>
      </c>
      <c r="F153" s="31" t="s">
        <v>1528</v>
      </c>
      <c r="G153" s="31" t="str">
        <f>VLOOKUP(A153,'Active Employees'!$B$2:$B$498,1,false)</f>
        <v>mat.wilson@docker.com</v>
      </c>
      <c r="H153" s="33" t="s">
        <v>1469</v>
      </c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>
      <c r="A154" s="31" t="s">
        <v>401</v>
      </c>
      <c r="B154" s="31" t="s">
        <v>2027</v>
      </c>
      <c r="C154" s="31" t="s">
        <v>2180</v>
      </c>
      <c r="D154" s="31" t="s">
        <v>2180</v>
      </c>
      <c r="E154" s="31" t="s">
        <v>2030</v>
      </c>
      <c r="F154" s="31" t="s">
        <v>1528</v>
      </c>
      <c r="G154" s="31" t="str">
        <f>VLOOKUP(A154,'Active Employees'!$B$2:$B$498,1,false)</f>
        <v>mike.coleman@docker.com</v>
      </c>
      <c r="H154" s="33" t="s">
        <v>1469</v>
      </c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>
      <c r="A155" s="31" t="s">
        <v>794</v>
      </c>
      <c r="B155" s="31" t="s">
        <v>2027</v>
      </c>
      <c r="C155" s="31" t="s">
        <v>2035</v>
      </c>
      <c r="D155" s="31" t="s">
        <v>2035</v>
      </c>
      <c r="E155" s="31" t="s">
        <v>2030</v>
      </c>
      <c r="F155" s="31" t="s">
        <v>1528</v>
      </c>
      <c r="G155" s="31" t="str">
        <f>VLOOKUP(A155,'Active Employees'!$B$2:$B$498,1,false)</f>
        <v>mikhail.kacherovich@docker.com</v>
      </c>
      <c r="H155" s="33" t="s">
        <v>1469</v>
      </c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>
      <c r="A156" s="31" t="s">
        <v>794</v>
      </c>
      <c r="B156" s="31" t="s">
        <v>2027</v>
      </c>
      <c r="C156" s="31" t="s">
        <v>2090</v>
      </c>
      <c r="D156" s="31" t="s">
        <v>2091</v>
      </c>
      <c r="E156" s="31" t="s">
        <v>2030</v>
      </c>
      <c r="F156" s="31" t="s">
        <v>1528</v>
      </c>
      <c r="G156" s="31" t="str">
        <f>VLOOKUP(A156,'Active Employees'!$B$2:$B$498,1,false)</f>
        <v>mikhail.kacherovich@docker.com</v>
      </c>
      <c r="H156" s="33" t="s">
        <v>1469</v>
      </c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>
      <c r="A157" s="31" t="s">
        <v>1034</v>
      </c>
      <c r="B157" s="31" t="s">
        <v>2027</v>
      </c>
      <c r="C157" s="31" t="s">
        <v>2090</v>
      </c>
      <c r="D157" s="31" t="s">
        <v>2091</v>
      </c>
      <c r="E157" s="31" t="s">
        <v>2030</v>
      </c>
      <c r="F157" s="31" t="s">
        <v>1528</v>
      </c>
      <c r="G157" s="31" t="str">
        <f>VLOOKUP(A157,'Active Employees'!$B$2:$B$498,1,false)</f>
        <v>motoki.nakamura@docker.com</v>
      </c>
      <c r="H157" s="33" t="s">
        <v>1469</v>
      </c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>
      <c r="A158" s="31" t="s">
        <v>1067</v>
      </c>
      <c r="B158" s="31" t="s">
        <v>2027</v>
      </c>
      <c r="C158" s="31" t="s">
        <v>2072</v>
      </c>
      <c r="D158" s="31" t="s">
        <v>2073</v>
      </c>
      <c r="E158" s="31" t="s">
        <v>2030</v>
      </c>
      <c r="F158" s="31" t="s">
        <v>1528</v>
      </c>
      <c r="G158" s="31" t="str">
        <f>VLOOKUP(A158,'Active Employees'!$B$2:$B$498,1,false)</f>
        <v>nicholas.orefice@docker.com</v>
      </c>
      <c r="H158" s="33" t="s">
        <v>1469</v>
      </c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>
      <c r="A159" s="31" t="s">
        <v>1262</v>
      </c>
      <c r="B159" s="31" t="s">
        <v>2027</v>
      </c>
      <c r="C159" s="31" t="s">
        <v>2145</v>
      </c>
      <c r="D159" s="31" t="s">
        <v>2146</v>
      </c>
      <c r="E159" s="31" t="s">
        <v>2030</v>
      </c>
      <c r="F159" s="31" t="s">
        <v>1528</v>
      </c>
      <c r="G159" s="31" t="str">
        <f>VLOOKUP(A159,'Active Employees'!$B$2:$B$498,1,false)</f>
        <v>nick.sieger@docker.com</v>
      </c>
      <c r="H159" s="33" t="s">
        <v>1469</v>
      </c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>
      <c r="A160" s="31" t="s">
        <v>469</v>
      </c>
      <c r="B160" s="31" t="s">
        <v>2027</v>
      </c>
      <c r="C160" s="31" t="s">
        <v>2072</v>
      </c>
      <c r="D160" s="31" t="s">
        <v>2073</v>
      </c>
      <c r="E160" s="31" t="s">
        <v>2074</v>
      </c>
      <c r="F160" s="31" t="s">
        <v>1528</v>
      </c>
      <c r="G160" s="31" t="str">
        <f>VLOOKUP(A160,'Active Employees'!$B$2:$B$498,1,false)</f>
        <v>nicolas.deloof@docker.com</v>
      </c>
      <c r="H160" s="33" t="s">
        <v>1469</v>
      </c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>
      <c r="A161" s="31" t="s">
        <v>302</v>
      </c>
      <c r="B161" s="31" t="s">
        <v>2027</v>
      </c>
      <c r="C161" s="31" t="s">
        <v>2042</v>
      </c>
      <c r="D161" s="31" t="s">
        <v>2043</v>
      </c>
      <c r="E161" s="31" t="s">
        <v>2030</v>
      </c>
      <c r="F161" s="31" t="s">
        <v>1528</v>
      </c>
      <c r="G161" s="31" t="str">
        <f>VLOOKUP(A161,'Active Employees'!$B$2:$B$498,1,false)</f>
        <v>oleg.burov@docker.com</v>
      </c>
      <c r="H161" s="33" t="s">
        <v>1469</v>
      </c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>
      <c r="A162" s="31" t="s">
        <v>859</v>
      </c>
      <c r="B162" s="31" t="s">
        <v>2027</v>
      </c>
      <c r="C162" s="31" t="s">
        <v>2201</v>
      </c>
      <c r="D162" s="31" t="s">
        <v>2201</v>
      </c>
      <c r="E162" s="31" t="s">
        <v>2030</v>
      </c>
      <c r="F162" s="31" t="s">
        <v>1528</v>
      </c>
      <c r="G162" s="31" t="str">
        <f>VLOOKUP(A162,'Active Employees'!$B$2:$B$498,1,false)</f>
        <v>per.krogslund@docker.com</v>
      </c>
      <c r="H162" s="33" t="s">
        <v>1469</v>
      </c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>
      <c r="A163" s="31" t="s">
        <v>362</v>
      </c>
      <c r="B163" s="31" t="s">
        <v>2027</v>
      </c>
      <c r="C163" s="31" t="s">
        <v>2180</v>
      </c>
      <c r="D163" s="31" t="s">
        <v>2180</v>
      </c>
      <c r="E163" s="31" t="s">
        <v>2030</v>
      </c>
      <c r="F163" s="31" t="s">
        <v>1528</v>
      </c>
      <c r="G163" s="31" t="str">
        <f>VLOOKUP(A163,'Active Employees'!$B$2:$B$498,1,false)</f>
        <v>philippe.charriere@docker.com</v>
      </c>
      <c r="H163" s="33" t="s">
        <v>1469</v>
      </c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>
      <c r="A164" s="31" t="s">
        <v>2117</v>
      </c>
      <c r="B164" s="31" t="s">
        <v>2027</v>
      </c>
      <c r="C164" s="31" t="s">
        <v>2145</v>
      </c>
      <c r="D164" s="31" t="s">
        <v>2146</v>
      </c>
      <c r="E164" s="31" t="s">
        <v>2181</v>
      </c>
      <c r="F164" s="31" t="s">
        <v>1528</v>
      </c>
      <c r="G164" s="31" t="str">
        <f>VLOOKUP(A164,'Active Employees'!$B$2:$B$498,1,false)</f>
        <v>Robert.Lorimer@docker.com</v>
      </c>
      <c r="H164" s="33" t="s">
        <v>1469</v>
      </c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>
      <c r="A165" s="31" t="s">
        <v>206</v>
      </c>
      <c r="B165" s="31" t="s">
        <v>2027</v>
      </c>
      <c r="C165" s="31" t="s">
        <v>2072</v>
      </c>
      <c r="D165" s="31" t="s">
        <v>2073</v>
      </c>
      <c r="E165" s="31" t="s">
        <v>2124</v>
      </c>
      <c r="F165" s="31" t="s">
        <v>1528</v>
      </c>
      <c r="G165" s="31" t="str">
        <f>VLOOKUP(A165,'Active Employees'!$B$2:$B$498,1,false)</f>
        <v>romain.belorgey@docker.com</v>
      </c>
      <c r="H165" s="33" t="s">
        <v>1469</v>
      </c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>
      <c r="A166" s="31" t="s">
        <v>617</v>
      </c>
      <c r="B166" s="31" t="s">
        <v>2027</v>
      </c>
      <c r="C166" s="31" t="s">
        <v>2145</v>
      </c>
      <c r="D166" s="31" t="s">
        <v>2146</v>
      </c>
      <c r="E166" s="31" t="s">
        <v>2030</v>
      </c>
      <c r="F166" s="31" t="s">
        <v>1528</v>
      </c>
      <c r="G166" s="31" t="str">
        <f>VLOOKUP(A166,'Active Employees'!$B$2:$B$498,1,false)</f>
        <v>sergio.garcez@docker.com</v>
      </c>
      <c r="H166" s="33" t="s">
        <v>1469</v>
      </c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>
      <c r="A167" s="31" t="s">
        <v>146</v>
      </c>
      <c r="B167" s="31" t="s">
        <v>2027</v>
      </c>
      <c r="C167" s="31" t="s">
        <v>2042</v>
      </c>
      <c r="D167" s="31" t="s">
        <v>2043</v>
      </c>
      <c r="E167" s="31" t="s">
        <v>2030</v>
      </c>
      <c r="F167" s="31" t="s">
        <v>1528</v>
      </c>
      <c r="G167" s="31" t="str">
        <f>VLOOKUP(A167,'Active Employees'!$B$2:$B$498,1,false)</f>
        <v>shawn.axsom@docker.com</v>
      </c>
      <c r="H167" s="33" t="s">
        <v>1469</v>
      </c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>
      <c r="A168" s="31" t="s">
        <v>146</v>
      </c>
      <c r="B168" s="31" t="s">
        <v>2027</v>
      </c>
      <c r="C168" s="31" t="s">
        <v>2044</v>
      </c>
      <c r="D168" s="31" t="s">
        <v>2045</v>
      </c>
      <c r="E168" s="31" t="s">
        <v>2030</v>
      </c>
      <c r="F168" s="31" t="s">
        <v>1528</v>
      </c>
      <c r="G168" s="31" t="str">
        <f>VLOOKUP(A168,'Active Employees'!$B$2:$B$498,1,false)</f>
        <v>shawn.axsom@docker.com</v>
      </c>
      <c r="H168" s="33" t="s">
        <v>1469</v>
      </c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>
      <c r="A169" s="31" t="s">
        <v>1255</v>
      </c>
      <c r="B169" s="31" t="s">
        <v>2027</v>
      </c>
      <c r="C169" s="31" t="s">
        <v>2104</v>
      </c>
      <c r="D169" s="31" t="s">
        <v>2106</v>
      </c>
      <c r="E169" s="31" t="s">
        <v>2030</v>
      </c>
      <c r="F169" s="31" t="s">
        <v>1528</v>
      </c>
      <c r="G169" s="31" t="str">
        <f>VLOOKUP(A169,'Active Employees'!$B$2:$B$498,1,false)</f>
        <v>shawn.shakir@docker.com</v>
      </c>
      <c r="H169" s="33" t="s">
        <v>1469</v>
      </c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>
      <c r="A170" s="31" t="s">
        <v>1255</v>
      </c>
      <c r="B170" s="31" t="s">
        <v>2027</v>
      </c>
      <c r="C170" s="31" t="s">
        <v>2083</v>
      </c>
      <c r="D170" s="31" t="s">
        <v>2208</v>
      </c>
      <c r="E170" s="31" t="s">
        <v>2030</v>
      </c>
      <c r="F170" s="31" t="s">
        <v>1528</v>
      </c>
      <c r="G170" s="31" t="str">
        <f>VLOOKUP(A170,'Active Employees'!$B$2:$B$498,1,false)</f>
        <v>shawn.shakir@docker.com</v>
      </c>
      <c r="H170" s="33" t="s">
        <v>1469</v>
      </c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>
      <c r="A171" s="31" t="s">
        <v>1255</v>
      </c>
      <c r="B171" s="31" t="s">
        <v>2027</v>
      </c>
      <c r="C171" s="31" t="s">
        <v>2040</v>
      </c>
      <c r="D171" s="31" t="s">
        <v>2041</v>
      </c>
      <c r="E171" s="31" t="s">
        <v>2030</v>
      </c>
      <c r="F171" s="31" t="s">
        <v>1528</v>
      </c>
      <c r="G171" s="31" t="str">
        <f>VLOOKUP(A171,'Active Employees'!$B$2:$B$498,1,false)</f>
        <v>shawn.shakir@docker.com</v>
      </c>
      <c r="H171" s="33" t="s">
        <v>1469</v>
      </c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>
      <c r="A172" s="31" t="s">
        <v>1255</v>
      </c>
      <c r="B172" s="31" t="s">
        <v>2027</v>
      </c>
      <c r="C172" s="31" t="s">
        <v>2145</v>
      </c>
      <c r="D172" s="31" t="s">
        <v>2146</v>
      </c>
      <c r="E172" s="31" t="s">
        <v>2209</v>
      </c>
      <c r="F172" s="31" t="s">
        <v>1528</v>
      </c>
      <c r="G172" s="31" t="str">
        <f>VLOOKUP(A172,'Active Employees'!$B$2:$B$498,1,false)</f>
        <v>shawn.shakir@docker.com</v>
      </c>
      <c r="H172" s="33" t="s">
        <v>1469</v>
      </c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>
      <c r="A173" s="31" t="s">
        <v>905</v>
      </c>
      <c r="B173" s="31" t="s">
        <v>2027</v>
      </c>
      <c r="C173" s="31" t="s">
        <v>2145</v>
      </c>
      <c r="D173" s="31" t="s">
        <v>2146</v>
      </c>
      <c r="E173" s="31" t="s">
        <v>2030</v>
      </c>
      <c r="F173" s="31" t="s">
        <v>1528</v>
      </c>
      <c r="G173" s="31" t="str">
        <f>VLOOKUP(A173,'Active Employees'!$B$2:$B$498,1,false)</f>
        <v>silvin.lubecki@docker.com</v>
      </c>
      <c r="H173" s="33" t="s">
        <v>1469</v>
      </c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>
      <c r="A174" s="31" t="s">
        <v>1225</v>
      </c>
      <c r="B174" s="31" t="s">
        <v>2027</v>
      </c>
      <c r="C174" s="31" t="s">
        <v>2083</v>
      </c>
      <c r="D174" s="31" t="s">
        <v>2210</v>
      </c>
      <c r="E174" s="31" t="s">
        <v>2030</v>
      </c>
      <c r="F174" s="31" t="s">
        <v>1528</v>
      </c>
      <c r="G174" s="31" t="str">
        <f>VLOOKUP(A174,'Active Employees'!$B$2:$B$498,1,false)</f>
        <v>stefan.scherer@docker.com</v>
      </c>
      <c r="H174" s="33" t="s">
        <v>1469</v>
      </c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>
      <c r="A175" s="31" t="s">
        <v>43</v>
      </c>
      <c r="B175" s="31" t="s">
        <v>2027</v>
      </c>
      <c r="C175" s="31" t="s">
        <v>2090</v>
      </c>
      <c r="D175" s="31" t="s">
        <v>2091</v>
      </c>
      <c r="E175" s="31" t="s">
        <v>2211</v>
      </c>
      <c r="F175" s="31" t="s">
        <v>1528</v>
      </c>
      <c r="G175" s="31" t="str">
        <f>VLOOKUP(A175,'Active Employees'!$B$2:$B$498,1,false)</f>
        <v>suhaib.ahmed@docker.com</v>
      </c>
      <c r="H175" s="33" t="s">
        <v>1469</v>
      </c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>
      <c r="A176" s="31" t="s">
        <v>1353</v>
      </c>
      <c r="B176" s="31" t="s">
        <v>2027</v>
      </c>
      <c r="C176" s="31" t="s">
        <v>2145</v>
      </c>
      <c r="D176" s="31" t="s">
        <v>2146</v>
      </c>
      <c r="E176" s="31" t="s">
        <v>2030</v>
      </c>
      <c r="F176" s="31" t="s">
        <v>1528</v>
      </c>
      <c r="G176" s="31" t="str">
        <f>VLOOKUP(A176,'Active Employees'!$B$2:$B$498,1,false)</f>
        <v>temenuzhka.thede@docker.com</v>
      </c>
      <c r="H176" s="33" t="s">
        <v>1469</v>
      </c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>
      <c r="A177" s="31" t="s">
        <v>893</v>
      </c>
      <c r="B177" s="31" t="s">
        <v>2027</v>
      </c>
      <c r="C177" s="31" t="s">
        <v>2035</v>
      </c>
      <c r="D177" s="31" t="s">
        <v>2035</v>
      </c>
      <c r="E177" s="31" t="s">
        <v>2030</v>
      </c>
      <c r="F177" s="31" t="s">
        <v>1528</v>
      </c>
      <c r="G177" s="31" t="str">
        <f>VLOOKUP(A177,'Active Employees'!$B$2:$B$498,1,false)</f>
        <v>thales.ravelli@docker.com</v>
      </c>
      <c r="H177" s="33" t="s">
        <v>1469</v>
      </c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>
      <c r="A178" s="31" t="s">
        <v>893</v>
      </c>
      <c r="B178" s="31" t="s">
        <v>2027</v>
      </c>
      <c r="C178" s="31" t="s">
        <v>2090</v>
      </c>
      <c r="D178" s="31" t="s">
        <v>2091</v>
      </c>
      <c r="E178" s="31" t="s">
        <v>2181</v>
      </c>
      <c r="F178" s="31" t="s">
        <v>1528</v>
      </c>
      <c r="G178" s="31" t="str">
        <f>VLOOKUP(A178,'Active Employees'!$B$2:$B$498,1,false)</f>
        <v>thales.ravelli@docker.com</v>
      </c>
      <c r="H178" s="33" t="s">
        <v>1469</v>
      </c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>
      <c r="A179" s="31" t="s">
        <v>765</v>
      </c>
      <c r="B179" s="31" t="s">
        <v>2027</v>
      </c>
      <c r="C179" s="31" t="s">
        <v>2178</v>
      </c>
      <c r="D179" s="31" t="s">
        <v>2179</v>
      </c>
      <c r="E179" s="31" t="s">
        <v>2030</v>
      </c>
      <c r="F179" s="31" t="s">
        <v>1528</v>
      </c>
      <c r="G179" s="31" t="str">
        <f>VLOOKUP(A179,'Active Employees'!$B$2:$B$498,1,false)</f>
        <v>tushar.jain@docker.com</v>
      </c>
      <c r="H179" s="33" t="s">
        <v>1469</v>
      </c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>
      <c r="A180" s="31" t="s">
        <v>1320</v>
      </c>
      <c r="B180" s="31" t="s">
        <v>2027</v>
      </c>
      <c r="C180" s="31" t="s">
        <v>2065</v>
      </c>
      <c r="D180" s="31" t="s">
        <v>2066</v>
      </c>
      <c r="E180" s="31" t="s">
        <v>2074</v>
      </c>
      <c r="F180" s="31" t="s">
        <v>1528</v>
      </c>
      <c r="G180" s="31" t="str">
        <f>VLOOKUP(A180,'Active Employees'!$B$2:$B$498,1,false)</f>
        <v>will.strickland@docker.com</v>
      </c>
      <c r="H180" s="33" t="s">
        <v>1469</v>
      </c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>
      <c r="A181" s="31" t="s">
        <v>142</v>
      </c>
      <c r="B181" s="31" t="s">
        <v>2027</v>
      </c>
      <c r="C181" s="31" t="s">
        <v>2139</v>
      </c>
      <c r="D181" s="31" t="s">
        <v>2140</v>
      </c>
      <c r="E181" s="31" t="s">
        <v>2074</v>
      </c>
      <c r="F181" s="31" t="s">
        <v>1528</v>
      </c>
      <c r="G181" s="31" t="str">
        <f>VLOOKUP(A181,'Active Employees'!$B$2:$B$498,1,false)</f>
        <v>zubair.aslam@docker.com</v>
      </c>
      <c r="H181" s="33" t="s">
        <v>1469</v>
      </c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>
      <c r="A182" s="31" t="s">
        <v>2212</v>
      </c>
      <c r="B182" s="31" t="s">
        <v>2027</v>
      </c>
      <c r="C182" s="31" t="s">
        <v>2145</v>
      </c>
      <c r="D182" s="31" t="s">
        <v>2146</v>
      </c>
      <c r="E182" s="31" t="s">
        <v>2074</v>
      </c>
      <c r="F182" s="31" t="s">
        <v>2213</v>
      </c>
      <c r="G182" s="31" t="str">
        <f>VLOOKUP(A182,'Active Employees'!$B$2:$B$498,1,false)</f>
        <v>#N/A</v>
      </c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>
      <c r="A183" s="31" t="s">
        <v>2214</v>
      </c>
      <c r="B183" s="31" t="s">
        <v>2027</v>
      </c>
      <c r="C183" s="31" t="s">
        <v>2095</v>
      </c>
      <c r="D183" s="31" t="s">
        <v>2096</v>
      </c>
      <c r="E183" s="31" t="s">
        <v>2074</v>
      </c>
      <c r="F183" s="31" t="s">
        <v>2213</v>
      </c>
      <c r="G183" s="31" t="str">
        <f>VLOOKUP(A183,'Active Employees'!$B$2:$B$498,1,false)</f>
        <v>#N/A</v>
      </c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>
      <c r="A184" s="31" t="s">
        <v>2215</v>
      </c>
      <c r="B184" s="31" t="s">
        <v>2027</v>
      </c>
      <c r="C184" s="31" t="s">
        <v>2095</v>
      </c>
      <c r="D184" s="31" t="s">
        <v>2096</v>
      </c>
      <c r="E184" s="31" t="s">
        <v>2074</v>
      </c>
      <c r="F184" s="31" t="s">
        <v>2213</v>
      </c>
      <c r="G184" s="31" t="str">
        <f>VLOOKUP(A184,'Active Employees'!$B$2:$B$498,1,false)</f>
        <v>#N/A</v>
      </c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>
      <c r="A185" s="31" t="s">
        <v>2216</v>
      </c>
      <c r="B185" s="31" t="s">
        <v>2027</v>
      </c>
      <c r="C185" s="31" t="s">
        <v>2171</v>
      </c>
      <c r="D185" s="31" t="s">
        <v>2172</v>
      </c>
      <c r="E185" s="31" t="s">
        <v>2074</v>
      </c>
      <c r="F185" s="31" t="s">
        <v>2213</v>
      </c>
      <c r="G185" s="31" t="str">
        <f>VLOOKUP(A185,'Active Employees'!$B$2:$B$498,1,false)</f>
        <v>#N/A</v>
      </c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>
      <c r="A186" s="31" t="s">
        <v>2217</v>
      </c>
      <c r="B186" s="31" t="s">
        <v>2027</v>
      </c>
      <c r="C186" s="31" t="s">
        <v>2171</v>
      </c>
      <c r="D186" s="31" t="s">
        <v>2172</v>
      </c>
      <c r="E186" s="31" t="s">
        <v>2074</v>
      </c>
      <c r="F186" s="31" t="s">
        <v>2213</v>
      </c>
      <c r="G186" s="31" t="str">
        <f>VLOOKUP(A186,'Active Employees'!$B$2:$B$498,1,false)</f>
        <v>#N/A</v>
      </c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>
      <c r="A187" s="31" t="s">
        <v>2218</v>
      </c>
      <c r="B187" s="31" t="s">
        <v>2027</v>
      </c>
      <c r="C187" s="31" t="s">
        <v>2028</v>
      </c>
      <c r="D187" s="31" t="s">
        <v>2029</v>
      </c>
      <c r="E187" s="31" t="s">
        <v>2074</v>
      </c>
      <c r="F187" s="31" t="s">
        <v>2213</v>
      </c>
      <c r="G187" s="31" t="str">
        <f>VLOOKUP(A187,'Active Employees'!$B$2:$B$498,1,false)</f>
        <v>#N/A</v>
      </c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>
      <c r="A188" s="31" t="s">
        <v>2219</v>
      </c>
      <c r="B188" s="31" t="s">
        <v>2027</v>
      </c>
      <c r="C188" s="31" t="s">
        <v>2028</v>
      </c>
      <c r="D188" s="31" t="s">
        <v>2029</v>
      </c>
      <c r="E188" s="31" t="s">
        <v>2074</v>
      </c>
      <c r="F188" s="31" t="s">
        <v>2213</v>
      </c>
      <c r="G188" s="31" t="str">
        <f>VLOOKUP(A188,'Active Employees'!$B$2:$B$498,1,false)</f>
        <v>#N/A</v>
      </c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>
      <c r="A189" s="31" t="s">
        <v>2220</v>
      </c>
      <c r="B189" s="31" t="s">
        <v>2027</v>
      </c>
      <c r="C189" s="31" t="s">
        <v>2036</v>
      </c>
      <c r="D189" s="31" t="s">
        <v>2037</v>
      </c>
      <c r="E189" s="31" t="s">
        <v>2074</v>
      </c>
      <c r="F189" s="31" t="s">
        <v>2213</v>
      </c>
      <c r="G189" s="31" t="str">
        <f>VLOOKUP(A189,'Active Employees'!$B$2:$B$498,1,false)</f>
        <v>#N/A</v>
      </c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>
      <c r="A190" s="31" t="s">
        <v>2221</v>
      </c>
      <c r="B190" s="31" t="s">
        <v>2027</v>
      </c>
      <c r="C190" s="31" t="s">
        <v>2167</v>
      </c>
      <c r="D190" s="31" t="s">
        <v>2168</v>
      </c>
      <c r="E190" s="31" t="s">
        <v>2074</v>
      </c>
      <c r="F190" s="31" t="s">
        <v>2213</v>
      </c>
      <c r="G190" s="31" t="str">
        <f>VLOOKUP(A190,'Active Employees'!$B$2:$B$498,1,false)</f>
        <v>#N/A</v>
      </c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>
      <c r="A191" s="31" t="s">
        <v>2222</v>
      </c>
      <c r="B191" s="31" t="s">
        <v>2027</v>
      </c>
      <c r="C191" s="31" t="s">
        <v>2167</v>
      </c>
      <c r="D191" s="31" t="s">
        <v>2168</v>
      </c>
      <c r="E191" s="31" t="s">
        <v>2074</v>
      </c>
      <c r="F191" s="31" t="s">
        <v>2213</v>
      </c>
      <c r="G191" s="31" t="str">
        <f>VLOOKUP(A191,'Active Employees'!$B$2:$B$498,1,false)</f>
        <v>#N/A</v>
      </c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>
      <c r="A192" s="31" t="s">
        <v>2223</v>
      </c>
      <c r="B192" s="31" t="s">
        <v>2027</v>
      </c>
      <c r="C192" s="31" t="s">
        <v>2083</v>
      </c>
      <c r="D192" s="31" t="s">
        <v>2097</v>
      </c>
      <c r="E192" s="31" t="s">
        <v>2074</v>
      </c>
      <c r="F192" s="31" t="s">
        <v>2213</v>
      </c>
      <c r="G192" s="31" t="str">
        <f>VLOOKUP(A192,'Active Employees'!$B$2:$B$498,1,false)</f>
        <v>#N/A</v>
      </c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>
      <c r="A193" s="31" t="s">
        <v>2224</v>
      </c>
      <c r="B193" s="31" t="s">
        <v>2027</v>
      </c>
      <c r="C193" s="31" t="s">
        <v>2083</v>
      </c>
      <c r="D193" s="31" t="s">
        <v>2097</v>
      </c>
      <c r="E193" s="31" t="s">
        <v>2074</v>
      </c>
      <c r="F193" s="31" t="s">
        <v>2213</v>
      </c>
      <c r="G193" s="31" t="str">
        <f>VLOOKUP(A193,'Active Employees'!$B$2:$B$498,1,false)</f>
        <v>#N/A</v>
      </c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>
      <c r="A194" s="31" t="s">
        <v>2225</v>
      </c>
      <c r="B194" s="31" t="s">
        <v>2027</v>
      </c>
      <c r="C194" s="31" t="s">
        <v>2151</v>
      </c>
      <c r="D194" s="31" t="s">
        <v>2152</v>
      </c>
      <c r="E194" s="31" t="s">
        <v>2074</v>
      </c>
      <c r="F194" s="31" t="s">
        <v>2213</v>
      </c>
      <c r="G194" s="31" t="str">
        <f>VLOOKUP(A194,'Active Employees'!$B$2:$B$498,1,false)</f>
        <v>#N/A</v>
      </c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>
      <c r="A195" s="31" t="s">
        <v>2226</v>
      </c>
      <c r="B195" s="31" t="s">
        <v>2027</v>
      </c>
      <c r="C195" s="31" t="s">
        <v>2151</v>
      </c>
      <c r="D195" s="31" t="s">
        <v>2152</v>
      </c>
      <c r="E195" s="31" t="s">
        <v>2074</v>
      </c>
      <c r="F195" s="31" t="s">
        <v>2213</v>
      </c>
      <c r="G195" s="31" t="str">
        <f>VLOOKUP(A195,'Active Employees'!$B$2:$B$498,1,false)</f>
        <v>#N/A</v>
      </c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>
      <c r="A196" s="31" t="s">
        <v>2227</v>
      </c>
      <c r="B196" s="31" t="s">
        <v>2027</v>
      </c>
      <c r="C196" s="31" t="s">
        <v>2139</v>
      </c>
      <c r="D196" s="31" t="s">
        <v>2140</v>
      </c>
      <c r="E196" s="31" t="s">
        <v>2074</v>
      </c>
      <c r="F196" s="31" t="s">
        <v>2213</v>
      </c>
      <c r="G196" s="31" t="str">
        <f>VLOOKUP(A196,'Active Employees'!$B$2:$B$498,1,false)</f>
        <v>#N/A</v>
      </c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>
      <c r="A197" s="31" t="s">
        <v>2228</v>
      </c>
      <c r="B197" s="31" t="s">
        <v>2027</v>
      </c>
      <c r="C197" s="31" t="s">
        <v>2139</v>
      </c>
      <c r="D197" s="31" t="s">
        <v>2140</v>
      </c>
      <c r="E197" s="31" t="s">
        <v>2074</v>
      </c>
      <c r="F197" s="31" t="s">
        <v>2213</v>
      </c>
      <c r="G197" s="31" t="str">
        <f>VLOOKUP(A197,'Active Employees'!$B$2:$B$498,1,false)</f>
        <v>#N/A</v>
      </c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>
      <c r="A198" s="31" t="s">
        <v>2229</v>
      </c>
      <c r="B198" s="31" t="s">
        <v>2027</v>
      </c>
      <c r="C198" s="31" t="s">
        <v>2090</v>
      </c>
      <c r="D198" s="31" t="s">
        <v>2091</v>
      </c>
      <c r="E198" s="31" t="s">
        <v>2074</v>
      </c>
      <c r="F198" s="31" t="s">
        <v>2213</v>
      </c>
      <c r="G198" s="31" t="str">
        <f>VLOOKUP(A198,'Active Employees'!$B$2:$B$498,1,false)</f>
        <v>#N/A</v>
      </c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>
      <c r="A199" s="31" t="s">
        <v>2230</v>
      </c>
      <c r="B199" s="31" t="s">
        <v>2027</v>
      </c>
      <c r="C199" s="31" t="s">
        <v>2090</v>
      </c>
      <c r="D199" s="31" t="s">
        <v>2091</v>
      </c>
      <c r="E199" s="31" t="s">
        <v>2074</v>
      </c>
      <c r="F199" s="31" t="s">
        <v>2213</v>
      </c>
      <c r="G199" s="31" t="str">
        <f>VLOOKUP(A199,'Active Employees'!$B$2:$B$498,1,false)</f>
        <v>#N/A</v>
      </c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>
      <c r="A200" s="31" t="s">
        <v>2231</v>
      </c>
      <c r="B200" s="31" t="s">
        <v>2027</v>
      </c>
      <c r="C200" s="31" t="s">
        <v>2175</v>
      </c>
      <c r="D200" s="31" t="s">
        <v>2175</v>
      </c>
      <c r="E200" s="31" t="s">
        <v>2074</v>
      </c>
      <c r="F200" s="31" t="s">
        <v>2213</v>
      </c>
      <c r="G200" s="31" t="str">
        <f>VLOOKUP(A200,'Active Employees'!$B$2:$B$498,1,false)</f>
        <v>#N/A</v>
      </c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>
      <c r="A201" s="31" t="s">
        <v>2232</v>
      </c>
      <c r="B201" s="31" t="s">
        <v>2027</v>
      </c>
      <c r="C201" s="31" t="s">
        <v>2175</v>
      </c>
      <c r="D201" s="31" t="s">
        <v>2175</v>
      </c>
      <c r="E201" s="31" t="s">
        <v>2074</v>
      </c>
      <c r="F201" s="31" t="s">
        <v>2213</v>
      </c>
      <c r="G201" s="31" t="str">
        <f>VLOOKUP(A201,'Active Employees'!$B$2:$B$498,1,false)</f>
        <v>#N/A</v>
      </c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>
      <c r="A202" s="31" t="s">
        <v>2233</v>
      </c>
      <c r="B202" s="31" t="s">
        <v>2027</v>
      </c>
      <c r="C202" s="31" t="s">
        <v>2053</v>
      </c>
      <c r="D202" s="31" t="s">
        <v>2054</v>
      </c>
      <c r="E202" s="31" t="s">
        <v>2074</v>
      </c>
      <c r="F202" s="31" t="s">
        <v>2213</v>
      </c>
      <c r="G202" s="31" t="str">
        <f>VLOOKUP(A202,'Active Employees'!$B$2:$B$498,1,false)</f>
        <v>#N/A</v>
      </c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>
      <c r="A203" s="31" t="s">
        <v>2234</v>
      </c>
      <c r="B203" s="31" t="s">
        <v>2027</v>
      </c>
      <c r="C203" s="31" t="s">
        <v>2053</v>
      </c>
      <c r="D203" s="31" t="s">
        <v>2054</v>
      </c>
      <c r="E203" s="31" t="s">
        <v>2074</v>
      </c>
      <c r="F203" s="31" t="s">
        <v>2213</v>
      </c>
      <c r="G203" s="31" t="str">
        <f>VLOOKUP(A203,'Active Employees'!$B$2:$B$498,1,false)</f>
        <v>#N/A</v>
      </c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>
      <c r="A204" s="31" t="s">
        <v>2235</v>
      </c>
      <c r="B204" s="31" t="s">
        <v>2027</v>
      </c>
      <c r="C204" s="31" t="s">
        <v>2158</v>
      </c>
      <c r="D204" s="31" t="s">
        <v>2158</v>
      </c>
      <c r="E204" s="31" t="s">
        <v>2074</v>
      </c>
      <c r="F204" s="31" t="s">
        <v>2213</v>
      </c>
      <c r="G204" s="31" t="str">
        <f>VLOOKUP(A204,'Active Employees'!$B$2:$B$498,1,false)</f>
        <v>#N/A</v>
      </c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>
      <c r="A205" s="31" t="s">
        <v>2236</v>
      </c>
      <c r="B205" s="31" t="s">
        <v>2027</v>
      </c>
      <c r="C205" s="31" t="s">
        <v>2047</v>
      </c>
      <c r="D205" s="31" t="s">
        <v>2047</v>
      </c>
      <c r="E205" s="31" t="s">
        <v>2074</v>
      </c>
      <c r="F205" s="31" t="s">
        <v>2213</v>
      </c>
      <c r="G205" s="31" t="str">
        <f>VLOOKUP(A205,'Active Employees'!$B$2:$B$498,1,false)</f>
        <v>#N/A</v>
      </c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>
      <c r="A206" s="31" t="s">
        <v>2237</v>
      </c>
      <c r="B206" s="31" t="s">
        <v>2027</v>
      </c>
      <c r="C206" s="31" t="s">
        <v>2072</v>
      </c>
      <c r="D206" s="31" t="s">
        <v>2073</v>
      </c>
      <c r="E206" s="31" t="s">
        <v>2074</v>
      </c>
      <c r="F206" s="31" t="s">
        <v>2213</v>
      </c>
      <c r="G206" s="31" t="str">
        <f>VLOOKUP(A206,'Active Employees'!$B$2:$B$498,1,false)</f>
        <v>#N/A</v>
      </c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>
      <c r="A207" s="31" t="s">
        <v>2238</v>
      </c>
      <c r="B207" s="31" t="s">
        <v>2027</v>
      </c>
      <c r="C207" s="31" t="s">
        <v>2072</v>
      </c>
      <c r="D207" s="31" t="s">
        <v>2073</v>
      </c>
      <c r="E207" s="31" t="s">
        <v>2074</v>
      </c>
      <c r="F207" s="31" t="s">
        <v>2213</v>
      </c>
      <c r="G207" s="31" t="str">
        <f>VLOOKUP(A207,'Active Employees'!$B$2:$B$498,1,false)</f>
        <v>#N/A</v>
      </c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>
      <c r="A208" s="31" t="s">
        <v>2239</v>
      </c>
      <c r="B208" s="31" t="s">
        <v>2027</v>
      </c>
      <c r="C208" s="31" t="s">
        <v>2040</v>
      </c>
      <c r="D208" s="31" t="s">
        <v>2041</v>
      </c>
      <c r="E208" s="31" t="s">
        <v>2074</v>
      </c>
      <c r="F208" s="31" t="s">
        <v>2213</v>
      </c>
      <c r="G208" s="31" t="str">
        <f>VLOOKUP(A208,'Active Employees'!$B$2:$B$498,1,false)</f>
        <v>#N/A</v>
      </c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>
      <c r="A209" s="31" t="s">
        <v>2240</v>
      </c>
      <c r="B209" s="31" t="s">
        <v>2027</v>
      </c>
      <c r="C209" s="31" t="s">
        <v>2040</v>
      </c>
      <c r="D209" s="31" t="s">
        <v>2041</v>
      </c>
      <c r="E209" s="31" t="s">
        <v>2074</v>
      </c>
      <c r="F209" s="31" t="s">
        <v>2213</v>
      </c>
      <c r="G209" s="31" t="str">
        <f>VLOOKUP(A209,'Active Employees'!$B$2:$B$498,1,false)</f>
        <v>#N/A</v>
      </c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>
      <c r="A210" s="31" t="s">
        <v>2241</v>
      </c>
      <c r="B210" s="31" t="s">
        <v>2027</v>
      </c>
      <c r="C210" s="31" t="s">
        <v>2242</v>
      </c>
      <c r="D210" s="31" t="s">
        <v>2243</v>
      </c>
      <c r="E210" s="31" t="s">
        <v>2030</v>
      </c>
      <c r="F210" s="31" t="s">
        <v>2213</v>
      </c>
      <c r="G210" s="31" t="str">
        <f>VLOOKUP(A210,'Active Employees'!$B$2:$B$498,1,false)</f>
        <v>#N/A</v>
      </c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>
      <c r="A211" s="31" t="s">
        <v>2241</v>
      </c>
      <c r="B211" s="31" t="s">
        <v>2027</v>
      </c>
      <c r="C211" s="31" t="s">
        <v>2244</v>
      </c>
      <c r="D211" s="31" t="s">
        <v>2245</v>
      </c>
      <c r="E211" s="31" t="s">
        <v>2030</v>
      </c>
      <c r="F211" s="31" t="s">
        <v>2213</v>
      </c>
      <c r="G211" s="31" t="str">
        <f>VLOOKUP(A211,'Active Employees'!$B$2:$B$498,1,false)</f>
        <v>#N/A</v>
      </c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31" t="s">
        <v>2241</v>
      </c>
      <c r="B212" s="31" t="s">
        <v>2027</v>
      </c>
      <c r="C212" s="31" t="s">
        <v>2246</v>
      </c>
      <c r="D212" s="31" t="s">
        <v>2247</v>
      </c>
      <c r="E212" s="31" t="s">
        <v>2030</v>
      </c>
      <c r="F212" s="31" t="s">
        <v>2213</v>
      </c>
      <c r="G212" s="31" t="str">
        <f>VLOOKUP(A212,'Active Employees'!$B$2:$B$498,1,false)</f>
        <v>#N/A</v>
      </c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31" t="s">
        <v>2241</v>
      </c>
      <c r="B213" s="31" t="s">
        <v>2027</v>
      </c>
      <c r="C213" s="31" t="s">
        <v>2248</v>
      </c>
      <c r="D213" s="31" t="s">
        <v>2249</v>
      </c>
      <c r="E213" s="31" t="s">
        <v>2030</v>
      </c>
      <c r="F213" s="31" t="s">
        <v>2213</v>
      </c>
      <c r="G213" s="31" t="str">
        <f>VLOOKUP(A213,'Active Employees'!$B$2:$B$498,1,false)</f>
        <v>#N/A</v>
      </c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31" t="s">
        <v>2241</v>
      </c>
      <c r="B214" s="31" t="s">
        <v>2027</v>
      </c>
      <c r="C214" s="31" t="s">
        <v>2242</v>
      </c>
      <c r="D214" s="31" t="s">
        <v>2250</v>
      </c>
      <c r="E214" s="31" t="s">
        <v>2030</v>
      </c>
      <c r="F214" s="31" t="s">
        <v>2213</v>
      </c>
      <c r="G214" s="31" t="str">
        <f>VLOOKUP(A214,'Active Employees'!$B$2:$B$498,1,false)</f>
        <v>#N/A</v>
      </c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>
      <c r="A215" s="31" t="s">
        <v>2241</v>
      </c>
      <c r="B215" s="31" t="s">
        <v>2027</v>
      </c>
      <c r="C215" s="31" t="s">
        <v>2248</v>
      </c>
      <c r="D215" s="31" t="s">
        <v>2251</v>
      </c>
      <c r="E215" s="31" t="s">
        <v>2030</v>
      </c>
      <c r="F215" s="31" t="s">
        <v>2213</v>
      </c>
      <c r="G215" s="31" t="str">
        <f>VLOOKUP(A215,'Active Employees'!$B$2:$B$498,1,false)</f>
        <v>#N/A</v>
      </c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>
      <c r="A216" s="31" t="s">
        <v>2241</v>
      </c>
      <c r="B216" s="31" t="s">
        <v>2027</v>
      </c>
      <c r="C216" s="31" t="s">
        <v>2252</v>
      </c>
      <c r="D216" s="31" t="s">
        <v>2253</v>
      </c>
      <c r="E216" s="31" t="s">
        <v>2030</v>
      </c>
      <c r="F216" s="31" t="s">
        <v>2213</v>
      </c>
      <c r="G216" s="31" t="str">
        <f>VLOOKUP(A216,'Active Employees'!$B$2:$B$498,1,false)</f>
        <v>#N/A</v>
      </c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>
      <c r="A217" s="31" t="s">
        <v>2241</v>
      </c>
      <c r="B217" s="31" t="s">
        <v>2027</v>
      </c>
      <c r="C217" s="31" t="s">
        <v>2244</v>
      </c>
      <c r="D217" s="31" t="s">
        <v>2254</v>
      </c>
      <c r="E217" s="31" t="s">
        <v>2030</v>
      </c>
      <c r="F217" s="31" t="s">
        <v>2213</v>
      </c>
      <c r="G217" s="31" t="str">
        <f>VLOOKUP(A217,'Active Employees'!$B$2:$B$498,1,false)</f>
        <v>#N/A</v>
      </c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>
      <c r="A218" s="31" t="s">
        <v>2241</v>
      </c>
      <c r="B218" s="31" t="s">
        <v>2027</v>
      </c>
      <c r="C218" s="31" t="s">
        <v>2252</v>
      </c>
      <c r="D218" s="31" t="s">
        <v>2255</v>
      </c>
      <c r="E218" s="31" t="s">
        <v>2030</v>
      </c>
      <c r="F218" s="31" t="s">
        <v>2213</v>
      </c>
      <c r="G218" s="31" t="str">
        <f>VLOOKUP(A218,'Active Employees'!$B$2:$B$498,1,false)</f>
        <v>#N/A</v>
      </c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31" t="s">
        <v>2241</v>
      </c>
      <c r="B219" s="31" t="s">
        <v>2027</v>
      </c>
      <c r="C219" s="31" t="s">
        <v>2248</v>
      </c>
      <c r="D219" s="31" t="s">
        <v>2256</v>
      </c>
      <c r="E219" s="31" t="s">
        <v>2030</v>
      </c>
      <c r="F219" s="31" t="s">
        <v>2213</v>
      </c>
      <c r="G219" s="31" t="str">
        <f>VLOOKUP(A219,'Active Employees'!$B$2:$B$498,1,false)</f>
        <v>#N/A</v>
      </c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>
      <c r="A220" s="31" t="s">
        <v>2241</v>
      </c>
      <c r="B220" s="31" t="s">
        <v>2027</v>
      </c>
      <c r="C220" s="31" t="s">
        <v>2246</v>
      </c>
      <c r="D220" s="31" t="s">
        <v>2257</v>
      </c>
      <c r="E220" s="31" t="s">
        <v>2030</v>
      </c>
      <c r="F220" s="31" t="s">
        <v>2213</v>
      </c>
      <c r="G220" s="31" t="str">
        <f>VLOOKUP(A220,'Active Employees'!$B$2:$B$498,1,false)</f>
        <v>#N/A</v>
      </c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>
      <c r="A221" s="31" t="s">
        <v>2241</v>
      </c>
      <c r="B221" s="31" t="s">
        <v>2027</v>
      </c>
      <c r="C221" s="31" t="s">
        <v>2258</v>
      </c>
      <c r="D221" s="31" t="s">
        <v>2259</v>
      </c>
      <c r="E221" s="31" t="s">
        <v>2030</v>
      </c>
      <c r="F221" s="31" t="s">
        <v>2213</v>
      </c>
      <c r="G221" s="31" t="str">
        <f>VLOOKUP(A221,'Active Employees'!$B$2:$B$498,1,false)</f>
        <v>#N/A</v>
      </c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>
      <c r="A222" s="31" t="s">
        <v>2241</v>
      </c>
      <c r="B222" s="31" t="s">
        <v>2027</v>
      </c>
      <c r="C222" s="31" t="s">
        <v>2248</v>
      </c>
      <c r="D222" s="31" t="s">
        <v>2260</v>
      </c>
      <c r="E222" s="31" t="s">
        <v>2030</v>
      </c>
      <c r="F222" s="31" t="s">
        <v>2213</v>
      </c>
      <c r="G222" s="31" t="str">
        <f>VLOOKUP(A222,'Active Employees'!$B$2:$B$498,1,false)</f>
        <v>#N/A</v>
      </c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>
      <c r="A223" s="31" t="s">
        <v>2241</v>
      </c>
      <c r="B223" s="31" t="s">
        <v>2027</v>
      </c>
      <c r="C223" s="31" t="s">
        <v>2248</v>
      </c>
      <c r="D223" s="31" t="s">
        <v>2261</v>
      </c>
      <c r="E223" s="31" t="s">
        <v>2030</v>
      </c>
      <c r="F223" s="31" t="s">
        <v>2213</v>
      </c>
      <c r="G223" s="31" t="str">
        <f>VLOOKUP(A223,'Active Employees'!$B$2:$B$498,1,false)</f>
        <v>#N/A</v>
      </c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>
      <c r="A224" s="31" t="s">
        <v>2241</v>
      </c>
      <c r="B224" s="31" t="s">
        <v>2027</v>
      </c>
      <c r="C224" s="31" t="s">
        <v>2248</v>
      </c>
      <c r="D224" s="31" t="s">
        <v>2262</v>
      </c>
      <c r="E224" s="31" t="s">
        <v>2030</v>
      </c>
      <c r="F224" s="31" t="s">
        <v>2213</v>
      </c>
      <c r="G224" s="31" t="str">
        <f>VLOOKUP(A224,'Active Employees'!$B$2:$B$498,1,false)</f>
        <v>#N/A</v>
      </c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31" t="s">
        <v>2241</v>
      </c>
      <c r="B225" s="31" t="s">
        <v>2027</v>
      </c>
      <c r="C225" s="31" t="s">
        <v>2248</v>
      </c>
      <c r="D225" s="31" t="s">
        <v>2263</v>
      </c>
      <c r="E225" s="31" t="s">
        <v>2030</v>
      </c>
      <c r="F225" s="31" t="s">
        <v>2213</v>
      </c>
      <c r="G225" s="31" t="str">
        <f>VLOOKUP(A225,'Active Employees'!$B$2:$B$498,1,false)</f>
        <v>#N/A</v>
      </c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>
      <c r="A226" s="31" t="s">
        <v>2241</v>
      </c>
      <c r="B226" s="31" t="s">
        <v>2027</v>
      </c>
      <c r="C226" s="31" t="s">
        <v>2264</v>
      </c>
      <c r="D226" s="31" t="s">
        <v>2265</v>
      </c>
      <c r="E226" s="31" t="s">
        <v>2030</v>
      </c>
      <c r="F226" s="31" t="s">
        <v>2213</v>
      </c>
      <c r="G226" s="31" t="str">
        <f>VLOOKUP(A226,'Active Employees'!$B$2:$B$498,1,false)</f>
        <v>#N/A</v>
      </c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>
      <c r="A227" s="31" t="s">
        <v>2241</v>
      </c>
      <c r="B227" s="31" t="s">
        <v>2027</v>
      </c>
      <c r="C227" s="31" t="s">
        <v>2248</v>
      </c>
      <c r="D227" s="31" t="s">
        <v>2266</v>
      </c>
      <c r="E227" s="31" t="s">
        <v>2030</v>
      </c>
      <c r="F227" s="31" t="s">
        <v>2213</v>
      </c>
      <c r="G227" s="31" t="str">
        <f>VLOOKUP(A227,'Active Employees'!$B$2:$B$498,1,false)</f>
        <v>#N/A</v>
      </c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>
      <c r="A228" s="31" t="s">
        <v>2241</v>
      </c>
      <c r="B228" s="31" t="s">
        <v>2027</v>
      </c>
      <c r="C228" s="31" t="s">
        <v>2267</v>
      </c>
      <c r="D228" s="31" t="s">
        <v>2268</v>
      </c>
      <c r="E228" s="31" t="s">
        <v>2030</v>
      </c>
      <c r="F228" s="31" t="s">
        <v>2213</v>
      </c>
      <c r="G228" s="31" t="str">
        <f>VLOOKUP(A228,'Active Employees'!$B$2:$B$498,1,false)</f>
        <v>#N/A</v>
      </c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>
      <c r="A229" s="31" t="s">
        <v>2241</v>
      </c>
      <c r="B229" s="31" t="s">
        <v>2027</v>
      </c>
      <c r="C229" s="31" t="s">
        <v>2248</v>
      </c>
      <c r="D229" s="31" t="s">
        <v>2269</v>
      </c>
      <c r="E229" s="31" t="s">
        <v>2030</v>
      </c>
      <c r="F229" s="31" t="s">
        <v>2213</v>
      </c>
      <c r="G229" s="31" t="str">
        <f>VLOOKUP(A229,'Active Employees'!$B$2:$B$498,1,false)</f>
        <v>#N/A</v>
      </c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>
      <c r="A230" s="31" t="s">
        <v>2241</v>
      </c>
      <c r="B230" s="31" t="s">
        <v>2027</v>
      </c>
      <c r="C230" s="31" t="s">
        <v>2248</v>
      </c>
      <c r="D230" s="31" t="s">
        <v>2270</v>
      </c>
      <c r="E230" s="31" t="s">
        <v>2030</v>
      </c>
      <c r="F230" s="31" t="s">
        <v>2213</v>
      </c>
      <c r="G230" s="31" t="str">
        <f>VLOOKUP(A230,'Active Employees'!$B$2:$B$498,1,false)</f>
        <v>#N/A</v>
      </c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>
      <c r="A231" s="31" t="s">
        <v>2241</v>
      </c>
      <c r="B231" s="31" t="s">
        <v>2027</v>
      </c>
      <c r="C231" s="31" t="s">
        <v>2248</v>
      </c>
      <c r="D231" s="31" t="s">
        <v>2271</v>
      </c>
      <c r="E231" s="31" t="s">
        <v>2030</v>
      </c>
      <c r="F231" s="31" t="s">
        <v>2213</v>
      </c>
      <c r="G231" s="31" t="str">
        <f>VLOOKUP(A231,'Active Employees'!$B$2:$B$498,1,false)</f>
        <v>#N/A</v>
      </c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>
      <c r="A232" s="31" t="s">
        <v>2241</v>
      </c>
      <c r="B232" s="31" t="s">
        <v>2027</v>
      </c>
      <c r="C232" s="31" t="s">
        <v>2272</v>
      </c>
      <c r="D232" s="31" t="s">
        <v>2273</v>
      </c>
      <c r="E232" s="31" t="s">
        <v>2030</v>
      </c>
      <c r="F232" s="31" t="s">
        <v>2213</v>
      </c>
      <c r="G232" s="31" t="str">
        <f>VLOOKUP(A232,'Active Employees'!$B$2:$B$498,1,false)</f>
        <v>#N/A</v>
      </c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>
      <c r="A233" s="31" t="s">
        <v>2241</v>
      </c>
      <c r="B233" s="31" t="s">
        <v>2027</v>
      </c>
      <c r="C233" s="31" t="s">
        <v>2274</v>
      </c>
      <c r="D233" s="31" t="s">
        <v>2275</v>
      </c>
      <c r="E233" s="31" t="s">
        <v>2030</v>
      </c>
      <c r="F233" s="31" t="s">
        <v>2213</v>
      </c>
      <c r="G233" s="31" t="str">
        <f>VLOOKUP(A233,'Active Employees'!$B$2:$B$498,1,false)</f>
        <v>#N/A</v>
      </c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>
      <c r="A234" s="31" t="s">
        <v>2241</v>
      </c>
      <c r="B234" s="31" t="s">
        <v>2027</v>
      </c>
      <c r="C234" s="31" t="s">
        <v>2248</v>
      </c>
      <c r="D234" s="31" t="s">
        <v>2276</v>
      </c>
      <c r="E234" s="31" t="s">
        <v>2030</v>
      </c>
      <c r="F234" s="31" t="s">
        <v>2213</v>
      </c>
      <c r="G234" s="31" t="str">
        <f>VLOOKUP(A234,'Active Employees'!$B$2:$B$498,1,false)</f>
        <v>#N/A</v>
      </c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>
      <c r="A235" s="31" t="s">
        <v>2241</v>
      </c>
      <c r="B235" s="31" t="s">
        <v>2027</v>
      </c>
      <c r="C235" s="31" t="s">
        <v>2248</v>
      </c>
      <c r="D235" s="31" t="s">
        <v>2277</v>
      </c>
      <c r="E235" s="31" t="s">
        <v>2030</v>
      </c>
      <c r="F235" s="31" t="s">
        <v>2213</v>
      </c>
      <c r="G235" s="31" t="str">
        <f>VLOOKUP(A235,'Active Employees'!$B$2:$B$498,1,false)</f>
        <v>#N/A</v>
      </c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>
      <c r="A236" s="31" t="s">
        <v>2241</v>
      </c>
      <c r="B236" s="31" t="s">
        <v>2027</v>
      </c>
      <c r="C236" s="31" t="s">
        <v>2248</v>
      </c>
      <c r="D236" s="31" t="s">
        <v>2278</v>
      </c>
      <c r="E236" s="31" t="s">
        <v>2030</v>
      </c>
      <c r="F236" s="31" t="s">
        <v>2213</v>
      </c>
      <c r="G236" s="31" t="str">
        <f>VLOOKUP(A236,'Active Employees'!$B$2:$B$498,1,false)</f>
        <v>#N/A</v>
      </c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>
      <c r="A237" s="31" t="s">
        <v>2241</v>
      </c>
      <c r="B237" s="31" t="s">
        <v>2027</v>
      </c>
      <c r="C237" s="31" t="s">
        <v>2248</v>
      </c>
      <c r="D237" s="31" t="s">
        <v>2279</v>
      </c>
      <c r="E237" s="31" t="s">
        <v>2030</v>
      </c>
      <c r="F237" s="31" t="s">
        <v>2213</v>
      </c>
      <c r="G237" s="31" t="str">
        <f>VLOOKUP(A237,'Active Employees'!$B$2:$B$498,1,false)</f>
        <v>#N/A</v>
      </c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>
      <c r="A238" s="31" t="s">
        <v>2241</v>
      </c>
      <c r="B238" s="31" t="s">
        <v>2027</v>
      </c>
      <c r="C238" s="31" t="s">
        <v>2272</v>
      </c>
      <c r="D238" s="31" t="s">
        <v>2280</v>
      </c>
      <c r="E238" s="31" t="s">
        <v>2030</v>
      </c>
      <c r="F238" s="31" t="s">
        <v>2213</v>
      </c>
      <c r="G238" s="31" t="str">
        <f>VLOOKUP(A238,'Active Employees'!$B$2:$B$498,1,false)</f>
        <v>#N/A</v>
      </c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>
      <c r="A239" s="31" t="s">
        <v>2241</v>
      </c>
      <c r="B239" s="31" t="s">
        <v>2027</v>
      </c>
      <c r="C239" s="31" t="s">
        <v>2272</v>
      </c>
      <c r="D239" s="31" t="s">
        <v>2281</v>
      </c>
      <c r="E239" s="31" t="s">
        <v>2030</v>
      </c>
      <c r="F239" s="31" t="s">
        <v>2213</v>
      </c>
      <c r="G239" s="31" t="str">
        <f>VLOOKUP(A239,'Active Employees'!$B$2:$B$498,1,false)</f>
        <v>#N/A</v>
      </c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>
      <c r="A240" s="31" t="s">
        <v>2241</v>
      </c>
      <c r="B240" s="31" t="s">
        <v>2027</v>
      </c>
      <c r="C240" s="31" t="s">
        <v>2282</v>
      </c>
      <c r="D240" s="31" t="s">
        <v>2283</v>
      </c>
      <c r="E240" s="31" t="s">
        <v>2030</v>
      </c>
      <c r="F240" s="31" t="s">
        <v>2213</v>
      </c>
      <c r="G240" s="31" t="str">
        <f>VLOOKUP(A240,'Active Employees'!$B$2:$B$498,1,false)</f>
        <v>#N/A</v>
      </c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>
      <c r="A241" s="31" t="s">
        <v>2241</v>
      </c>
      <c r="B241" s="31" t="s">
        <v>2027</v>
      </c>
      <c r="C241" s="31" t="s">
        <v>2284</v>
      </c>
      <c r="D241" s="31" t="s">
        <v>2285</v>
      </c>
      <c r="E241" s="31" t="s">
        <v>2030</v>
      </c>
      <c r="F241" s="31" t="s">
        <v>2213</v>
      </c>
      <c r="G241" s="31" t="str">
        <f>VLOOKUP(A241,'Active Employees'!$B$2:$B$498,1,false)</f>
        <v>#N/A</v>
      </c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>
      <c r="A242" s="31" t="s">
        <v>2241</v>
      </c>
      <c r="B242" s="31" t="s">
        <v>2027</v>
      </c>
      <c r="C242" s="31" t="s">
        <v>2248</v>
      </c>
      <c r="D242" s="31" t="s">
        <v>2286</v>
      </c>
      <c r="E242" s="31" t="s">
        <v>2030</v>
      </c>
      <c r="F242" s="31" t="s">
        <v>2213</v>
      </c>
      <c r="G242" s="31" t="str">
        <f>VLOOKUP(A242,'Active Employees'!$B$2:$B$498,1,false)</f>
        <v>#N/A</v>
      </c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>
      <c r="A243" s="31" t="s">
        <v>2241</v>
      </c>
      <c r="B243" s="31" t="s">
        <v>2027</v>
      </c>
      <c r="C243" s="31" t="s">
        <v>2282</v>
      </c>
      <c r="D243" s="31" t="s">
        <v>2287</v>
      </c>
      <c r="E243" s="31" t="s">
        <v>2030</v>
      </c>
      <c r="F243" s="31" t="s">
        <v>2213</v>
      </c>
      <c r="G243" s="31" t="str">
        <f>VLOOKUP(A243,'Active Employees'!$B$2:$B$498,1,false)</f>
        <v>#N/A</v>
      </c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>
      <c r="A244" s="31" t="s">
        <v>2241</v>
      </c>
      <c r="B244" s="31" t="s">
        <v>2027</v>
      </c>
      <c r="C244" s="31" t="s">
        <v>2288</v>
      </c>
      <c r="D244" s="31" t="s">
        <v>2289</v>
      </c>
      <c r="E244" s="31" t="s">
        <v>2030</v>
      </c>
      <c r="F244" s="31" t="s">
        <v>2213</v>
      </c>
      <c r="G244" s="31" t="str">
        <f>VLOOKUP(A244,'Active Employees'!$B$2:$B$498,1,false)</f>
        <v>#N/A</v>
      </c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>
      <c r="A245" s="31" t="s">
        <v>2241</v>
      </c>
      <c r="B245" s="31" t="s">
        <v>2027</v>
      </c>
      <c r="C245" s="31" t="s">
        <v>2284</v>
      </c>
      <c r="D245" s="31" t="s">
        <v>2290</v>
      </c>
      <c r="E245" s="31" t="s">
        <v>2030</v>
      </c>
      <c r="F245" s="31" t="s">
        <v>2213</v>
      </c>
      <c r="G245" s="31" t="str">
        <f>VLOOKUP(A245,'Active Employees'!$B$2:$B$498,1,false)</f>
        <v>#N/A</v>
      </c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>
      <c r="A246" s="31" t="s">
        <v>2241</v>
      </c>
      <c r="B246" s="31" t="s">
        <v>2027</v>
      </c>
      <c r="C246" s="31" t="s">
        <v>2258</v>
      </c>
      <c r="D246" s="31" t="s">
        <v>2291</v>
      </c>
      <c r="E246" s="31" t="s">
        <v>2030</v>
      </c>
      <c r="F246" s="31" t="s">
        <v>2213</v>
      </c>
      <c r="G246" s="31" t="str">
        <f>VLOOKUP(A246,'Active Employees'!$B$2:$B$498,1,false)</f>
        <v>#N/A</v>
      </c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>
      <c r="A247" s="31" t="s">
        <v>2241</v>
      </c>
      <c r="B247" s="31" t="s">
        <v>2027</v>
      </c>
      <c r="C247" s="31" t="s">
        <v>2248</v>
      </c>
      <c r="D247" s="31" t="s">
        <v>2292</v>
      </c>
      <c r="E247" s="31" t="s">
        <v>2030</v>
      </c>
      <c r="F247" s="31" t="s">
        <v>2213</v>
      </c>
      <c r="G247" s="31" t="str">
        <f>VLOOKUP(A247,'Active Employees'!$B$2:$B$498,1,false)</f>
        <v>#N/A</v>
      </c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>
      <c r="A248" s="31" t="s">
        <v>2241</v>
      </c>
      <c r="B248" s="31" t="s">
        <v>2027</v>
      </c>
      <c r="C248" s="31" t="s">
        <v>2293</v>
      </c>
      <c r="D248" s="31" t="s">
        <v>2294</v>
      </c>
      <c r="E248" s="31" t="s">
        <v>2030</v>
      </c>
      <c r="F248" s="31" t="s">
        <v>2213</v>
      </c>
      <c r="G248" s="31" t="str">
        <f>VLOOKUP(A248,'Active Employees'!$B$2:$B$498,1,false)</f>
        <v>#N/A</v>
      </c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>
      <c r="A249" s="31" t="s">
        <v>2241</v>
      </c>
      <c r="B249" s="31" t="s">
        <v>2027</v>
      </c>
      <c r="C249" s="31" t="s">
        <v>2288</v>
      </c>
      <c r="D249" s="31" t="s">
        <v>2295</v>
      </c>
      <c r="E249" s="31" t="s">
        <v>2030</v>
      </c>
      <c r="F249" s="31" t="s">
        <v>2213</v>
      </c>
      <c r="G249" s="31" t="str">
        <f>VLOOKUP(A249,'Active Employees'!$B$2:$B$498,1,false)</f>
        <v>#N/A</v>
      </c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>
      <c r="A250" s="31" t="s">
        <v>2241</v>
      </c>
      <c r="B250" s="31" t="s">
        <v>2027</v>
      </c>
      <c r="C250" s="31" t="s">
        <v>2296</v>
      </c>
      <c r="D250" s="31" t="s">
        <v>2297</v>
      </c>
      <c r="E250" s="31" t="s">
        <v>2030</v>
      </c>
      <c r="F250" s="31" t="s">
        <v>2213</v>
      </c>
      <c r="G250" s="31" t="str">
        <f>VLOOKUP(A250,'Active Employees'!$B$2:$B$498,1,false)</f>
        <v>#N/A</v>
      </c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>
      <c r="A251" s="31" t="s">
        <v>2241</v>
      </c>
      <c r="B251" s="31" t="s">
        <v>2027</v>
      </c>
      <c r="C251" s="31" t="s">
        <v>2293</v>
      </c>
      <c r="D251" s="31" t="s">
        <v>2298</v>
      </c>
      <c r="E251" s="31" t="s">
        <v>2030</v>
      </c>
      <c r="F251" s="31" t="s">
        <v>2213</v>
      </c>
      <c r="G251" s="31" t="str">
        <f>VLOOKUP(A251,'Active Employees'!$B$2:$B$498,1,false)</f>
        <v>#N/A</v>
      </c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>
      <c r="A252" s="31" t="s">
        <v>2241</v>
      </c>
      <c r="B252" s="31" t="s">
        <v>2027</v>
      </c>
      <c r="C252" s="31" t="s">
        <v>2248</v>
      </c>
      <c r="D252" s="31" t="s">
        <v>2299</v>
      </c>
      <c r="E252" s="31" t="s">
        <v>2030</v>
      </c>
      <c r="F252" s="31" t="s">
        <v>2213</v>
      </c>
      <c r="G252" s="31" t="str">
        <f>VLOOKUP(A252,'Active Employees'!$B$2:$B$498,1,false)</f>
        <v>#N/A</v>
      </c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>
      <c r="A253" s="31" t="s">
        <v>2241</v>
      </c>
      <c r="B253" s="31" t="s">
        <v>2027</v>
      </c>
      <c r="C253" s="31" t="s">
        <v>2248</v>
      </c>
      <c r="D253" s="31" t="s">
        <v>2300</v>
      </c>
      <c r="E253" s="31" t="s">
        <v>2030</v>
      </c>
      <c r="F253" s="31" t="s">
        <v>2213</v>
      </c>
      <c r="G253" s="31" t="str">
        <f>VLOOKUP(A253,'Active Employees'!$B$2:$B$498,1,false)</f>
        <v>#N/A</v>
      </c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>
      <c r="A254" s="31" t="s">
        <v>2241</v>
      </c>
      <c r="B254" s="31" t="s">
        <v>2027</v>
      </c>
      <c r="C254" s="31" t="s">
        <v>2301</v>
      </c>
      <c r="D254" s="31" t="s">
        <v>2302</v>
      </c>
      <c r="E254" s="31" t="s">
        <v>2030</v>
      </c>
      <c r="F254" s="31" t="s">
        <v>2213</v>
      </c>
      <c r="G254" s="31" t="str">
        <f>VLOOKUP(A254,'Active Employees'!$B$2:$B$498,1,false)</f>
        <v>#N/A</v>
      </c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>
      <c r="A255" s="31" t="s">
        <v>2241</v>
      </c>
      <c r="B255" s="31" t="s">
        <v>2027</v>
      </c>
      <c r="C255" s="31" t="s">
        <v>2248</v>
      </c>
      <c r="D255" s="31" t="s">
        <v>2303</v>
      </c>
      <c r="E255" s="31" t="s">
        <v>2030</v>
      </c>
      <c r="F255" s="31" t="s">
        <v>2213</v>
      </c>
      <c r="G255" s="31" t="str">
        <f>VLOOKUP(A255,'Active Employees'!$B$2:$B$498,1,false)</f>
        <v>#N/A</v>
      </c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>
      <c r="A256" s="31" t="s">
        <v>2241</v>
      </c>
      <c r="B256" s="31" t="s">
        <v>2027</v>
      </c>
      <c r="C256" s="31" t="s">
        <v>2301</v>
      </c>
      <c r="D256" s="31" t="s">
        <v>2304</v>
      </c>
      <c r="E256" s="31" t="s">
        <v>2030</v>
      </c>
      <c r="F256" s="31" t="s">
        <v>2213</v>
      </c>
      <c r="G256" s="31" t="str">
        <f>VLOOKUP(A256,'Active Employees'!$B$2:$B$498,1,false)</f>
        <v>#N/A</v>
      </c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>
      <c r="A257" s="31" t="s">
        <v>2241</v>
      </c>
      <c r="B257" s="31" t="s">
        <v>2027</v>
      </c>
      <c r="C257" s="31" t="s">
        <v>2305</v>
      </c>
      <c r="D257" s="31" t="s">
        <v>2306</v>
      </c>
      <c r="E257" s="31" t="s">
        <v>2030</v>
      </c>
      <c r="F257" s="31" t="s">
        <v>2213</v>
      </c>
      <c r="G257" s="31" t="str">
        <f>VLOOKUP(A257,'Active Employees'!$B$2:$B$498,1,false)</f>
        <v>#N/A</v>
      </c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>
      <c r="A258" s="31" t="s">
        <v>2241</v>
      </c>
      <c r="B258" s="31" t="s">
        <v>2027</v>
      </c>
      <c r="C258" s="31" t="s">
        <v>2248</v>
      </c>
      <c r="D258" s="31" t="s">
        <v>2307</v>
      </c>
      <c r="E258" s="31" t="s">
        <v>2030</v>
      </c>
      <c r="F258" s="31" t="s">
        <v>2213</v>
      </c>
      <c r="G258" s="31" t="str">
        <f>VLOOKUP(A258,'Active Employees'!$B$2:$B$498,1,false)</f>
        <v>#N/A</v>
      </c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>
      <c r="A259" s="31" t="s">
        <v>2241</v>
      </c>
      <c r="B259" s="31" t="s">
        <v>2027</v>
      </c>
      <c r="C259" s="31" t="s">
        <v>2308</v>
      </c>
      <c r="D259" s="31" t="s">
        <v>2309</v>
      </c>
      <c r="E259" s="31" t="s">
        <v>2030</v>
      </c>
      <c r="F259" s="31" t="s">
        <v>2213</v>
      </c>
      <c r="G259" s="31" t="str">
        <f>VLOOKUP(A259,'Active Employees'!$B$2:$B$498,1,false)</f>
        <v>#N/A</v>
      </c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>
      <c r="A260" s="31" t="s">
        <v>2241</v>
      </c>
      <c r="B260" s="31" t="s">
        <v>2027</v>
      </c>
      <c r="C260" s="31" t="s">
        <v>2308</v>
      </c>
      <c r="D260" s="31" t="s">
        <v>2310</v>
      </c>
      <c r="E260" s="31" t="s">
        <v>2030</v>
      </c>
      <c r="F260" s="31" t="s">
        <v>2213</v>
      </c>
      <c r="G260" s="31" t="str">
        <f>VLOOKUP(A260,'Active Employees'!$B$2:$B$498,1,false)</f>
        <v>#N/A</v>
      </c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>
      <c r="A261" s="31" t="s">
        <v>2241</v>
      </c>
      <c r="B261" s="31" t="s">
        <v>2027</v>
      </c>
      <c r="C261" s="31" t="s">
        <v>2308</v>
      </c>
      <c r="D261" s="31" t="s">
        <v>2311</v>
      </c>
      <c r="E261" s="31" t="s">
        <v>2030</v>
      </c>
      <c r="F261" s="31" t="s">
        <v>2213</v>
      </c>
      <c r="G261" s="31" t="str">
        <f>VLOOKUP(A261,'Active Employees'!$B$2:$B$498,1,false)</f>
        <v>#N/A</v>
      </c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>
      <c r="A262" s="31" t="s">
        <v>2241</v>
      </c>
      <c r="B262" s="31" t="s">
        <v>2027</v>
      </c>
      <c r="C262" s="31" t="s">
        <v>2308</v>
      </c>
      <c r="D262" s="31" t="s">
        <v>2312</v>
      </c>
      <c r="E262" s="31" t="s">
        <v>2030</v>
      </c>
      <c r="F262" s="31" t="s">
        <v>2213</v>
      </c>
      <c r="G262" s="31" t="str">
        <f>VLOOKUP(A262,'Active Employees'!$B$2:$B$498,1,false)</f>
        <v>#N/A</v>
      </c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>
      <c r="A263" s="31" t="s">
        <v>2241</v>
      </c>
      <c r="B263" s="31" t="s">
        <v>2027</v>
      </c>
      <c r="C263" s="31" t="s">
        <v>2248</v>
      </c>
      <c r="D263" s="31" t="s">
        <v>2313</v>
      </c>
      <c r="E263" s="31" t="s">
        <v>2030</v>
      </c>
      <c r="F263" s="31" t="s">
        <v>2213</v>
      </c>
      <c r="G263" s="31" t="str">
        <f>VLOOKUP(A263,'Active Employees'!$B$2:$B$498,1,false)</f>
        <v>#N/A</v>
      </c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>
      <c r="A264" s="31" t="s">
        <v>2241</v>
      </c>
      <c r="B264" s="31" t="s">
        <v>2027</v>
      </c>
      <c r="C264" s="31" t="s">
        <v>2308</v>
      </c>
      <c r="D264" s="31" t="s">
        <v>2314</v>
      </c>
      <c r="E264" s="31" t="s">
        <v>2030</v>
      </c>
      <c r="F264" s="31" t="s">
        <v>2213</v>
      </c>
      <c r="G264" s="31" t="str">
        <f>VLOOKUP(A264,'Active Employees'!$B$2:$B$498,1,false)</f>
        <v>#N/A</v>
      </c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>
      <c r="A265" s="31" t="s">
        <v>2241</v>
      </c>
      <c r="B265" s="31" t="s">
        <v>2027</v>
      </c>
      <c r="C265" s="31" t="s">
        <v>2315</v>
      </c>
      <c r="D265" s="31" t="s">
        <v>2316</v>
      </c>
      <c r="E265" s="31" t="s">
        <v>2030</v>
      </c>
      <c r="F265" s="31" t="s">
        <v>2213</v>
      </c>
      <c r="G265" s="31" t="str">
        <f>VLOOKUP(A265,'Active Employees'!$B$2:$B$498,1,false)</f>
        <v>#N/A</v>
      </c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>
      <c r="A266" s="31" t="s">
        <v>2241</v>
      </c>
      <c r="B266" s="31" t="s">
        <v>2027</v>
      </c>
      <c r="C266" s="31" t="s">
        <v>2317</v>
      </c>
      <c r="D266" s="31" t="s">
        <v>2318</v>
      </c>
      <c r="E266" s="31" t="s">
        <v>2030</v>
      </c>
      <c r="F266" s="31" t="s">
        <v>2213</v>
      </c>
      <c r="G266" s="31" t="str">
        <f>VLOOKUP(A266,'Active Employees'!$B$2:$B$498,1,false)</f>
        <v>#N/A</v>
      </c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>
      <c r="A267" s="31" t="s">
        <v>2241</v>
      </c>
      <c r="B267" s="31" t="s">
        <v>2027</v>
      </c>
      <c r="C267" s="31" t="s">
        <v>2319</v>
      </c>
      <c r="D267" s="31" t="s">
        <v>2320</v>
      </c>
      <c r="E267" s="31" t="s">
        <v>2030</v>
      </c>
      <c r="F267" s="31" t="s">
        <v>2213</v>
      </c>
      <c r="G267" s="31" t="str">
        <f>VLOOKUP(A267,'Active Employees'!$B$2:$B$498,1,false)</f>
        <v>#N/A</v>
      </c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>
      <c r="A268" s="31" t="s">
        <v>2241</v>
      </c>
      <c r="B268" s="31" t="s">
        <v>2027</v>
      </c>
      <c r="C268" s="31" t="s">
        <v>2321</v>
      </c>
      <c r="D268" s="31" t="s">
        <v>2322</v>
      </c>
      <c r="E268" s="31" t="s">
        <v>2030</v>
      </c>
      <c r="F268" s="31" t="s">
        <v>2213</v>
      </c>
      <c r="G268" s="31" t="str">
        <f>VLOOKUP(A268,'Active Employees'!$B$2:$B$498,1,false)</f>
        <v>#N/A</v>
      </c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>
      <c r="A269" s="31" t="s">
        <v>2241</v>
      </c>
      <c r="B269" s="31" t="s">
        <v>2027</v>
      </c>
      <c r="C269" s="31" t="s">
        <v>2323</v>
      </c>
      <c r="D269" s="31" t="s">
        <v>2324</v>
      </c>
      <c r="E269" s="31" t="s">
        <v>2030</v>
      </c>
      <c r="F269" s="31" t="s">
        <v>2213</v>
      </c>
      <c r="G269" s="31" t="str">
        <f>VLOOKUP(A269,'Active Employees'!$B$2:$B$498,1,false)</f>
        <v>#N/A</v>
      </c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>
      <c r="A270" s="31" t="s">
        <v>2241</v>
      </c>
      <c r="B270" s="31" t="s">
        <v>2027</v>
      </c>
      <c r="C270" s="31" t="s">
        <v>2323</v>
      </c>
      <c r="D270" s="31" t="s">
        <v>2325</v>
      </c>
      <c r="E270" s="31" t="s">
        <v>2030</v>
      </c>
      <c r="F270" s="31" t="s">
        <v>2213</v>
      </c>
      <c r="G270" s="31" t="str">
        <f>VLOOKUP(A270,'Active Employees'!$B$2:$B$498,1,false)</f>
        <v>#N/A</v>
      </c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>
      <c r="A271" s="31" t="s">
        <v>2241</v>
      </c>
      <c r="B271" s="31" t="s">
        <v>2027</v>
      </c>
      <c r="C271" s="31" t="s">
        <v>2323</v>
      </c>
      <c r="D271" s="31" t="s">
        <v>2326</v>
      </c>
      <c r="E271" s="31" t="s">
        <v>2030</v>
      </c>
      <c r="F271" s="31" t="s">
        <v>2213</v>
      </c>
      <c r="G271" s="31" t="str">
        <f>VLOOKUP(A271,'Active Employees'!$B$2:$B$498,1,false)</f>
        <v>#N/A</v>
      </c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>
      <c r="A272" s="31" t="s">
        <v>2241</v>
      </c>
      <c r="B272" s="31" t="s">
        <v>2027</v>
      </c>
      <c r="C272" s="31" t="s">
        <v>2323</v>
      </c>
      <c r="D272" s="31" t="s">
        <v>2327</v>
      </c>
      <c r="E272" s="31" t="s">
        <v>2030</v>
      </c>
      <c r="F272" s="31" t="s">
        <v>2213</v>
      </c>
      <c r="G272" s="31" t="str">
        <f>VLOOKUP(A272,'Active Employees'!$B$2:$B$498,1,false)</f>
        <v>#N/A</v>
      </c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>
      <c r="A273" s="31" t="s">
        <v>2241</v>
      </c>
      <c r="B273" s="31" t="s">
        <v>2027</v>
      </c>
      <c r="C273" s="31" t="s">
        <v>2328</v>
      </c>
      <c r="D273" s="31" t="s">
        <v>2329</v>
      </c>
      <c r="E273" s="31" t="s">
        <v>2030</v>
      </c>
      <c r="F273" s="31" t="s">
        <v>2213</v>
      </c>
      <c r="G273" s="31" t="str">
        <f>VLOOKUP(A273,'Active Employees'!$B$2:$B$498,1,false)</f>
        <v>#N/A</v>
      </c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>
      <c r="A274" s="31" t="s">
        <v>2241</v>
      </c>
      <c r="B274" s="31" t="s">
        <v>2027</v>
      </c>
      <c r="C274" s="31" t="s">
        <v>2330</v>
      </c>
      <c r="D274" s="31" t="s">
        <v>2331</v>
      </c>
      <c r="E274" s="31" t="s">
        <v>2030</v>
      </c>
      <c r="F274" s="31" t="s">
        <v>2213</v>
      </c>
      <c r="G274" s="31" t="str">
        <f>VLOOKUP(A274,'Active Employees'!$B$2:$B$498,1,false)</f>
        <v>#N/A</v>
      </c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>
      <c r="A275" s="31" t="s">
        <v>2241</v>
      </c>
      <c r="B275" s="31" t="s">
        <v>2027</v>
      </c>
      <c r="C275" s="31" t="s">
        <v>2248</v>
      </c>
      <c r="D275" s="31" t="s">
        <v>2332</v>
      </c>
      <c r="E275" s="31" t="s">
        <v>2030</v>
      </c>
      <c r="F275" s="31" t="s">
        <v>2213</v>
      </c>
      <c r="G275" s="31" t="str">
        <f>VLOOKUP(A275,'Active Employees'!$B$2:$B$498,1,false)</f>
        <v>#N/A</v>
      </c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>
      <c r="A276" s="31" t="s">
        <v>2241</v>
      </c>
      <c r="B276" s="31" t="s">
        <v>2027</v>
      </c>
      <c r="C276" s="31" t="s">
        <v>2330</v>
      </c>
      <c r="D276" s="31" t="s">
        <v>2333</v>
      </c>
      <c r="E276" s="31" t="s">
        <v>2030</v>
      </c>
      <c r="F276" s="31" t="s">
        <v>2213</v>
      </c>
      <c r="G276" s="31" t="str">
        <f>VLOOKUP(A276,'Active Employees'!$B$2:$B$498,1,false)</f>
        <v>#N/A</v>
      </c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>
      <c r="A277" s="31" t="s">
        <v>2241</v>
      </c>
      <c r="B277" s="31" t="s">
        <v>2027</v>
      </c>
      <c r="C277" s="31" t="s">
        <v>2334</v>
      </c>
      <c r="D277" s="31" t="s">
        <v>2335</v>
      </c>
      <c r="E277" s="31" t="s">
        <v>2030</v>
      </c>
      <c r="F277" s="31" t="s">
        <v>2213</v>
      </c>
      <c r="G277" s="31" t="str">
        <f>VLOOKUP(A277,'Active Employees'!$B$2:$B$498,1,false)</f>
        <v>#N/A</v>
      </c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>
      <c r="A278" s="31" t="s">
        <v>2241</v>
      </c>
      <c r="B278" s="31" t="s">
        <v>2027</v>
      </c>
      <c r="C278" s="31" t="s">
        <v>2334</v>
      </c>
      <c r="D278" s="31" t="s">
        <v>2336</v>
      </c>
      <c r="E278" s="31" t="s">
        <v>2030</v>
      </c>
      <c r="F278" s="31" t="s">
        <v>2213</v>
      </c>
      <c r="G278" s="31" t="str">
        <f>VLOOKUP(A278,'Active Employees'!$B$2:$B$498,1,false)</f>
        <v>#N/A</v>
      </c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>
      <c r="A279" s="31" t="s">
        <v>2241</v>
      </c>
      <c r="B279" s="31" t="s">
        <v>2027</v>
      </c>
      <c r="C279" s="31" t="s">
        <v>2334</v>
      </c>
      <c r="D279" s="31" t="s">
        <v>2337</v>
      </c>
      <c r="E279" s="31" t="s">
        <v>2030</v>
      </c>
      <c r="F279" s="31" t="s">
        <v>2213</v>
      </c>
      <c r="G279" s="31" t="str">
        <f>VLOOKUP(A279,'Active Employees'!$B$2:$B$498,1,false)</f>
        <v>#N/A</v>
      </c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>
      <c r="A280" s="31" t="s">
        <v>2241</v>
      </c>
      <c r="B280" s="31" t="s">
        <v>2027</v>
      </c>
      <c r="C280" s="31" t="s">
        <v>2248</v>
      </c>
      <c r="D280" s="31" t="s">
        <v>2338</v>
      </c>
      <c r="E280" s="31" t="s">
        <v>2030</v>
      </c>
      <c r="F280" s="31" t="s">
        <v>2213</v>
      </c>
      <c r="G280" s="31" t="str">
        <f>VLOOKUP(A280,'Active Employees'!$B$2:$B$498,1,false)</f>
        <v>#N/A</v>
      </c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>
      <c r="A281" s="31" t="s">
        <v>2241</v>
      </c>
      <c r="B281" s="31" t="s">
        <v>2027</v>
      </c>
      <c r="C281" s="31" t="s">
        <v>2248</v>
      </c>
      <c r="D281" s="31" t="s">
        <v>2339</v>
      </c>
      <c r="E281" s="31" t="s">
        <v>2030</v>
      </c>
      <c r="F281" s="31" t="s">
        <v>2213</v>
      </c>
      <c r="G281" s="31" t="str">
        <f>VLOOKUP(A281,'Active Employees'!$B$2:$B$498,1,false)</f>
        <v>#N/A</v>
      </c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>
      <c r="A282" s="31" t="s">
        <v>2241</v>
      </c>
      <c r="B282" s="31" t="s">
        <v>2027</v>
      </c>
      <c r="C282" s="31" t="s">
        <v>2248</v>
      </c>
      <c r="D282" s="31" t="s">
        <v>2340</v>
      </c>
      <c r="E282" s="31" t="s">
        <v>2030</v>
      </c>
      <c r="F282" s="31" t="s">
        <v>2213</v>
      </c>
      <c r="G282" s="31" t="str">
        <f>VLOOKUP(A282,'Active Employees'!$B$2:$B$498,1,false)</f>
        <v>#N/A</v>
      </c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>
      <c r="A283" s="31" t="s">
        <v>2241</v>
      </c>
      <c r="B283" s="31" t="s">
        <v>2027</v>
      </c>
      <c r="C283" s="31" t="s">
        <v>2248</v>
      </c>
      <c r="D283" s="31" t="s">
        <v>2341</v>
      </c>
      <c r="E283" s="31" t="s">
        <v>2030</v>
      </c>
      <c r="F283" s="31" t="s">
        <v>2213</v>
      </c>
      <c r="G283" s="31" t="str">
        <f>VLOOKUP(A283,'Active Employees'!$B$2:$B$498,1,false)</f>
        <v>#N/A</v>
      </c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>
      <c r="A284" s="31" t="s">
        <v>2241</v>
      </c>
      <c r="B284" s="31" t="s">
        <v>2027</v>
      </c>
      <c r="C284" s="31" t="s">
        <v>2248</v>
      </c>
      <c r="D284" s="31" t="s">
        <v>2342</v>
      </c>
      <c r="E284" s="31" t="s">
        <v>2030</v>
      </c>
      <c r="F284" s="31" t="s">
        <v>2213</v>
      </c>
      <c r="G284" s="31" t="str">
        <f>VLOOKUP(A284,'Active Employees'!$B$2:$B$498,1,false)</f>
        <v>#N/A</v>
      </c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>
      <c r="A285" s="31" t="s">
        <v>2241</v>
      </c>
      <c r="B285" s="31" t="s">
        <v>2027</v>
      </c>
      <c r="C285" s="31" t="s">
        <v>2248</v>
      </c>
      <c r="D285" s="31" t="s">
        <v>2343</v>
      </c>
      <c r="E285" s="31" t="s">
        <v>2030</v>
      </c>
      <c r="F285" s="31" t="s">
        <v>2213</v>
      </c>
      <c r="G285" s="31" t="str">
        <f>VLOOKUP(A285,'Active Employees'!$B$2:$B$498,1,false)</f>
        <v>#N/A</v>
      </c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>
      <c r="A286" s="31" t="s">
        <v>2241</v>
      </c>
      <c r="B286" s="31" t="s">
        <v>2027</v>
      </c>
      <c r="C286" s="31" t="s">
        <v>2248</v>
      </c>
      <c r="D286" s="31" t="s">
        <v>2344</v>
      </c>
      <c r="E286" s="31" t="s">
        <v>2030</v>
      </c>
      <c r="F286" s="31" t="s">
        <v>2213</v>
      </c>
      <c r="G286" s="31" t="str">
        <f>VLOOKUP(A286,'Active Employees'!$B$2:$B$498,1,false)</f>
        <v>#N/A</v>
      </c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>
      <c r="A287" s="31" t="s">
        <v>2241</v>
      </c>
      <c r="B287" s="31" t="s">
        <v>2027</v>
      </c>
      <c r="C287" s="31" t="s">
        <v>2248</v>
      </c>
      <c r="D287" s="31" t="s">
        <v>2345</v>
      </c>
      <c r="E287" s="31" t="s">
        <v>2030</v>
      </c>
      <c r="F287" s="31" t="s">
        <v>2213</v>
      </c>
      <c r="G287" s="31" t="str">
        <f>VLOOKUP(A287,'Active Employees'!$B$2:$B$498,1,false)</f>
        <v>#N/A</v>
      </c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>
      <c r="A288" s="31" t="s">
        <v>2241</v>
      </c>
      <c r="B288" s="31" t="s">
        <v>2027</v>
      </c>
      <c r="C288" s="31" t="s">
        <v>2248</v>
      </c>
      <c r="D288" s="31" t="s">
        <v>2346</v>
      </c>
      <c r="E288" s="31" t="s">
        <v>2030</v>
      </c>
      <c r="F288" s="31" t="s">
        <v>2213</v>
      </c>
      <c r="G288" s="31" t="str">
        <f>VLOOKUP(A288,'Active Employees'!$B$2:$B$498,1,false)</f>
        <v>#N/A</v>
      </c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>
      <c r="A289" s="31" t="s">
        <v>2241</v>
      </c>
      <c r="B289" s="31" t="s">
        <v>2027</v>
      </c>
      <c r="C289" s="31" t="s">
        <v>2248</v>
      </c>
      <c r="D289" s="31" t="s">
        <v>2347</v>
      </c>
      <c r="E289" s="31" t="s">
        <v>2030</v>
      </c>
      <c r="F289" s="31" t="s">
        <v>2213</v>
      </c>
      <c r="G289" s="31" t="str">
        <f>VLOOKUP(A289,'Active Employees'!$B$2:$B$498,1,false)</f>
        <v>#N/A</v>
      </c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>
      <c r="A290" s="31" t="s">
        <v>2241</v>
      </c>
      <c r="B290" s="31" t="s">
        <v>2027</v>
      </c>
      <c r="C290" s="31" t="s">
        <v>2248</v>
      </c>
      <c r="D290" s="31" t="s">
        <v>2348</v>
      </c>
      <c r="E290" s="31" t="s">
        <v>2030</v>
      </c>
      <c r="F290" s="31" t="s">
        <v>2213</v>
      </c>
      <c r="G290" s="31" t="str">
        <f>VLOOKUP(A290,'Active Employees'!$B$2:$B$498,1,false)</f>
        <v>#N/A</v>
      </c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>
      <c r="A291" s="31" t="s">
        <v>2241</v>
      </c>
      <c r="B291" s="31" t="s">
        <v>2027</v>
      </c>
      <c r="C291" s="31" t="s">
        <v>2248</v>
      </c>
      <c r="D291" s="31" t="s">
        <v>2349</v>
      </c>
      <c r="E291" s="31" t="s">
        <v>2030</v>
      </c>
      <c r="F291" s="31" t="s">
        <v>2213</v>
      </c>
      <c r="G291" s="31" t="str">
        <f>VLOOKUP(A291,'Active Employees'!$B$2:$B$498,1,false)</f>
        <v>#N/A</v>
      </c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>
      <c r="A292" s="31" t="s">
        <v>2241</v>
      </c>
      <c r="B292" s="31" t="s">
        <v>2027</v>
      </c>
      <c r="C292" s="31" t="s">
        <v>2248</v>
      </c>
      <c r="D292" s="31" t="s">
        <v>2350</v>
      </c>
      <c r="E292" s="31" t="s">
        <v>2030</v>
      </c>
      <c r="F292" s="31" t="s">
        <v>2213</v>
      </c>
      <c r="G292" s="31" t="str">
        <f>VLOOKUP(A292,'Active Employees'!$B$2:$B$498,1,false)</f>
        <v>#N/A</v>
      </c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>
      <c r="A293" s="31" t="s">
        <v>2241</v>
      </c>
      <c r="B293" s="31" t="s">
        <v>2027</v>
      </c>
      <c r="C293" s="31" t="s">
        <v>2248</v>
      </c>
      <c r="D293" s="31" t="s">
        <v>2351</v>
      </c>
      <c r="E293" s="31" t="s">
        <v>2030</v>
      </c>
      <c r="F293" s="31" t="s">
        <v>2213</v>
      </c>
      <c r="G293" s="31" t="str">
        <f>VLOOKUP(A293,'Active Employees'!$B$2:$B$498,1,false)</f>
        <v>#N/A</v>
      </c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>
      <c r="A294" s="31" t="s">
        <v>2241</v>
      </c>
      <c r="B294" s="31" t="s">
        <v>2027</v>
      </c>
      <c r="C294" s="31" t="s">
        <v>2352</v>
      </c>
      <c r="D294" s="31" t="s">
        <v>2353</v>
      </c>
      <c r="E294" s="31" t="s">
        <v>2030</v>
      </c>
      <c r="F294" s="31" t="s">
        <v>2213</v>
      </c>
      <c r="G294" s="31" t="str">
        <f>VLOOKUP(A294,'Active Employees'!$B$2:$B$498,1,false)</f>
        <v>#N/A</v>
      </c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>
      <c r="A295" s="31" t="s">
        <v>2241</v>
      </c>
      <c r="B295" s="31" t="s">
        <v>2027</v>
      </c>
      <c r="C295" s="31" t="s">
        <v>2248</v>
      </c>
      <c r="D295" s="31" t="s">
        <v>2354</v>
      </c>
      <c r="E295" s="31" t="s">
        <v>2030</v>
      </c>
      <c r="F295" s="31" t="s">
        <v>2213</v>
      </c>
      <c r="G295" s="31" t="str">
        <f>VLOOKUP(A295,'Active Employees'!$B$2:$B$498,1,false)</f>
        <v>#N/A</v>
      </c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>
      <c r="A296" s="31" t="s">
        <v>2241</v>
      </c>
      <c r="B296" s="31" t="s">
        <v>2027</v>
      </c>
      <c r="C296" s="31" t="s">
        <v>2248</v>
      </c>
      <c r="D296" s="31" t="s">
        <v>2355</v>
      </c>
      <c r="E296" s="31" t="s">
        <v>2030</v>
      </c>
      <c r="F296" s="31" t="s">
        <v>2213</v>
      </c>
      <c r="G296" s="31" t="str">
        <f>VLOOKUP(A296,'Active Employees'!$B$2:$B$498,1,false)</f>
        <v>#N/A</v>
      </c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>
      <c r="A297" s="31" t="s">
        <v>2241</v>
      </c>
      <c r="B297" s="31" t="s">
        <v>2027</v>
      </c>
      <c r="C297" s="31" t="s">
        <v>2315</v>
      </c>
      <c r="D297" s="31" t="s">
        <v>2356</v>
      </c>
      <c r="E297" s="31" t="s">
        <v>2030</v>
      </c>
      <c r="F297" s="31" t="s">
        <v>2213</v>
      </c>
      <c r="G297" s="31" t="str">
        <f>VLOOKUP(A297,'Active Employees'!$B$2:$B$498,1,false)</f>
        <v>#N/A</v>
      </c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>
      <c r="A298" s="31" t="s">
        <v>2241</v>
      </c>
      <c r="B298" s="31" t="s">
        <v>2027</v>
      </c>
      <c r="C298" s="31" t="s">
        <v>2293</v>
      </c>
      <c r="D298" s="31" t="s">
        <v>2357</v>
      </c>
      <c r="E298" s="31" t="s">
        <v>2030</v>
      </c>
      <c r="F298" s="31" t="s">
        <v>2213</v>
      </c>
      <c r="G298" s="31" t="str">
        <f>VLOOKUP(A298,'Active Employees'!$B$2:$B$498,1,false)</f>
        <v>#N/A</v>
      </c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>
      <c r="A299" s="31" t="s">
        <v>2241</v>
      </c>
      <c r="B299" s="31" t="s">
        <v>2027</v>
      </c>
      <c r="C299" s="31" t="s">
        <v>2358</v>
      </c>
      <c r="D299" s="31" t="s">
        <v>2359</v>
      </c>
      <c r="E299" s="31" t="s">
        <v>2030</v>
      </c>
      <c r="F299" s="31" t="s">
        <v>2213</v>
      </c>
      <c r="G299" s="31" t="str">
        <f>VLOOKUP(A299,'Active Employees'!$B$2:$B$498,1,false)</f>
        <v>#N/A</v>
      </c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>
      <c r="A300" s="31" t="s">
        <v>2241</v>
      </c>
      <c r="B300" s="31" t="s">
        <v>2027</v>
      </c>
      <c r="C300" s="31" t="s">
        <v>2248</v>
      </c>
      <c r="D300" s="31" t="s">
        <v>2360</v>
      </c>
      <c r="E300" s="31" t="s">
        <v>2030</v>
      </c>
      <c r="F300" s="31" t="s">
        <v>2213</v>
      </c>
      <c r="G300" s="31" t="str">
        <f>VLOOKUP(A300,'Active Employees'!$B$2:$B$498,1,false)</f>
        <v>#N/A</v>
      </c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>
      <c r="A301" s="31" t="s">
        <v>2241</v>
      </c>
      <c r="B301" s="31" t="s">
        <v>2027</v>
      </c>
      <c r="C301" s="31" t="s">
        <v>2248</v>
      </c>
      <c r="D301" s="31" t="s">
        <v>2361</v>
      </c>
      <c r="E301" s="31" t="s">
        <v>2030</v>
      </c>
      <c r="F301" s="31" t="s">
        <v>2213</v>
      </c>
      <c r="G301" s="31" t="str">
        <f>VLOOKUP(A301,'Active Employees'!$B$2:$B$498,1,false)</f>
        <v>#N/A</v>
      </c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>
      <c r="A302" s="31" t="s">
        <v>2241</v>
      </c>
      <c r="B302" s="31" t="s">
        <v>2027</v>
      </c>
      <c r="C302" s="31" t="s">
        <v>2248</v>
      </c>
      <c r="D302" s="31" t="s">
        <v>2362</v>
      </c>
      <c r="E302" s="31" t="s">
        <v>2030</v>
      </c>
      <c r="F302" s="31" t="s">
        <v>2213</v>
      </c>
      <c r="G302" s="31" t="str">
        <f>VLOOKUP(A302,'Active Employees'!$B$2:$B$498,1,false)</f>
        <v>#N/A</v>
      </c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>
      <c r="A303" s="31" t="s">
        <v>2241</v>
      </c>
      <c r="B303" s="31" t="s">
        <v>2027</v>
      </c>
      <c r="C303" s="31" t="s">
        <v>2363</v>
      </c>
      <c r="D303" s="31" t="s">
        <v>2364</v>
      </c>
      <c r="E303" s="31" t="s">
        <v>2030</v>
      </c>
      <c r="F303" s="31" t="s">
        <v>2213</v>
      </c>
      <c r="G303" s="31" t="str">
        <f>VLOOKUP(A303,'Active Employees'!$B$2:$B$498,1,false)</f>
        <v>#N/A</v>
      </c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>
      <c r="A304" s="31" t="s">
        <v>2241</v>
      </c>
      <c r="B304" s="31" t="s">
        <v>2027</v>
      </c>
      <c r="C304" s="31" t="s">
        <v>2365</v>
      </c>
      <c r="D304" s="31" t="s">
        <v>2366</v>
      </c>
      <c r="E304" s="31" t="s">
        <v>2030</v>
      </c>
      <c r="F304" s="31" t="s">
        <v>2213</v>
      </c>
      <c r="G304" s="31" t="str">
        <f>VLOOKUP(A304,'Active Employees'!$B$2:$B$498,1,false)</f>
        <v>#N/A</v>
      </c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>
      <c r="A305" s="31" t="s">
        <v>2241</v>
      </c>
      <c r="B305" s="31" t="s">
        <v>2027</v>
      </c>
      <c r="C305" s="31" t="s">
        <v>2248</v>
      </c>
      <c r="D305" s="31" t="s">
        <v>2367</v>
      </c>
      <c r="E305" s="31" t="s">
        <v>2030</v>
      </c>
      <c r="F305" s="31" t="s">
        <v>2213</v>
      </c>
      <c r="G305" s="31" t="str">
        <f>VLOOKUP(A305,'Active Employees'!$B$2:$B$498,1,false)</f>
        <v>#N/A</v>
      </c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>
      <c r="A306" s="31" t="s">
        <v>2241</v>
      </c>
      <c r="B306" s="31" t="s">
        <v>2027</v>
      </c>
      <c r="C306" s="31" t="s">
        <v>2248</v>
      </c>
      <c r="D306" s="31" t="s">
        <v>2368</v>
      </c>
      <c r="E306" s="31" t="s">
        <v>2030</v>
      </c>
      <c r="F306" s="31" t="s">
        <v>2213</v>
      </c>
      <c r="G306" s="31" t="str">
        <f>VLOOKUP(A306,'Active Employees'!$B$2:$B$498,1,false)</f>
        <v>#N/A</v>
      </c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>
      <c r="A307" s="31" t="s">
        <v>2241</v>
      </c>
      <c r="B307" s="31" t="s">
        <v>2027</v>
      </c>
      <c r="C307" s="31" t="s">
        <v>2248</v>
      </c>
      <c r="D307" s="31" t="s">
        <v>2369</v>
      </c>
      <c r="E307" s="31" t="s">
        <v>2030</v>
      </c>
      <c r="F307" s="31" t="s">
        <v>2213</v>
      </c>
      <c r="G307" s="31" t="str">
        <f>VLOOKUP(A307,'Active Employees'!$B$2:$B$498,1,false)</f>
        <v>#N/A</v>
      </c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>
      <c r="A308" s="31" t="s">
        <v>2241</v>
      </c>
      <c r="B308" s="31" t="s">
        <v>2027</v>
      </c>
      <c r="C308" s="31" t="s">
        <v>2248</v>
      </c>
      <c r="D308" s="31" t="s">
        <v>2370</v>
      </c>
      <c r="E308" s="31" t="s">
        <v>2030</v>
      </c>
      <c r="F308" s="31" t="s">
        <v>2213</v>
      </c>
      <c r="G308" s="31" t="str">
        <f>VLOOKUP(A308,'Active Employees'!$B$2:$B$498,1,false)</f>
        <v>#N/A</v>
      </c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>
      <c r="A309" s="31" t="s">
        <v>2241</v>
      </c>
      <c r="B309" s="31" t="s">
        <v>2027</v>
      </c>
      <c r="C309" s="31" t="s">
        <v>2248</v>
      </c>
      <c r="D309" s="31" t="s">
        <v>2371</v>
      </c>
      <c r="E309" s="31" t="s">
        <v>2030</v>
      </c>
      <c r="F309" s="31" t="s">
        <v>2213</v>
      </c>
      <c r="G309" s="31" t="str">
        <f>VLOOKUP(A309,'Active Employees'!$B$2:$B$498,1,false)</f>
        <v>#N/A</v>
      </c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>
      <c r="A310" s="31" t="s">
        <v>2241</v>
      </c>
      <c r="B310" s="31" t="s">
        <v>2027</v>
      </c>
      <c r="C310" s="31" t="s">
        <v>2248</v>
      </c>
      <c r="D310" s="31" t="s">
        <v>2372</v>
      </c>
      <c r="E310" s="31" t="s">
        <v>2030</v>
      </c>
      <c r="F310" s="31" t="s">
        <v>2213</v>
      </c>
      <c r="G310" s="31" t="str">
        <f>VLOOKUP(A310,'Active Employees'!$B$2:$B$498,1,false)</f>
        <v>#N/A</v>
      </c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>
      <c r="A311" s="31" t="s">
        <v>2241</v>
      </c>
      <c r="B311" s="31" t="s">
        <v>2027</v>
      </c>
      <c r="C311" s="31" t="s">
        <v>2373</v>
      </c>
      <c r="D311" s="31" t="s">
        <v>2374</v>
      </c>
      <c r="E311" s="31" t="s">
        <v>2030</v>
      </c>
      <c r="F311" s="31" t="s">
        <v>2213</v>
      </c>
      <c r="G311" s="31" t="str">
        <f>VLOOKUP(A311,'Active Employees'!$B$2:$B$498,1,false)</f>
        <v>#N/A</v>
      </c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>
      <c r="A312" s="31" t="s">
        <v>2241</v>
      </c>
      <c r="B312" s="31" t="s">
        <v>2027</v>
      </c>
      <c r="C312" s="31" t="s">
        <v>2248</v>
      </c>
      <c r="D312" s="31" t="s">
        <v>2375</v>
      </c>
      <c r="E312" s="31" t="s">
        <v>2030</v>
      </c>
      <c r="F312" s="31" t="s">
        <v>2213</v>
      </c>
      <c r="G312" s="31" t="str">
        <f>VLOOKUP(A312,'Active Employees'!$B$2:$B$498,1,false)</f>
        <v>#N/A</v>
      </c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>
      <c r="A313" s="31" t="s">
        <v>2241</v>
      </c>
      <c r="B313" s="31" t="s">
        <v>2027</v>
      </c>
      <c r="C313" s="31" t="s">
        <v>2248</v>
      </c>
      <c r="D313" s="31" t="s">
        <v>2376</v>
      </c>
      <c r="E313" s="31" t="s">
        <v>2030</v>
      </c>
      <c r="F313" s="31" t="s">
        <v>2213</v>
      </c>
      <c r="G313" s="31" t="str">
        <f>VLOOKUP(A313,'Active Employees'!$B$2:$B$498,1,false)</f>
        <v>#N/A</v>
      </c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>
      <c r="A314" s="31" t="s">
        <v>2241</v>
      </c>
      <c r="B314" s="31" t="s">
        <v>2027</v>
      </c>
      <c r="C314" s="31" t="s">
        <v>2248</v>
      </c>
      <c r="D314" s="31" t="s">
        <v>2377</v>
      </c>
      <c r="E314" s="31" t="s">
        <v>2030</v>
      </c>
      <c r="F314" s="31" t="s">
        <v>2213</v>
      </c>
      <c r="G314" s="31" t="str">
        <f>VLOOKUP(A314,'Active Employees'!$B$2:$B$498,1,false)</f>
        <v>#N/A</v>
      </c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>
      <c r="A315" s="31" t="s">
        <v>2241</v>
      </c>
      <c r="B315" s="31" t="s">
        <v>2027</v>
      </c>
      <c r="C315" s="31" t="s">
        <v>2248</v>
      </c>
      <c r="D315" s="31" t="s">
        <v>2378</v>
      </c>
      <c r="E315" s="31" t="s">
        <v>2030</v>
      </c>
      <c r="F315" s="31" t="s">
        <v>2213</v>
      </c>
      <c r="G315" s="31" t="str">
        <f>VLOOKUP(A315,'Active Employees'!$B$2:$B$498,1,false)</f>
        <v>#N/A</v>
      </c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>
      <c r="A316" s="31" t="s">
        <v>2241</v>
      </c>
      <c r="B316" s="31" t="s">
        <v>2027</v>
      </c>
      <c r="C316" s="31" t="s">
        <v>2379</v>
      </c>
      <c r="D316" s="31" t="s">
        <v>2380</v>
      </c>
      <c r="E316" s="31" t="s">
        <v>2030</v>
      </c>
      <c r="F316" s="31" t="s">
        <v>2213</v>
      </c>
      <c r="G316" s="31" t="str">
        <f>VLOOKUP(A316,'Active Employees'!$B$2:$B$498,1,false)</f>
        <v>#N/A</v>
      </c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>
      <c r="A317" s="31" t="s">
        <v>2241</v>
      </c>
      <c r="B317" s="31" t="s">
        <v>2027</v>
      </c>
      <c r="C317" s="31" t="s">
        <v>2248</v>
      </c>
      <c r="D317" s="31" t="s">
        <v>2381</v>
      </c>
      <c r="E317" s="31" t="s">
        <v>2030</v>
      </c>
      <c r="F317" s="31" t="s">
        <v>2213</v>
      </c>
      <c r="G317" s="31" t="str">
        <f>VLOOKUP(A317,'Active Employees'!$B$2:$B$498,1,false)</f>
        <v>#N/A</v>
      </c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>
      <c r="A318" s="31" t="s">
        <v>2241</v>
      </c>
      <c r="B318" s="31" t="s">
        <v>2027</v>
      </c>
      <c r="C318" s="31" t="s">
        <v>2248</v>
      </c>
      <c r="D318" s="31" t="s">
        <v>2382</v>
      </c>
      <c r="E318" s="31" t="s">
        <v>2030</v>
      </c>
      <c r="F318" s="31" t="s">
        <v>2213</v>
      </c>
      <c r="G318" s="31" t="str">
        <f>VLOOKUP(A318,'Active Employees'!$B$2:$B$498,1,false)</f>
        <v>#N/A</v>
      </c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>
      <c r="A319" s="31" t="s">
        <v>2241</v>
      </c>
      <c r="B319" s="31" t="s">
        <v>2027</v>
      </c>
      <c r="C319" s="31" t="s">
        <v>2248</v>
      </c>
      <c r="D319" s="31" t="s">
        <v>2383</v>
      </c>
      <c r="E319" s="31" t="s">
        <v>2030</v>
      </c>
      <c r="F319" s="31" t="s">
        <v>2213</v>
      </c>
      <c r="G319" s="31" t="str">
        <f>VLOOKUP(A319,'Active Employees'!$B$2:$B$498,1,false)</f>
        <v>#N/A</v>
      </c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>
      <c r="A320" s="31" t="s">
        <v>2241</v>
      </c>
      <c r="B320" s="31" t="s">
        <v>2027</v>
      </c>
      <c r="C320" s="31" t="s">
        <v>2248</v>
      </c>
      <c r="D320" s="31" t="s">
        <v>2384</v>
      </c>
      <c r="E320" s="31" t="s">
        <v>2030</v>
      </c>
      <c r="F320" s="31" t="s">
        <v>2213</v>
      </c>
      <c r="G320" s="31" t="str">
        <f>VLOOKUP(A320,'Active Employees'!$B$2:$B$498,1,false)</f>
        <v>#N/A</v>
      </c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>
      <c r="A321" s="31" t="s">
        <v>2241</v>
      </c>
      <c r="B321" s="31" t="s">
        <v>2027</v>
      </c>
      <c r="C321" s="31" t="s">
        <v>2248</v>
      </c>
      <c r="D321" s="31" t="s">
        <v>2385</v>
      </c>
      <c r="E321" s="31" t="s">
        <v>2030</v>
      </c>
      <c r="F321" s="31" t="s">
        <v>2213</v>
      </c>
      <c r="G321" s="31" t="str">
        <f>VLOOKUP(A321,'Active Employees'!$B$2:$B$498,1,false)</f>
        <v>#N/A</v>
      </c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>
      <c r="A322" s="31" t="s">
        <v>2241</v>
      </c>
      <c r="B322" s="31" t="s">
        <v>2027</v>
      </c>
      <c r="C322" s="31" t="s">
        <v>2248</v>
      </c>
      <c r="D322" s="31" t="s">
        <v>2386</v>
      </c>
      <c r="E322" s="31" t="s">
        <v>2030</v>
      </c>
      <c r="F322" s="31" t="s">
        <v>2213</v>
      </c>
      <c r="G322" s="31" t="str">
        <f>VLOOKUP(A322,'Active Employees'!$B$2:$B$498,1,false)</f>
        <v>#N/A</v>
      </c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>
      <c r="A323" s="31" t="s">
        <v>2241</v>
      </c>
      <c r="B323" s="31" t="s">
        <v>2027</v>
      </c>
      <c r="C323" s="31" t="s">
        <v>2387</v>
      </c>
      <c r="D323" s="31" t="s">
        <v>2388</v>
      </c>
      <c r="E323" s="31" t="s">
        <v>2030</v>
      </c>
      <c r="F323" s="31" t="s">
        <v>2213</v>
      </c>
      <c r="G323" s="31" t="str">
        <f>VLOOKUP(A323,'Active Employees'!$B$2:$B$498,1,false)</f>
        <v>#N/A</v>
      </c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>
      <c r="A324" s="31" t="s">
        <v>2241</v>
      </c>
      <c r="B324" s="31" t="s">
        <v>2027</v>
      </c>
      <c r="C324" s="31" t="s">
        <v>2248</v>
      </c>
      <c r="D324" s="31" t="s">
        <v>2389</v>
      </c>
      <c r="E324" s="31" t="s">
        <v>2030</v>
      </c>
      <c r="F324" s="31" t="s">
        <v>2213</v>
      </c>
      <c r="G324" s="31" t="str">
        <f>VLOOKUP(A324,'Active Employees'!$B$2:$B$498,1,false)</f>
        <v>#N/A</v>
      </c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>
      <c r="A325" s="31" t="s">
        <v>2241</v>
      </c>
      <c r="B325" s="31" t="s">
        <v>2027</v>
      </c>
      <c r="C325" s="31" t="s">
        <v>2258</v>
      </c>
      <c r="D325" s="31" t="s">
        <v>2390</v>
      </c>
      <c r="E325" s="31" t="s">
        <v>2030</v>
      </c>
      <c r="F325" s="31" t="s">
        <v>2213</v>
      </c>
      <c r="G325" s="31" t="str">
        <f>VLOOKUP(A325,'Active Employees'!$B$2:$B$498,1,false)</f>
        <v>#N/A</v>
      </c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>
      <c r="A326" s="31" t="s">
        <v>2241</v>
      </c>
      <c r="B326" s="31" t="s">
        <v>2027</v>
      </c>
      <c r="C326" s="31" t="s">
        <v>2248</v>
      </c>
      <c r="D326" s="31" t="s">
        <v>2391</v>
      </c>
      <c r="E326" s="31" t="s">
        <v>2030</v>
      </c>
      <c r="F326" s="31" t="s">
        <v>2213</v>
      </c>
      <c r="G326" s="31" t="str">
        <f>VLOOKUP(A326,'Active Employees'!$B$2:$B$498,1,false)</f>
        <v>#N/A</v>
      </c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>
      <c r="A327" s="31" t="s">
        <v>2241</v>
      </c>
      <c r="B327" s="31" t="s">
        <v>2027</v>
      </c>
      <c r="C327" s="31" t="s">
        <v>2392</v>
      </c>
      <c r="D327" s="31" t="s">
        <v>2393</v>
      </c>
      <c r="E327" s="31" t="s">
        <v>2030</v>
      </c>
      <c r="F327" s="31" t="s">
        <v>2213</v>
      </c>
      <c r="G327" s="31" t="str">
        <f>VLOOKUP(A327,'Active Employees'!$B$2:$B$498,1,false)</f>
        <v>#N/A</v>
      </c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>
      <c r="A328" s="31" t="s">
        <v>2241</v>
      </c>
      <c r="B328" s="31" t="s">
        <v>2027</v>
      </c>
      <c r="C328" s="31" t="s">
        <v>2248</v>
      </c>
      <c r="D328" s="31" t="s">
        <v>2394</v>
      </c>
      <c r="E328" s="31" t="s">
        <v>2030</v>
      </c>
      <c r="F328" s="31" t="s">
        <v>2213</v>
      </c>
      <c r="G328" s="31" t="str">
        <f>VLOOKUP(A328,'Active Employees'!$B$2:$B$498,1,false)</f>
        <v>#N/A</v>
      </c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>
      <c r="A329" s="31" t="s">
        <v>2241</v>
      </c>
      <c r="B329" s="31" t="s">
        <v>2027</v>
      </c>
      <c r="C329" s="31" t="s">
        <v>2395</v>
      </c>
      <c r="D329" s="31" t="s">
        <v>2396</v>
      </c>
      <c r="E329" s="31" t="s">
        <v>2030</v>
      </c>
      <c r="F329" s="31" t="s">
        <v>2213</v>
      </c>
      <c r="G329" s="31" t="str">
        <f>VLOOKUP(A329,'Active Employees'!$B$2:$B$498,1,false)</f>
        <v>#N/A</v>
      </c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>
      <c r="A330" s="31" t="s">
        <v>2241</v>
      </c>
      <c r="B330" s="31" t="s">
        <v>2027</v>
      </c>
      <c r="C330" s="31" t="s">
        <v>2392</v>
      </c>
      <c r="D330" s="31" t="s">
        <v>2397</v>
      </c>
      <c r="E330" s="31" t="s">
        <v>2030</v>
      </c>
      <c r="F330" s="31" t="s">
        <v>2213</v>
      </c>
      <c r="G330" s="31" t="str">
        <f>VLOOKUP(A330,'Active Employees'!$B$2:$B$498,1,false)</f>
        <v>#N/A</v>
      </c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>
      <c r="A331" s="31" t="s">
        <v>2241</v>
      </c>
      <c r="B331" s="31" t="s">
        <v>2027</v>
      </c>
      <c r="C331" s="31" t="s">
        <v>2398</v>
      </c>
      <c r="D331" s="31" t="s">
        <v>2399</v>
      </c>
      <c r="E331" s="31" t="s">
        <v>2030</v>
      </c>
      <c r="F331" s="31" t="s">
        <v>2213</v>
      </c>
      <c r="G331" s="31" t="str">
        <f>VLOOKUP(A331,'Active Employees'!$B$2:$B$498,1,false)</f>
        <v>#N/A</v>
      </c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>
      <c r="A332" s="31" t="s">
        <v>2241</v>
      </c>
      <c r="B332" s="31" t="s">
        <v>2027</v>
      </c>
      <c r="C332" s="31" t="s">
        <v>2398</v>
      </c>
      <c r="D332" s="31" t="s">
        <v>2400</v>
      </c>
      <c r="E332" s="31" t="s">
        <v>2030</v>
      </c>
      <c r="F332" s="31" t="s">
        <v>2213</v>
      </c>
      <c r="G332" s="31" t="str">
        <f>VLOOKUP(A332,'Active Employees'!$B$2:$B$498,1,false)</f>
        <v>#N/A</v>
      </c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>
      <c r="A333" s="31" t="s">
        <v>2241</v>
      </c>
      <c r="B333" s="31" t="s">
        <v>2027</v>
      </c>
      <c r="C333" s="31" t="s">
        <v>2392</v>
      </c>
      <c r="D333" s="31" t="s">
        <v>2401</v>
      </c>
      <c r="E333" s="31" t="s">
        <v>2030</v>
      </c>
      <c r="F333" s="31" t="s">
        <v>2213</v>
      </c>
      <c r="G333" s="31" t="str">
        <f>VLOOKUP(A333,'Active Employees'!$B$2:$B$498,1,false)</f>
        <v>#N/A</v>
      </c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>
      <c r="A334" s="31" t="s">
        <v>2241</v>
      </c>
      <c r="B334" s="31" t="s">
        <v>2027</v>
      </c>
      <c r="C334" s="31" t="s">
        <v>2402</v>
      </c>
      <c r="D334" s="31" t="s">
        <v>2403</v>
      </c>
      <c r="E334" s="31" t="s">
        <v>2030</v>
      </c>
      <c r="F334" s="31" t="s">
        <v>2213</v>
      </c>
      <c r="G334" s="31" t="str">
        <f>VLOOKUP(A334,'Active Employees'!$B$2:$B$498,1,false)</f>
        <v>#N/A</v>
      </c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>
      <c r="A335" s="31" t="s">
        <v>2241</v>
      </c>
      <c r="B335" s="31" t="s">
        <v>2027</v>
      </c>
      <c r="C335" s="31" t="s">
        <v>2248</v>
      </c>
      <c r="D335" s="31" t="s">
        <v>2404</v>
      </c>
      <c r="E335" s="31" t="s">
        <v>2030</v>
      </c>
      <c r="F335" s="31" t="s">
        <v>2213</v>
      </c>
      <c r="G335" s="31" t="str">
        <f>VLOOKUP(A335,'Active Employees'!$B$2:$B$498,1,false)</f>
        <v>#N/A</v>
      </c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>
      <c r="A336" s="31" t="s">
        <v>2241</v>
      </c>
      <c r="B336" s="31" t="s">
        <v>2027</v>
      </c>
      <c r="C336" s="31" t="s">
        <v>2248</v>
      </c>
      <c r="D336" s="31" t="s">
        <v>2405</v>
      </c>
      <c r="E336" s="31" t="s">
        <v>2030</v>
      </c>
      <c r="F336" s="31" t="s">
        <v>2213</v>
      </c>
      <c r="G336" s="31" t="str">
        <f>VLOOKUP(A336,'Active Employees'!$B$2:$B$498,1,false)</f>
        <v>#N/A</v>
      </c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>
      <c r="A337" s="31" t="s">
        <v>2241</v>
      </c>
      <c r="B337" s="31" t="s">
        <v>2027</v>
      </c>
      <c r="C337" s="31" t="s">
        <v>2248</v>
      </c>
      <c r="D337" s="31" t="s">
        <v>2406</v>
      </c>
      <c r="E337" s="31" t="s">
        <v>2030</v>
      </c>
      <c r="F337" s="31" t="s">
        <v>2213</v>
      </c>
      <c r="G337" s="31" t="str">
        <f>VLOOKUP(A337,'Active Employees'!$B$2:$B$498,1,false)</f>
        <v>#N/A</v>
      </c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>
      <c r="A338" s="31" t="s">
        <v>2241</v>
      </c>
      <c r="B338" s="31" t="s">
        <v>2027</v>
      </c>
      <c r="C338" s="31" t="s">
        <v>2407</v>
      </c>
      <c r="D338" s="31" t="s">
        <v>2408</v>
      </c>
      <c r="E338" s="31" t="s">
        <v>2030</v>
      </c>
      <c r="F338" s="31" t="s">
        <v>2213</v>
      </c>
      <c r="G338" s="31" t="str">
        <f>VLOOKUP(A338,'Active Employees'!$B$2:$B$498,1,false)</f>
        <v>#N/A</v>
      </c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>
      <c r="A339" s="31" t="s">
        <v>2241</v>
      </c>
      <c r="B339" s="31" t="s">
        <v>2027</v>
      </c>
      <c r="C339" s="31" t="s">
        <v>2248</v>
      </c>
      <c r="D339" s="31" t="s">
        <v>2409</v>
      </c>
      <c r="E339" s="31" t="s">
        <v>2030</v>
      </c>
      <c r="F339" s="31" t="s">
        <v>2213</v>
      </c>
      <c r="G339" s="31" t="str">
        <f>VLOOKUP(A339,'Active Employees'!$B$2:$B$498,1,false)</f>
        <v>#N/A</v>
      </c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>
      <c r="A340" s="31" t="s">
        <v>2241</v>
      </c>
      <c r="B340" s="31" t="s">
        <v>2027</v>
      </c>
      <c r="C340" s="31" t="s">
        <v>2248</v>
      </c>
      <c r="D340" s="31" t="s">
        <v>2410</v>
      </c>
      <c r="E340" s="31" t="s">
        <v>2030</v>
      </c>
      <c r="F340" s="31" t="s">
        <v>2213</v>
      </c>
      <c r="G340" s="31" t="str">
        <f>VLOOKUP(A340,'Active Employees'!$B$2:$B$498,1,false)</f>
        <v>#N/A</v>
      </c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>
      <c r="A341" s="31" t="s">
        <v>2241</v>
      </c>
      <c r="B341" s="31" t="s">
        <v>2027</v>
      </c>
      <c r="C341" s="31" t="s">
        <v>2411</v>
      </c>
      <c r="D341" s="31" t="s">
        <v>2412</v>
      </c>
      <c r="E341" s="31" t="s">
        <v>2030</v>
      </c>
      <c r="F341" s="31" t="s">
        <v>2213</v>
      </c>
      <c r="G341" s="31" t="str">
        <f>VLOOKUP(A341,'Active Employees'!$B$2:$B$498,1,false)</f>
        <v>#N/A</v>
      </c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>
      <c r="A342" s="31" t="s">
        <v>2241</v>
      </c>
      <c r="B342" s="31" t="s">
        <v>2027</v>
      </c>
      <c r="C342" s="31" t="s">
        <v>2411</v>
      </c>
      <c r="D342" s="31" t="s">
        <v>2413</v>
      </c>
      <c r="E342" s="31" t="s">
        <v>2030</v>
      </c>
      <c r="F342" s="31" t="s">
        <v>2213</v>
      </c>
      <c r="G342" s="31" t="str">
        <f>VLOOKUP(A342,'Active Employees'!$B$2:$B$498,1,false)</f>
        <v>#N/A</v>
      </c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>
      <c r="A343" s="31" t="s">
        <v>2241</v>
      </c>
      <c r="B343" s="31" t="s">
        <v>2027</v>
      </c>
      <c r="C343" s="31" t="s">
        <v>2414</v>
      </c>
      <c r="D343" s="31" t="s">
        <v>2415</v>
      </c>
      <c r="E343" s="31" t="s">
        <v>2030</v>
      </c>
      <c r="F343" s="31" t="s">
        <v>2213</v>
      </c>
      <c r="G343" s="31" t="str">
        <f>VLOOKUP(A343,'Active Employees'!$B$2:$B$498,1,false)</f>
        <v>#N/A</v>
      </c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>
      <c r="A344" s="31" t="s">
        <v>2241</v>
      </c>
      <c r="B344" s="31" t="s">
        <v>2027</v>
      </c>
      <c r="C344" s="31" t="s">
        <v>2248</v>
      </c>
      <c r="D344" s="31" t="s">
        <v>2416</v>
      </c>
      <c r="E344" s="31" t="s">
        <v>2030</v>
      </c>
      <c r="F344" s="31" t="s">
        <v>2213</v>
      </c>
      <c r="G344" s="31" t="str">
        <f>VLOOKUP(A344,'Active Employees'!$B$2:$B$498,1,false)</f>
        <v>#N/A</v>
      </c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>
      <c r="A345" s="31" t="s">
        <v>2241</v>
      </c>
      <c r="B345" s="31" t="s">
        <v>2027</v>
      </c>
      <c r="C345" s="31" t="s">
        <v>2248</v>
      </c>
      <c r="D345" s="31" t="s">
        <v>2417</v>
      </c>
      <c r="E345" s="31" t="s">
        <v>2030</v>
      </c>
      <c r="F345" s="31" t="s">
        <v>2213</v>
      </c>
      <c r="G345" s="31" t="str">
        <f>VLOOKUP(A345,'Active Employees'!$B$2:$B$498,1,false)</f>
        <v>#N/A</v>
      </c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>
      <c r="A346" s="31" t="s">
        <v>2241</v>
      </c>
      <c r="B346" s="31" t="s">
        <v>2027</v>
      </c>
      <c r="C346" s="31" t="s">
        <v>2248</v>
      </c>
      <c r="D346" s="31" t="s">
        <v>2418</v>
      </c>
      <c r="E346" s="31" t="s">
        <v>2030</v>
      </c>
      <c r="F346" s="31" t="s">
        <v>2213</v>
      </c>
      <c r="G346" s="31" t="str">
        <f>VLOOKUP(A346,'Active Employees'!$B$2:$B$498,1,false)</f>
        <v>#N/A</v>
      </c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>
      <c r="A347" s="31" t="s">
        <v>2241</v>
      </c>
      <c r="B347" s="31" t="s">
        <v>2027</v>
      </c>
      <c r="C347" s="31" t="s">
        <v>2248</v>
      </c>
      <c r="D347" s="31" t="s">
        <v>2419</v>
      </c>
      <c r="E347" s="31" t="s">
        <v>2030</v>
      </c>
      <c r="F347" s="31" t="s">
        <v>2213</v>
      </c>
      <c r="G347" s="31" t="str">
        <f>VLOOKUP(A347,'Active Employees'!$B$2:$B$498,1,false)</f>
        <v>#N/A</v>
      </c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>
      <c r="A348" s="31" t="s">
        <v>2241</v>
      </c>
      <c r="B348" s="31" t="s">
        <v>2027</v>
      </c>
      <c r="C348" s="31" t="s">
        <v>2420</v>
      </c>
      <c r="D348" s="31" t="s">
        <v>2421</v>
      </c>
      <c r="E348" s="31" t="s">
        <v>2030</v>
      </c>
      <c r="F348" s="31" t="s">
        <v>2213</v>
      </c>
      <c r="G348" s="31" t="str">
        <f>VLOOKUP(A348,'Active Employees'!$B$2:$B$498,1,false)</f>
        <v>#N/A</v>
      </c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>
      <c r="A349" s="31" t="s">
        <v>2241</v>
      </c>
      <c r="B349" s="31" t="s">
        <v>2027</v>
      </c>
      <c r="C349" s="31" t="s">
        <v>2422</v>
      </c>
      <c r="D349" s="31" t="s">
        <v>2423</v>
      </c>
      <c r="E349" s="31" t="s">
        <v>2030</v>
      </c>
      <c r="F349" s="31" t="s">
        <v>2213</v>
      </c>
      <c r="G349" s="31" t="str">
        <f>VLOOKUP(A349,'Active Employees'!$B$2:$B$498,1,false)</f>
        <v>#N/A</v>
      </c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>
      <c r="A350" s="31" t="s">
        <v>2241</v>
      </c>
      <c r="B350" s="31" t="s">
        <v>2027</v>
      </c>
      <c r="C350" s="31" t="s">
        <v>2424</v>
      </c>
      <c r="D350" s="31" t="s">
        <v>2425</v>
      </c>
      <c r="E350" s="31" t="s">
        <v>2030</v>
      </c>
      <c r="F350" s="31" t="s">
        <v>2213</v>
      </c>
      <c r="G350" s="31" t="str">
        <f>VLOOKUP(A350,'Active Employees'!$B$2:$B$498,1,false)</f>
        <v>#N/A</v>
      </c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>
      <c r="A351" s="31" t="s">
        <v>2241</v>
      </c>
      <c r="B351" s="31" t="s">
        <v>2027</v>
      </c>
      <c r="C351" s="31" t="s">
        <v>2426</v>
      </c>
      <c r="D351" s="31" t="s">
        <v>2427</v>
      </c>
      <c r="E351" s="31" t="s">
        <v>2030</v>
      </c>
      <c r="F351" s="31" t="s">
        <v>2213</v>
      </c>
      <c r="G351" s="31" t="str">
        <f>VLOOKUP(A351,'Active Employees'!$B$2:$B$498,1,false)</f>
        <v>#N/A</v>
      </c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>
      <c r="A352" s="31" t="s">
        <v>2241</v>
      </c>
      <c r="B352" s="31" t="s">
        <v>2027</v>
      </c>
      <c r="C352" s="31" t="s">
        <v>2428</v>
      </c>
      <c r="D352" s="31" t="s">
        <v>2429</v>
      </c>
      <c r="E352" s="31" t="s">
        <v>2030</v>
      </c>
      <c r="F352" s="31" t="s">
        <v>2213</v>
      </c>
      <c r="G352" s="31" t="str">
        <f>VLOOKUP(A352,'Active Employees'!$B$2:$B$498,1,false)</f>
        <v>#N/A</v>
      </c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>
      <c r="A353" s="31" t="s">
        <v>2241</v>
      </c>
      <c r="B353" s="31" t="s">
        <v>2027</v>
      </c>
      <c r="C353" s="31" t="s">
        <v>2315</v>
      </c>
      <c r="D353" s="31" t="s">
        <v>2430</v>
      </c>
      <c r="E353" s="31" t="s">
        <v>2030</v>
      </c>
      <c r="F353" s="31" t="s">
        <v>2213</v>
      </c>
      <c r="G353" s="31" t="str">
        <f>VLOOKUP(A353,'Active Employees'!$B$2:$B$498,1,false)</f>
        <v>#N/A</v>
      </c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>
      <c r="A354" s="31" t="s">
        <v>2241</v>
      </c>
      <c r="B354" s="31" t="s">
        <v>2027</v>
      </c>
      <c r="C354" s="31" t="s">
        <v>2431</v>
      </c>
      <c r="D354" s="31" t="s">
        <v>2432</v>
      </c>
      <c r="E354" s="31" t="s">
        <v>2030</v>
      </c>
      <c r="F354" s="31" t="s">
        <v>2213</v>
      </c>
      <c r="G354" s="31" t="str">
        <f>VLOOKUP(A354,'Active Employees'!$B$2:$B$498,1,false)</f>
        <v>#N/A</v>
      </c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>
      <c r="A355" s="31" t="s">
        <v>2241</v>
      </c>
      <c r="B355" s="31" t="s">
        <v>2027</v>
      </c>
      <c r="C355" s="31" t="s">
        <v>2431</v>
      </c>
      <c r="D355" s="31" t="s">
        <v>2433</v>
      </c>
      <c r="E355" s="31" t="s">
        <v>2030</v>
      </c>
      <c r="F355" s="31" t="s">
        <v>2213</v>
      </c>
      <c r="G355" s="31" t="str">
        <f>VLOOKUP(A355,'Active Employees'!$B$2:$B$498,1,false)</f>
        <v>#N/A</v>
      </c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>
      <c r="A356" s="31" t="s">
        <v>2241</v>
      </c>
      <c r="B356" s="31" t="s">
        <v>2027</v>
      </c>
      <c r="C356" s="31" t="s">
        <v>2434</v>
      </c>
      <c r="D356" s="31" t="s">
        <v>2435</v>
      </c>
      <c r="E356" s="31" t="s">
        <v>2030</v>
      </c>
      <c r="F356" s="31" t="s">
        <v>2213</v>
      </c>
      <c r="G356" s="31" t="str">
        <f>VLOOKUP(A356,'Active Employees'!$B$2:$B$498,1,false)</f>
        <v>#N/A</v>
      </c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>
      <c r="A357" s="31" t="s">
        <v>2241</v>
      </c>
      <c r="B357" s="31" t="s">
        <v>2027</v>
      </c>
      <c r="C357" s="31" t="s">
        <v>2248</v>
      </c>
      <c r="D357" s="31" t="s">
        <v>2436</v>
      </c>
      <c r="E357" s="31" t="s">
        <v>2030</v>
      </c>
      <c r="F357" s="31" t="s">
        <v>2213</v>
      </c>
      <c r="G357" s="31" t="str">
        <f>VLOOKUP(A357,'Active Employees'!$B$2:$B$498,1,false)</f>
        <v>#N/A</v>
      </c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>
      <c r="A358" s="31" t="s">
        <v>2241</v>
      </c>
      <c r="B358" s="31" t="s">
        <v>2027</v>
      </c>
      <c r="C358" s="31" t="s">
        <v>2437</v>
      </c>
      <c r="D358" s="31" t="s">
        <v>2438</v>
      </c>
      <c r="E358" s="31" t="s">
        <v>2030</v>
      </c>
      <c r="F358" s="31" t="s">
        <v>2213</v>
      </c>
      <c r="G358" s="31" t="str">
        <f>VLOOKUP(A358,'Active Employees'!$B$2:$B$498,1,false)</f>
        <v>#N/A</v>
      </c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>
      <c r="A359" s="31" t="s">
        <v>2241</v>
      </c>
      <c r="B359" s="31" t="s">
        <v>2027</v>
      </c>
      <c r="C359" s="31" t="s">
        <v>2437</v>
      </c>
      <c r="D359" s="31" t="s">
        <v>2439</v>
      </c>
      <c r="E359" s="31" t="s">
        <v>2030</v>
      </c>
      <c r="F359" s="31" t="s">
        <v>2213</v>
      </c>
      <c r="G359" s="31" t="str">
        <f>VLOOKUP(A359,'Active Employees'!$B$2:$B$498,1,false)</f>
        <v>#N/A</v>
      </c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>
      <c r="A360" s="31" t="s">
        <v>2241</v>
      </c>
      <c r="B360" s="31" t="s">
        <v>2027</v>
      </c>
      <c r="C360" s="31" t="s">
        <v>2440</v>
      </c>
      <c r="D360" s="31" t="s">
        <v>2441</v>
      </c>
      <c r="E360" s="31" t="s">
        <v>2030</v>
      </c>
      <c r="F360" s="31" t="s">
        <v>2213</v>
      </c>
      <c r="G360" s="31" t="str">
        <f>VLOOKUP(A360,'Active Employees'!$B$2:$B$498,1,false)</f>
        <v>#N/A</v>
      </c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>
      <c r="A361" s="31" t="s">
        <v>2241</v>
      </c>
      <c r="B361" s="31" t="s">
        <v>2027</v>
      </c>
      <c r="C361" s="31" t="s">
        <v>2442</v>
      </c>
      <c r="D361" s="31" t="s">
        <v>2443</v>
      </c>
      <c r="E361" s="31" t="s">
        <v>2030</v>
      </c>
      <c r="F361" s="31" t="s">
        <v>2213</v>
      </c>
      <c r="G361" s="31" t="str">
        <f>VLOOKUP(A361,'Active Employees'!$B$2:$B$498,1,false)</f>
        <v>#N/A</v>
      </c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>
      <c r="A362" s="31" t="s">
        <v>2241</v>
      </c>
      <c r="B362" s="31" t="s">
        <v>2027</v>
      </c>
      <c r="C362" s="31" t="s">
        <v>2248</v>
      </c>
      <c r="D362" s="31" t="s">
        <v>2444</v>
      </c>
      <c r="E362" s="31" t="s">
        <v>2030</v>
      </c>
      <c r="F362" s="31" t="s">
        <v>2213</v>
      </c>
      <c r="G362" s="31" t="str">
        <f>VLOOKUP(A362,'Active Employees'!$B$2:$B$498,1,false)</f>
        <v>#N/A</v>
      </c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>
      <c r="A363" s="31" t="s">
        <v>2241</v>
      </c>
      <c r="B363" s="31" t="s">
        <v>2027</v>
      </c>
      <c r="C363" s="31" t="s">
        <v>2248</v>
      </c>
      <c r="D363" s="31" t="s">
        <v>2445</v>
      </c>
      <c r="E363" s="31" t="s">
        <v>2030</v>
      </c>
      <c r="F363" s="31" t="s">
        <v>2213</v>
      </c>
      <c r="G363" s="31" t="str">
        <f>VLOOKUP(A363,'Active Employees'!$B$2:$B$498,1,false)</f>
        <v>#N/A</v>
      </c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>
      <c r="A364" s="31" t="s">
        <v>2241</v>
      </c>
      <c r="B364" s="31" t="s">
        <v>2027</v>
      </c>
      <c r="C364" s="31" t="s">
        <v>2248</v>
      </c>
      <c r="D364" s="31" t="s">
        <v>2446</v>
      </c>
      <c r="E364" s="31" t="s">
        <v>2030</v>
      </c>
      <c r="F364" s="31" t="s">
        <v>2213</v>
      </c>
      <c r="G364" s="31" t="str">
        <f>VLOOKUP(A364,'Active Employees'!$B$2:$B$498,1,false)</f>
        <v>#N/A</v>
      </c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>
      <c r="A365" s="31" t="s">
        <v>2241</v>
      </c>
      <c r="B365" s="31" t="s">
        <v>2027</v>
      </c>
      <c r="C365" s="31" t="s">
        <v>2248</v>
      </c>
      <c r="D365" s="31" t="s">
        <v>2447</v>
      </c>
      <c r="E365" s="31" t="s">
        <v>2030</v>
      </c>
      <c r="F365" s="31" t="s">
        <v>2213</v>
      </c>
      <c r="G365" s="31" t="str">
        <f>VLOOKUP(A365,'Active Employees'!$B$2:$B$498,1,false)</f>
        <v>#N/A</v>
      </c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>
      <c r="A366" s="31" t="s">
        <v>2241</v>
      </c>
      <c r="B366" s="31" t="s">
        <v>2027</v>
      </c>
      <c r="C366" s="31" t="s">
        <v>2402</v>
      </c>
      <c r="D366" s="31" t="s">
        <v>2448</v>
      </c>
      <c r="E366" s="31" t="s">
        <v>2030</v>
      </c>
      <c r="F366" s="31" t="s">
        <v>2213</v>
      </c>
      <c r="G366" s="31" t="str">
        <f>VLOOKUP(A366,'Active Employees'!$B$2:$B$498,1,false)</f>
        <v>#N/A</v>
      </c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>
      <c r="A367" s="31" t="s">
        <v>2241</v>
      </c>
      <c r="B367" s="31" t="s">
        <v>2027</v>
      </c>
      <c r="C367" s="31" t="s">
        <v>2449</v>
      </c>
      <c r="D367" s="31" t="s">
        <v>2450</v>
      </c>
      <c r="E367" s="31" t="s">
        <v>2030</v>
      </c>
      <c r="F367" s="31" t="s">
        <v>2213</v>
      </c>
      <c r="G367" s="31" t="str">
        <f>VLOOKUP(A367,'Active Employees'!$B$2:$B$498,1,false)</f>
        <v>#N/A</v>
      </c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>
      <c r="A368" s="31" t="s">
        <v>2241</v>
      </c>
      <c r="B368" s="31" t="s">
        <v>2027</v>
      </c>
      <c r="C368" s="31" t="s">
        <v>2248</v>
      </c>
      <c r="D368" s="31" t="s">
        <v>2451</v>
      </c>
      <c r="E368" s="31" t="s">
        <v>2030</v>
      </c>
      <c r="F368" s="31" t="s">
        <v>2213</v>
      </c>
      <c r="G368" s="31" t="str">
        <f>VLOOKUP(A368,'Active Employees'!$B$2:$B$498,1,false)</f>
        <v>#N/A</v>
      </c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>
      <c r="A369" s="31" t="s">
        <v>2241</v>
      </c>
      <c r="B369" s="31" t="s">
        <v>2027</v>
      </c>
      <c r="C369" s="31" t="s">
        <v>2452</v>
      </c>
      <c r="D369" s="31" t="s">
        <v>2453</v>
      </c>
      <c r="E369" s="31" t="s">
        <v>2030</v>
      </c>
      <c r="F369" s="31" t="s">
        <v>2213</v>
      </c>
      <c r="G369" s="31" t="str">
        <f>VLOOKUP(A369,'Active Employees'!$B$2:$B$498,1,false)</f>
        <v>#N/A</v>
      </c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>
      <c r="A370" s="31" t="s">
        <v>2241</v>
      </c>
      <c r="B370" s="31" t="s">
        <v>2027</v>
      </c>
      <c r="C370" s="31" t="s">
        <v>2248</v>
      </c>
      <c r="D370" s="31" t="s">
        <v>2454</v>
      </c>
      <c r="E370" s="31" t="s">
        <v>2030</v>
      </c>
      <c r="F370" s="31" t="s">
        <v>2213</v>
      </c>
      <c r="G370" s="31" t="str">
        <f>VLOOKUP(A370,'Active Employees'!$B$2:$B$498,1,false)</f>
        <v>#N/A</v>
      </c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>
      <c r="A371" s="31" t="s">
        <v>2241</v>
      </c>
      <c r="B371" s="31" t="s">
        <v>2027</v>
      </c>
      <c r="C371" s="31" t="s">
        <v>2248</v>
      </c>
      <c r="D371" s="31" t="s">
        <v>2455</v>
      </c>
      <c r="E371" s="31" t="s">
        <v>2030</v>
      </c>
      <c r="F371" s="31" t="s">
        <v>2213</v>
      </c>
      <c r="G371" s="31" t="str">
        <f>VLOOKUP(A371,'Active Employees'!$B$2:$B$498,1,false)</f>
        <v>#N/A</v>
      </c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>
      <c r="A372" s="31" t="s">
        <v>2241</v>
      </c>
      <c r="B372" s="31" t="s">
        <v>2027</v>
      </c>
      <c r="C372" s="31" t="s">
        <v>2248</v>
      </c>
      <c r="D372" s="31" t="s">
        <v>2456</v>
      </c>
      <c r="E372" s="31" t="s">
        <v>2030</v>
      </c>
      <c r="F372" s="31" t="s">
        <v>2213</v>
      </c>
      <c r="G372" s="31" t="str">
        <f>VLOOKUP(A372,'Active Employees'!$B$2:$B$498,1,false)</f>
        <v>#N/A</v>
      </c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>
      <c r="A373" s="31" t="s">
        <v>2241</v>
      </c>
      <c r="B373" s="31" t="s">
        <v>2027</v>
      </c>
      <c r="C373" s="31" t="s">
        <v>2248</v>
      </c>
      <c r="D373" s="31" t="s">
        <v>2457</v>
      </c>
      <c r="E373" s="31" t="s">
        <v>2030</v>
      </c>
      <c r="F373" s="31" t="s">
        <v>2213</v>
      </c>
      <c r="G373" s="31" t="str">
        <f>VLOOKUP(A373,'Active Employees'!$B$2:$B$498,1,false)</f>
        <v>#N/A</v>
      </c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>
      <c r="A374" s="31" t="s">
        <v>2241</v>
      </c>
      <c r="B374" s="31" t="s">
        <v>2027</v>
      </c>
      <c r="C374" s="31" t="s">
        <v>2248</v>
      </c>
      <c r="D374" s="31" t="s">
        <v>2458</v>
      </c>
      <c r="E374" s="31" t="s">
        <v>2030</v>
      </c>
      <c r="F374" s="31" t="s">
        <v>2213</v>
      </c>
      <c r="G374" s="31" t="str">
        <f>VLOOKUP(A374,'Active Employees'!$B$2:$B$498,1,false)</f>
        <v>#N/A</v>
      </c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>
      <c r="A375" s="31" t="s">
        <v>2241</v>
      </c>
      <c r="B375" s="31" t="s">
        <v>2027</v>
      </c>
      <c r="C375" s="31"/>
      <c r="D375" s="31" t="s">
        <v>2459</v>
      </c>
      <c r="E375" s="31" t="s">
        <v>2030</v>
      </c>
      <c r="F375" s="31" t="s">
        <v>2213</v>
      </c>
      <c r="G375" s="31" t="str">
        <f>VLOOKUP(A375,'Active Employees'!$B$2:$B$498,1,false)</f>
        <v>#N/A</v>
      </c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>
      <c r="A376" s="31" t="s">
        <v>2241</v>
      </c>
      <c r="B376" s="31" t="s">
        <v>2027</v>
      </c>
      <c r="C376" s="31" t="s">
        <v>2460</v>
      </c>
      <c r="D376" s="31" t="s">
        <v>2461</v>
      </c>
      <c r="E376" s="31" t="s">
        <v>2030</v>
      </c>
      <c r="F376" s="31" t="s">
        <v>2213</v>
      </c>
      <c r="G376" s="31" t="str">
        <f>VLOOKUP(A376,'Active Employees'!$B$2:$B$498,1,false)</f>
        <v>#N/A</v>
      </c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>
      <c r="A377" s="31" t="s">
        <v>2241</v>
      </c>
      <c r="B377" s="31" t="s">
        <v>2027</v>
      </c>
      <c r="C377" s="31"/>
      <c r="D377" s="31" t="s">
        <v>2462</v>
      </c>
      <c r="E377" s="31" t="s">
        <v>2030</v>
      </c>
      <c r="F377" s="31" t="s">
        <v>2213</v>
      </c>
      <c r="G377" s="31" t="str">
        <f>VLOOKUP(A377,'Active Employees'!$B$2:$B$498,1,false)</f>
        <v>#N/A</v>
      </c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>
      <c r="A378" s="31" t="s">
        <v>2241</v>
      </c>
      <c r="B378" s="31" t="s">
        <v>2027</v>
      </c>
      <c r="C378" s="31" t="s">
        <v>2248</v>
      </c>
      <c r="D378" s="31" t="s">
        <v>2463</v>
      </c>
      <c r="E378" s="31" t="s">
        <v>2030</v>
      </c>
      <c r="F378" s="31" t="s">
        <v>2213</v>
      </c>
      <c r="G378" s="31" t="str">
        <f>VLOOKUP(A378,'Active Employees'!$B$2:$B$498,1,false)</f>
        <v>#N/A</v>
      </c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>
      <c r="A379" s="31" t="s">
        <v>2241</v>
      </c>
      <c r="B379" s="31" t="s">
        <v>2027</v>
      </c>
      <c r="C379" s="31" t="s">
        <v>2248</v>
      </c>
      <c r="D379" s="31" t="s">
        <v>2464</v>
      </c>
      <c r="E379" s="31" t="s">
        <v>2030</v>
      </c>
      <c r="F379" s="31" t="s">
        <v>2213</v>
      </c>
      <c r="G379" s="31" t="str">
        <f>VLOOKUP(A379,'Active Employees'!$B$2:$B$498,1,false)</f>
        <v>#N/A</v>
      </c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>
      <c r="A380" s="31" t="s">
        <v>2241</v>
      </c>
      <c r="B380" s="31" t="s">
        <v>2027</v>
      </c>
      <c r="C380" s="31" t="s">
        <v>2465</v>
      </c>
      <c r="D380" s="31" t="s">
        <v>2466</v>
      </c>
      <c r="E380" s="31" t="s">
        <v>2030</v>
      </c>
      <c r="F380" s="31" t="s">
        <v>2213</v>
      </c>
      <c r="G380" s="31" t="str">
        <f>VLOOKUP(A380,'Active Employees'!$B$2:$B$498,1,false)</f>
        <v>#N/A</v>
      </c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>
      <c r="A381" s="31" t="s">
        <v>2241</v>
      </c>
      <c r="B381" s="31" t="s">
        <v>2027</v>
      </c>
      <c r="C381" s="31" t="s">
        <v>2248</v>
      </c>
      <c r="D381" s="31" t="s">
        <v>2467</v>
      </c>
      <c r="E381" s="31" t="s">
        <v>2030</v>
      </c>
      <c r="F381" s="31" t="s">
        <v>2213</v>
      </c>
      <c r="G381" s="31" t="str">
        <f>VLOOKUP(A381,'Active Employees'!$B$2:$B$498,1,false)</f>
        <v>#N/A</v>
      </c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>
      <c r="A382" s="31" t="s">
        <v>2241</v>
      </c>
      <c r="B382" s="31" t="s">
        <v>2027</v>
      </c>
      <c r="C382" s="31" t="s">
        <v>2248</v>
      </c>
      <c r="D382" s="31" t="s">
        <v>2468</v>
      </c>
      <c r="E382" s="31" t="s">
        <v>2030</v>
      </c>
      <c r="F382" s="31" t="s">
        <v>2213</v>
      </c>
      <c r="G382" s="31" t="str">
        <f>VLOOKUP(A382,'Active Employees'!$B$2:$B$498,1,false)</f>
        <v>#N/A</v>
      </c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>
      <c r="A383" s="31" t="s">
        <v>2241</v>
      </c>
      <c r="B383" s="31" t="s">
        <v>2027</v>
      </c>
      <c r="C383" s="31" t="s">
        <v>2248</v>
      </c>
      <c r="D383" s="31" t="s">
        <v>2469</v>
      </c>
      <c r="E383" s="31" t="s">
        <v>2030</v>
      </c>
      <c r="F383" s="31" t="s">
        <v>2213</v>
      </c>
      <c r="G383" s="31" t="str">
        <f>VLOOKUP(A383,'Active Employees'!$B$2:$B$498,1,false)</f>
        <v>#N/A</v>
      </c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>
      <c r="A384" s="31" t="s">
        <v>2241</v>
      </c>
      <c r="B384" s="31" t="s">
        <v>2027</v>
      </c>
      <c r="C384" s="31" t="s">
        <v>2470</v>
      </c>
      <c r="D384" s="31" t="s">
        <v>2471</v>
      </c>
      <c r="E384" s="31" t="s">
        <v>2030</v>
      </c>
      <c r="F384" s="31" t="s">
        <v>2213</v>
      </c>
      <c r="G384" s="31" t="str">
        <f>VLOOKUP(A384,'Active Employees'!$B$2:$B$498,1,false)</f>
        <v>#N/A</v>
      </c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>
      <c r="A385" s="31" t="s">
        <v>2241</v>
      </c>
      <c r="B385" s="31" t="s">
        <v>2027</v>
      </c>
      <c r="C385" s="31" t="s">
        <v>2472</v>
      </c>
      <c r="D385" s="31" t="s">
        <v>2473</v>
      </c>
      <c r="E385" s="31" t="s">
        <v>2030</v>
      </c>
      <c r="F385" s="31" t="s">
        <v>2213</v>
      </c>
      <c r="G385" s="31" t="str">
        <f>VLOOKUP(A385,'Active Employees'!$B$2:$B$498,1,false)</f>
        <v>#N/A</v>
      </c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>
      <c r="A386" s="31" t="s">
        <v>2241</v>
      </c>
      <c r="B386" s="31" t="s">
        <v>2027</v>
      </c>
      <c r="C386" s="31" t="s">
        <v>2474</v>
      </c>
      <c r="D386" s="31" t="s">
        <v>2475</v>
      </c>
      <c r="E386" s="31" t="s">
        <v>2030</v>
      </c>
      <c r="F386" s="31" t="s">
        <v>2213</v>
      </c>
      <c r="G386" s="31" t="str">
        <f>VLOOKUP(A386,'Active Employees'!$B$2:$B$498,1,false)</f>
        <v>#N/A</v>
      </c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>
      <c r="A387" s="31" t="s">
        <v>2241</v>
      </c>
      <c r="B387" s="31" t="s">
        <v>2027</v>
      </c>
      <c r="C387" s="31" t="s">
        <v>2424</v>
      </c>
      <c r="D387" s="31" t="s">
        <v>2476</v>
      </c>
      <c r="E387" s="31" t="s">
        <v>2030</v>
      </c>
      <c r="F387" s="31" t="s">
        <v>2213</v>
      </c>
      <c r="G387" s="31" t="str">
        <f>VLOOKUP(A387,'Active Employees'!$B$2:$B$498,1,false)</f>
        <v>#N/A</v>
      </c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>
      <c r="A388" s="31" t="s">
        <v>2241</v>
      </c>
      <c r="B388" s="31" t="s">
        <v>2027</v>
      </c>
      <c r="C388" s="31" t="s">
        <v>2424</v>
      </c>
      <c r="D388" s="31" t="s">
        <v>2477</v>
      </c>
      <c r="E388" s="31" t="s">
        <v>2030</v>
      </c>
      <c r="F388" s="31" t="s">
        <v>2213</v>
      </c>
      <c r="G388" s="31" t="str">
        <f>VLOOKUP(A388,'Active Employees'!$B$2:$B$498,1,false)</f>
        <v>#N/A</v>
      </c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>
      <c r="A389" s="31" t="s">
        <v>2241</v>
      </c>
      <c r="B389" s="31" t="s">
        <v>2027</v>
      </c>
      <c r="C389" s="31" t="s">
        <v>2478</v>
      </c>
      <c r="D389" s="31" t="s">
        <v>2479</v>
      </c>
      <c r="E389" s="31" t="s">
        <v>2030</v>
      </c>
      <c r="F389" s="31" t="s">
        <v>2213</v>
      </c>
      <c r="G389" s="31" t="str">
        <f>VLOOKUP(A389,'Active Employees'!$B$2:$B$498,1,false)</f>
        <v>#N/A</v>
      </c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>
      <c r="A390" s="31" t="s">
        <v>2241</v>
      </c>
      <c r="B390" s="31" t="s">
        <v>2027</v>
      </c>
      <c r="C390" s="31" t="s">
        <v>2480</v>
      </c>
      <c r="D390" s="31" t="s">
        <v>2481</v>
      </c>
      <c r="E390" s="31" t="s">
        <v>2030</v>
      </c>
      <c r="F390" s="31" t="s">
        <v>2213</v>
      </c>
      <c r="G390" s="31" t="str">
        <f>VLOOKUP(A390,'Active Employees'!$B$2:$B$498,1,false)</f>
        <v>#N/A</v>
      </c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>
      <c r="A391" s="31" t="s">
        <v>2241</v>
      </c>
      <c r="B391" s="31" t="s">
        <v>2027</v>
      </c>
      <c r="C391" s="31" t="s">
        <v>2248</v>
      </c>
      <c r="D391" s="31" t="s">
        <v>2482</v>
      </c>
      <c r="E391" s="31" t="s">
        <v>2030</v>
      </c>
      <c r="F391" s="31" t="s">
        <v>2213</v>
      </c>
      <c r="G391" s="31" t="str">
        <f>VLOOKUP(A391,'Active Employees'!$B$2:$B$498,1,false)</f>
        <v>#N/A</v>
      </c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>
      <c r="A392" s="31" t="s">
        <v>2241</v>
      </c>
      <c r="B392" s="31" t="s">
        <v>2027</v>
      </c>
      <c r="C392" s="31" t="s">
        <v>2248</v>
      </c>
      <c r="D392" s="31" t="s">
        <v>2483</v>
      </c>
      <c r="E392" s="31" t="s">
        <v>2030</v>
      </c>
      <c r="F392" s="31" t="s">
        <v>2213</v>
      </c>
      <c r="G392" s="31" t="str">
        <f>VLOOKUP(A392,'Active Employees'!$B$2:$B$498,1,false)</f>
        <v>#N/A</v>
      </c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>
      <c r="A393" s="31" t="s">
        <v>2241</v>
      </c>
      <c r="B393" s="31" t="s">
        <v>2027</v>
      </c>
      <c r="C393" s="31" t="s">
        <v>2248</v>
      </c>
      <c r="D393" s="31" t="s">
        <v>2484</v>
      </c>
      <c r="E393" s="31" t="s">
        <v>2030</v>
      </c>
      <c r="F393" s="31" t="s">
        <v>2213</v>
      </c>
      <c r="G393" s="31" t="str">
        <f>VLOOKUP(A393,'Active Employees'!$B$2:$B$498,1,false)</f>
        <v>#N/A</v>
      </c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>
      <c r="A394" s="31" t="s">
        <v>2241</v>
      </c>
      <c r="B394" s="31" t="s">
        <v>2027</v>
      </c>
      <c r="C394" s="31" t="s">
        <v>2248</v>
      </c>
      <c r="D394" s="31" t="s">
        <v>2485</v>
      </c>
      <c r="E394" s="31" t="s">
        <v>2030</v>
      </c>
      <c r="F394" s="31" t="s">
        <v>2213</v>
      </c>
      <c r="G394" s="31" t="str">
        <f>VLOOKUP(A394,'Active Employees'!$B$2:$B$498,1,false)</f>
        <v>#N/A</v>
      </c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>
      <c r="A395" s="31" t="s">
        <v>2241</v>
      </c>
      <c r="B395" s="31" t="s">
        <v>2027</v>
      </c>
      <c r="C395" s="31" t="s">
        <v>2248</v>
      </c>
      <c r="D395" s="31" t="s">
        <v>2486</v>
      </c>
      <c r="E395" s="31" t="s">
        <v>2030</v>
      </c>
      <c r="F395" s="31" t="s">
        <v>2213</v>
      </c>
      <c r="G395" s="31" t="str">
        <f>VLOOKUP(A395,'Active Employees'!$B$2:$B$498,1,false)</f>
        <v>#N/A</v>
      </c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>
      <c r="A396" s="31" t="s">
        <v>2241</v>
      </c>
      <c r="B396" s="31" t="s">
        <v>2027</v>
      </c>
      <c r="C396" s="31" t="s">
        <v>2301</v>
      </c>
      <c r="D396" s="31" t="s">
        <v>2487</v>
      </c>
      <c r="E396" s="31" t="s">
        <v>2030</v>
      </c>
      <c r="F396" s="31" t="s">
        <v>2213</v>
      </c>
      <c r="G396" s="31" t="str">
        <f>VLOOKUP(A396,'Active Employees'!$B$2:$B$498,1,false)</f>
        <v>#N/A</v>
      </c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>
      <c r="A397" s="31" t="s">
        <v>2241</v>
      </c>
      <c r="B397" s="31" t="s">
        <v>2027</v>
      </c>
      <c r="C397" s="31" t="s">
        <v>2248</v>
      </c>
      <c r="D397" s="31" t="s">
        <v>2488</v>
      </c>
      <c r="E397" s="31" t="s">
        <v>2030</v>
      </c>
      <c r="F397" s="31" t="s">
        <v>2213</v>
      </c>
      <c r="G397" s="31" t="str">
        <f>VLOOKUP(A397,'Active Employees'!$B$2:$B$498,1,false)</f>
        <v>#N/A</v>
      </c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>
      <c r="A398" s="31" t="s">
        <v>2241</v>
      </c>
      <c r="B398" s="31" t="s">
        <v>2027</v>
      </c>
      <c r="C398" s="31" t="s">
        <v>2489</v>
      </c>
      <c r="D398" s="31" t="s">
        <v>2490</v>
      </c>
      <c r="E398" s="31" t="s">
        <v>2030</v>
      </c>
      <c r="F398" s="31" t="s">
        <v>2213</v>
      </c>
      <c r="G398" s="31" t="str">
        <f>VLOOKUP(A398,'Active Employees'!$B$2:$B$498,1,false)</f>
        <v>#N/A</v>
      </c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>
      <c r="A399" s="31" t="s">
        <v>2241</v>
      </c>
      <c r="B399" s="31" t="s">
        <v>2027</v>
      </c>
      <c r="C399" s="31" t="s">
        <v>2491</v>
      </c>
      <c r="D399" s="31" t="s">
        <v>2492</v>
      </c>
      <c r="E399" s="31" t="s">
        <v>2030</v>
      </c>
      <c r="F399" s="31" t="s">
        <v>2213</v>
      </c>
      <c r="G399" s="31" t="str">
        <f>VLOOKUP(A399,'Active Employees'!$B$2:$B$498,1,false)</f>
        <v>#N/A</v>
      </c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>
      <c r="A400" s="31" t="s">
        <v>2241</v>
      </c>
      <c r="B400" s="31" t="s">
        <v>2027</v>
      </c>
      <c r="C400" s="31" t="s">
        <v>2248</v>
      </c>
      <c r="D400" s="31" t="s">
        <v>2493</v>
      </c>
      <c r="E400" s="31" t="s">
        <v>2030</v>
      </c>
      <c r="F400" s="31" t="s">
        <v>2213</v>
      </c>
      <c r="G400" s="31" t="str">
        <f>VLOOKUP(A400,'Active Employees'!$B$2:$B$498,1,false)</f>
        <v>#N/A</v>
      </c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>
      <c r="A401" s="31" t="s">
        <v>2241</v>
      </c>
      <c r="B401" s="31" t="s">
        <v>2027</v>
      </c>
      <c r="C401" s="31" t="s">
        <v>2248</v>
      </c>
      <c r="D401" s="31" t="s">
        <v>2494</v>
      </c>
      <c r="E401" s="31" t="s">
        <v>2030</v>
      </c>
      <c r="F401" s="31" t="s">
        <v>2213</v>
      </c>
      <c r="G401" s="31" t="str">
        <f>VLOOKUP(A401,'Active Employees'!$B$2:$B$498,1,false)</f>
        <v>#N/A</v>
      </c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>
      <c r="A402" s="31" t="s">
        <v>2241</v>
      </c>
      <c r="B402" s="31" t="s">
        <v>2027</v>
      </c>
      <c r="C402" s="31" t="s">
        <v>2495</v>
      </c>
      <c r="D402" s="31" t="s">
        <v>2496</v>
      </c>
      <c r="E402" s="31" t="s">
        <v>2030</v>
      </c>
      <c r="F402" s="31" t="s">
        <v>2213</v>
      </c>
      <c r="G402" s="31" t="str">
        <f>VLOOKUP(A402,'Active Employees'!$B$2:$B$498,1,false)</f>
        <v>#N/A</v>
      </c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>
      <c r="A403" s="31" t="s">
        <v>2241</v>
      </c>
      <c r="B403" s="31" t="s">
        <v>2027</v>
      </c>
      <c r="C403" s="31" t="s">
        <v>2497</v>
      </c>
      <c r="D403" s="31" t="s">
        <v>2498</v>
      </c>
      <c r="E403" s="31" t="s">
        <v>2030</v>
      </c>
      <c r="F403" s="31" t="s">
        <v>2213</v>
      </c>
      <c r="G403" s="31" t="str">
        <f>VLOOKUP(A403,'Active Employees'!$B$2:$B$498,1,false)</f>
        <v>#N/A</v>
      </c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>
      <c r="A404" s="31" t="s">
        <v>2241</v>
      </c>
      <c r="B404" s="31" t="s">
        <v>2027</v>
      </c>
      <c r="C404" s="31" t="s">
        <v>2248</v>
      </c>
      <c r="D404" s="31" t="s">
        <v>2499</v>
      </c>
      <c r="E404" s="31" t="s">
        <v>2030</v>
      </c>
      <c r="F404" s="31" t="s">
        <v>2213</v>
      </c>
      <c r="G404" s="31" t="str">
        <f>VLOOKUP(A404,'Active Employees'!$B$2:$B$498,1,false)</f>
        <v>#N/A</v>
      </c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>
      <c r="A405" s="31" t="s">
        <v>2241</v>
      </c>
      <c r="B405" s="31" t="s">
        <v>2027</v>
      </c>
      <c r="C405" s="31" t="s">
        <v>2248</v>
      </c>
      <c r="D405" s="31" t="s">
        <v>2500</v>
      </c>
      <c r="E405" s="31" t="s">
        <v>2030</v>
      </c>
      <c r="F405" s="31" t="s">
        <v>2213</v>
      </c>
      <c r="G405" s="31" t="str">
        <f>VLOOKUP(A405,'Active Employees'!$B$2:$B$498,1,false)</f>
        <v>#N/A</v>
      </c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>
      <c r="A406" s="31" t="s">
        <v>2241</v>
      </c>
      <c r="B406" s="31" t="s">
        <v>2027</v>
      </c>
      <c r="C406" s="31" t="s">
        <v>2501</v>
      </c>
      <c r="D406" s="31" t="s">
        <v>2502</v>
      </c>
      <c r="E406" s="31" t="s">
        <v>2030</v>
      </c>
      <c r="F406" s="31" t="s">
        <v>2213</v>
      </c>
      <c r="G406" s="31" t="str">
        <f>VLOOKUP(A406,'Active Employees'!$B$2:$B$498,1,false)</f>
        <v>#N/A</v>
      </c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>
      <c r="A407" s="31" t="s">
        <v>2241</v>
      </c>
      <c r="B407" s="31" t="s">
        <v>2027</v>
      </c>
      <c r="C407" s="31" t="s">
        <v>2497</v>
      </c>
      <c r="D407" s="31" t="s">
        <v>2503</v>
      </c>
      <c r="E407" s="31" t="s">
        <v>2030</v>
      </c>
      <c r="F407" s="31" t="s">
        <v>2213</v>
      </c>
      <c r="G407" s="31" t="str">
        <f>VLOOKUP(A407,'Active Employees'!$B$2:$B$498,1,false)</f>
        <v>#N/A</v>
      </c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>
      <c r="A408" s="31" t="s">
        <v>2241</v>
      </c>
      <c r="B408" s="31" t="s">
        <v>2027</v>
      </c>
      <c r="C408" s="31" t="s">
        <v>2248</v>
      </c>
      <c r="D408" s="31" t="s">
        <v>2504</v>
      </c>
      <c r="E408" s="31" t="s">
        <v>2030</v>
      </c>
      <c r="F408" s="31" t="s">
        <v>2213</v>
      </c>
      <c r="G408" s="31" t="str">
        <f>VLOOKUP(A408,'Active Employees'!$B$2:$B$498,1,false)</f>
        <v>#N/A</v>
      </c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>
      <c r="A409" s="31" t="s">
        <v>2241</v>
      </c>
      <c r="B409" s="31" t="s">
        <v>2027</v>
      </c>
      <c r="C409" s="31" t="s">
        <v>2505</v>
      </c>
      <c r="D409" s="31" t="s">
        <v>2506</v>
      </c>
      <c r="E409" s="31" t="s">
        <v>2030</v>
      </c>
      <c r="F409" s="31" t="s">
        <v>2213</v>
      </c>
      <c r="G409" s="31" t="str">
        <f>VLOOKUP(A409,'Active Employees'!$B$2:$B$498,1,false)</f>
        <v>#N/A</v>
      </c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>
      <c r="A410" s="31" t="s">
        <v>2241</v>
      </c>
      <c r="B410" s="31" t="s">
        <v>2027</v>
      </c>
      <c r="C410" s="31" t="s">
        <v>2248</v>
      </c>
      <c r="D410" s="31" t="s">
        <v>2507</v>
      </c>
      <c r="E410" s="31" t="s">
        <v>2030</v>
      </c>
      <c r="F410" s="31" t="s">
        <v>2213</v>
      </c>
      <c r="G410" s="31" t="str">
        <f>VLOOKUP(A410,'Active Employees'!$B$2:$B$498,1,false)</f>
        <v>#N/A</v>
      </c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>
      <c r="A411" s="31" t="s">
        <v>2241</v>
      </c>
      <c r="B411" s="31" t="s">
        <v>2027</v>
      </c>
      <c r="C411" s="31" t="s">
        <v>2248</v>
      </c>
      <c r="D411" s="31" t="s">
        <v>2508</v>
      </c>
      <c r="E411" s="31" t="s">
        <v>2030</v>
      </c>
      <c r="F411" s="31" t="s">
        <v>2213</v>
      </c>
      <c r="G411" s="31" t="str">
        <f>VLOOKUP(A411,'Active Employees'!$B$2:$B$498,1,false)</f>
        <v>#N/A</v>
      </c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>
      <c r="A412" s="31" t="s">
        <v>2241</v>
      </c>
      <c r="B412" s="31" t="s">
        <v>2027</v>
      </c>
      <c r="C412" s="31" t="s">
        <v>2248</v>
      </c>
      <c r="D412" s="31" t="s">
        <v>2509</v>
      </c>
      <c r="E412" s="31" t="s">
        <v>2030</v>
      </c>
      <c r="F412" s="31" t="s">
        <v>2213</v>
      </c>
      <c r="G412" s="31" t="str">
        <f>VLOOKUP(A412,'Active Employees'!$B$2:$B$498,1,false)</f>
        <v>#N/A</v>
      </c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>
      <c r="A413" s="31" t="s">
        <v>2241</v>
      </c>
      <c r="B413" s="31" t="s">
        <v>2027</v>
      </c>
      <c r="C413" s="31" t="s">
        <v>2248</v>
      </c>
      <c r="D413" s="31" t="s">
        <v>2510</v>
      </c>
      <c r="E413" s="31" t="s">
        <v>2030</v>
      </c>
      <c r="F413" s="31" t="s">
        <v>2213</v>
      </c>
      <c r="G413" s="31" t="str">
        <f>VLOOKUP(A413,'Active Employees'!$B$2:$B$498,1,false)</f>
        <v>#N/A</v>
      </c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>
      <c r="A414" s="31" t="s">
        <v>2241</v>
      </c>
      <c r="B414" s="31" t="s">
        <v>2027</v>
      </c>
      <c r="C414" s="31" t="s">
        <v>2248</v>
      </c>
      <c r="D414" s="31" t="s">
        <v>2511</v>
      </c>
      <c r="E414" s="31" t="s">
        <v>2030</v>
      </c>
      <c r="F414" s="31" t="s">
        <v>2213</v>
      </c>
      <c r="G414" s="31" t="str">
        <f>VLOOKUP(A414,'Active Employees'!$B$2:$B$498,1,false)</f>
        <v>#N/A</v>
      </c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>
      <c r="A415" s="31" t="s">
        <v>2241</v>
      </c>
      <c r="B415" s="31" t="s">
        <v>2027</v>
      </c>
      <c r="C415" s="31" t="s">
        <v>2248</v>
      </c>
      <c r="D415" s="31" t="s">
        <v>2512</v>
      </c>
      <c r="E415" s="31" t="s">
        <v>2030</v>
      </c>
      <c r="F415" s="31" t="s">
        <v>2213</v>
      </c>
      <c r="G415" s="31" t="str">
        <f>VLOOKUP(A415,'Active Employees'!$B$2:$B$498,1,false)</f>
        <v>#N/A</v>
      </c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>
      <c r="A416" s="31" t="s">
        <v>2241</v>
      </c>
      <c r="B416" s="31" t="s">
        <v>2027</v>
      </c>
      <c r="C416" s="31" t="s">
        <v>2248</v>
      </c>
      <c r="D416" s="31" t="s">
        <v>2513</v>
      </c>
      <c r="E416" s="31" t="s">
        <v>2030</v>
      </c>
      <c r="F416" s="31" t="s">
        <v>2213</v>
      </c>
      <c r="G416" s="31" t="str">
        <f>VLOOKUP(A416,'Active Employees'!$B$2:$B$498,1,false)</f>
        <v>#N/A</v>
      </c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>
      <c r="A417" s="31" t="s">
        <v>2241</v>
      </c>
      <c r="B417" s="31" t="s">
        <v>2027</v>
      </c>
      <c r="C417" s="31" t="s">
        <v>2248</v>
      </c>
      <c r="D417" s="31" t="s">
        <v>2514</v>
      </c>
      <c r="E417" s="31" t="s">
        <v>2030</v>
      </c>
      <c r="F417" s="31" t="s">
        <v>2213</v>
      </c>
      <c r="G417" s="31" t="str">
        <f>VLOOKUP(A417,'Active Employees'!$B$2:$B$498,1,false)</f>
        <v>#N/A</v>
      </c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>
      <c r="A418" s="31" t="s">
        <v>2241</v>
      </c>
      <c r="B418" s="31" t="s">
        <v>2027</v>
      </c>
      <c r="C418" s="31" t="s">
        <v>2248</v>
      </c>
      <c r="D418" s="31" t="s">
        <v>2515</v>
      </c>
      <c r="E418" s="31" t="s">
        <v>2030</v>
      </c>
      <c r="F418" s="31" t="s">
        <v>2213</v>
      </c>
      <c r="G418" s="31" t="str">
        <f>VLOOKUP(A418,'Active Employees'!$B$2:$B$498,1,false)</f>
        <v>#N/A</v>
      </c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>
      <c r="A419" s="31" t="s">
        <v>2241</v>
      </c>
      <c r="B419" s="31" t="s">
        <v>2027</v>
      </c>
      <c r="C419" s="31" t="s">
        <v>2248</v>
      </c>
      <c r="D419" s="31" t="s">
        <v>2516</v>
      </c>
      <c r="E419" s="31" t="s">
        <v>2030</v>
      </c>
      <c r="F419" s="31" t="s">
        <v>2213</v>
      </c>
      <c r="G419" s="31" t="str">
        <f>VLOOKUP(A419,'Active Employees'!$B$2:$B$498,1,false)</f>
        <v>#N/A</v>
      </c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>
      <c r="A420" s="31" t="s">
        <v>2241</v>
      </c>
      <c r="B420" s="31" t="s">
        <v>2027</v>
      </c>
      <c r="C420" s="31" t="s">
        <v>2517</v>
      </c>
      <c r="D420" s="31" t="s">
        <v>2518</v>
      </c>
      <c r="E420" s="31" t="s">
        <v>2030</v>
      </c>
      <c r="F420" s="31" t="s">
        <v>2213</v>
      </c>
      <c r="G420" s="31" t="str">
        <f>VLOOKUP(A420,'Active Employees'!$B$2:$B$498,1,false)</f>
        <v>#N/A</v>
      </c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>
      <c r="A421" s="31" t="s">
        <v>2241</v>
      </c>
      <c r="B421" s="31" t="s">
        <v>2027</v>
      </c>
      <c r="C421" s="31" t="s">
        <v>2248</v>
      </c>
      <c r="D421" s="31" t="s">
        <v>2519</v>
      </c>
      <c r="E421" s="31" t="s">
        <v>2030</v>
      </c>
      <c r="F421" s="31" t="s">
        <v>2213</v>
      </c>
      <c r="G421" s="31" t="str">
        <f>VLOOKUP(A421,'Active Employees'!$B$2:$B$498,1,false)</f>
        <v>#N/A</v>
      </c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>
      <c r="A422" s="31" t="s">
        <v>2241</v>
      </c>
      <c r="B422" s="31" t="s">
        <v>2027</v>
      </c>
      <c r="C422" s="31" t="s">
        <v>2520</v>
      </c>
      <c r="D422" s="31" t="s">
        <v>2521</v>
      </c>
      <c r="E422" s="31" t="s">
        <v>2030</v>
      </c>
      <c r="F422" s="31" t="s">
        <v>2213</v>
      </c>
      <c r="G422" s="31" t="str">
        <f>VLOOKUP(A422,'Active Employees'!$B$2:$B$498,1,false)</f>
        <v>#N/A</v>
      </c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>
      <c r="A423" s="31" t="s">
        <v>2241</v>
      </c>
      <c r="B423" s="31" t="s">
        <v>2027</v>
      </c>
      <c r="C423" s="31" t="s">
        <v>2248</v>
      </c>
      <c r="D423" s="31" t="s">
        <v>2522</v>
      </c>
      <c r="E423" s="31" t="s">
        <v>2030</v>
      </c>
      <c r="F423" s="31" t="s">
        <v>2213</v>
      </c>
      <c r="G423" s="31" t="str">
        <f>VLOOKUP(A423,'Active Employees'!$B$2:$B$498,1,false)</f>
        <v>#N/A</v>
      </c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>
      <c r="A424" s="31" t="s">
        <v>2241</v>
      </c>
      <c r="B424" s="31" t="s">
        <v>2027</v>
      </c>
      <c r="C424" s="31" t="s">
        <v>2520</v>
      </c>
      <c r="D424" s="31" t="s">
        <v>2523</v>
      </c>
      <c r="E424" s="31" t="s">
        <v>2030</v>
      </c>
      <c r="F424" s="31" t="s">
        <v>2213</v>
      </c>
      <c r="G424" s="31" t="str">
        <f>VLOOKUP(A424,'Active Employees'!$B$2:$B$498,1,false)</f>
        <v>#N/A</v>
      </c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>
      <c r="A425" s="31" t="s">
        <v>2241</v>
      </c>
      <c r="B425" s="31" t="s">
        <v>2027</v>
      </c>
      <c r="C425" s="31" t="s">
        <v>2524</v>
      </c>
      <c r="D425" s="31" t="s">
        <v>2525</v>
      </c>
      <c r="E425" s="31" t="s">
        <v>2030</v>
      </c>
      <c r="F425" s="31" t="s">
        <v>2213</v>
      </c>
      <c r="G425" s="31" t="str">
        <f>VLOOKUP(A425,'Active Employees'!$B$2:$B$498,1,false)</f>
        <v>#N/A</v>
      </c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>
      <c r="A426" s="31" t="s">
        <v>2241</v>
      </c>
      <c r="B426" s="31" t="s">
        <v>2027</v>
      </c>
      <c r="C426" s="31" t="s">
        <v>2248</v>
      </c>
      <c r="D426" s="31" t="s">
        <v>2526</v>
      </c>
      <c r="E426" s="31" t="s">
        <v>2030</v>
      </c>
      <c r="F426" s="31" t="s">
        <v>2213</v>
      </c>
      <c r="G426" s="31" t="str">
        <f>VLOOKUP(A426,'Active Employees'!$B$2:$B$498,1,false)</f>
        <v>#N/A</v>
      </c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>
      <c r="A427" s="31" t="s">
        <v>2241</v>
      </c>
      <c r="B427" s="31" t="s">
        <v>2027</v>
      </c>
      <c r="C427" s="31" t="s">
        <v>2527</v>
      </c>
      <c r="D427" s="31" t="s">
        <v>2528</v>
      </c>
      <c r="E427" s="31" t="s">
        <v>2030</v>
      </c>
      <c r="F427" s="31" t="s">
        <v>2213</v>
      </c>
      <c r="G427" s="31" t="str">
        <f>VLOOKUP(A427,'Active Employees'!$B$2:$B$498,1,false)</f>
        <v>#N/A</v>
      </c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>
      <c r="A428" s="31" t="s">
        <v>2241</v>
      </c>
      <c r="B428" s="31" t="s">
        <v>2027</v>
      </c>
      <c r="C428" s="31" t="s">
        <v>2527</v>
      </c>
      <c r="D428" s="31" t="s">
        <v>2529</v>
      </c>
      <c r="E428" s="31" t="s">
        <v>2030</v>
      </c>
      <c r="F428" s="31" t="s">
        <v>2213</v>
      </c>
      <c r="G428" s="31" t="str">
        <f>VLOOKUP(A428,'Active Employees'!$B$2:$B$498,1,false)</f>
        <v>#N/A</v>
      </c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>
      <c r="A429" s="31" t="s">
        <v>2241</v>
      </c>
      <c r="B429" s="31" t="s">
        <v>2027</v>
      </c>
      <c r="C429" s="31" t="s">
        <v>2248</v>
      </c>
      <c r="D429" s="31" t="s">
        <v>2530</v>
      </c>
      <c r="E429" s="31" t="s">
        <v>2030</v>
      </c>
      <c r="F429" s="31" t="s">
        <v>2213</v>
      </c>
      <c r="G429" s="31" t="str">
        <f>VLOOKUP(A429,'Active Employees'!$B$2:$B$498,1,false)</f>
        <v>#N/A</v>
      </c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>
      <c r="A430" s="31" t="s">
        <v>2241</v>
      </c>
      <c r="B430" s="31" t="s">
        <v>2027</v>
      </c>
      <c r="C430" s="31" t="s">
        <v>2248</v>
      </c>
      <c r="D430" s="31" t="s">
        <v>2531</v>
      </c>
      <c r="E430" s="31" t="s">
        <v>2030</v>
      </c>
      <c r="F430" s="31" t="s">
        <v>2213</v>
      </c>
      <c r="G430" s="31" t="str">
        <f>VLOOKUP(A430,'Active Employees'!$B$2:$B$498,1,false)</f>
        <v>#N/A</v>
      </c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>
      <c r="A431" s="31" t="s">
        <v>2241</v>
      </c>
      <c r="B431" s="31" t="s">
        <v>2027</v>
      </c>
      <c r="C431" s="31" t="s">
        <v>2248</v>
      </c>
      <c r="D431" s="31" t="s">
        <v>2532</v>
      </c>
      <c r="E431" s="31" t="s">
        <v>2030</v>
      </c>
      <c r="F431" s="31" t="s">
        <v>2213</v>
      </c>
      <c r="G431" s="31" t="str">
        <f>VLOOKUP(A431,'Active Employees'!$B$2:$B$498,1,false)</f>
        <v>#N/A</v>
      </c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>
      <c r="A432" s="31" t="s">
        <v>2241</v>
      </c>
      <c r="B432" s="31" t="s">
        <v>2027</v>
      </c>
      <c r="C432" s="31" t="s">
        <v>2248</v>
      </c>
      <c r="D432" s="31" t="s">
        <v>2533</v>
      </c>
      <c r="E432" s="31" t="s">
        <v>2030</v>
      </c>
      <c r="F432" s="31" t="s">
        <v>2213</v>
      </c>
      <c r="G432" s="31" t="str">
        <f>VLOOKUP(A432,'Active Employees'!$B$2:$B$498,1,false)</f>
        <v>#N/A</v>
      </c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>
      <c r="A433" s="31" t="s">
        <v>2241</v>
      </c>
      <c r="B433" s="31" t="s">
        <v>2027</v>
      </c>
      <c r="C433" s="31" t="s">
        <v>2248</v>
      </c>
      <c r="D433" s="31" t="s">
        <v>2534</v>
      </c>
      <c r="E433" s="31" t="s">
        <v>2030</v>
      </c>
      <c r="F433" s="31" t="s">
        <v>2213</v>
      </c>
      <c r="G433" s="31" t="str">
        <f>VLOOKUP(A433,'Active Employees'!$B$2:$B$498,1,false)</f>
        <v>#N/A</v>
      </c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>
      <c r="A434" s="31" t="s">
        <v>2241</v>
      </c>
      <c r="B434" s="31" t="s">
        <v>2027</v>
      </c>
      <c r="C434" s="31" t="s">
        <v>2248</v>
      </c>
      <c r="D434" s="31" t="s">
        <v>2535</v>
      </c>
      <c r="E434" s="31" t="s">
        <v>2030</v>
      </c>
      <c r="F434" s="31" t="s">
        <v>2213</v>
      </c>
      <c r="G434" s="31" t="str">
        <f>VLOOKUP(A434,'Active Employees'!$B$2:$B$498,1,false)</f>
        <v>#N/A</v>
      </c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>
      <c r="A435" s="31" t="s">
        <v>2241</v>
      </c>
      <c r="B435" s="31" t="s">
        <v>2027</v>
      </c>
      <c r="C435" s="31" t="s">
        <v>2248</v>
      </c>
      <c r="D435" s="31" t="s">
        <v>2536</v>
      </c>
      <c r="E435" s="31" t="s">
        <v>2030</v>
      </c>
      <c r="F435" s="31" t="s">
        <v>2213</v>
      </c>
      <c r="G435" s="31" t="str">
        <f>VLOOKUP(A435,'Active Employees'!$B$2:$B$498,1,false)</f>
        <v>#N/A</v>
      </c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>
      <c r="A436" s="31" t="s">
        <v>2241</v>
      </c>
      <c r="B436" s="31" t="s">
        <v>2027</v>
      </c>
      <c r="C436" s="31" t="s">
        <v>2248</v>
      </c>
      <c r="D436" s="31" t="s">
        <v>2537</v>
      </c>
      <c r="E436" s="31" t="s">
        <v>2030</v>
      </c>
      <c r="F436" s="31" t="s">
        <v>2213</v>
      </c>
      <c r="G436" s="31" t="str">
        <f>VLOOKUP(A436,'Active Employees'!$B$2:$B$498,1,false)</f>
        <v>#N/A</v>
      </c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>
      <c r="A437" s="31" t="s">
        <v>2241</v>
      </c>
      <c r="B437" s="31" t="s">
        <v>2027</v>
      </c>
      <c r="C437" s="31" t="s">
        <v>2248</v>
      </c>
      <c r="D437" s="31" t="s">
        <v>2538</v>
      </c>
      <c r="E437" s="31" t="s">
        <v>2030</v>
      </c>
      <c r="F437" s="31" t="s">
        <v>2213</v>
      </c>
      <c r="G437" s="31" t="str">
        <f>VLOOKUP(A437,'Active Employees'!$B$2:$B$498,1,false)</f>
        <v>#N/A</v>
      </c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>
      <c r="A438" s="31" t="s">
        <v>2241</v>
      </c>
      <c r="B438" s="31" t="s">
        <v>2027</v>
      </c>
      <c r="C438" s="31" t="s">
        <v>2248</v>
      </c>
      <c r="D438" s="31" t="s">
        <v>2539</v>
      </c>
      <c r="E438" s="31" t="s">
        <v>2030</v>
      </c>
      <c r="F438" s="31" t="s">
        <v>2213</v>
      </c>
      <c r="G438" s="31" t="str">
        <f>VLOOKUP(A438,'Active Employees'!$B$2:$B$498,1,false)</f>
        <v>#N/A</v>
      </c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>
      <c r="A439" s="31" t="s">
        <v>2241</v>
      </c>
      <c r="B439" s="31" t="s">
        <v>2027</v>
      </c>
      <c r="C439" s="31" t="s">
        <v>2248</v>
      </c>
      <c r="D439" s="31" t="s">
        <v>2540</v>
      </c>
      <c r="E439" s="31" t="s">
        <v>2030</v>
      </c>
      <c r="F439" s="31" t="s">
        <v>2213</v>
      </c>
      <c r="G439" s="31" t="str">
        <f>VLOOKUP(A439,'Active Employees'!$B$2:$B$498,1,false)</f>
        <v>#N/A</v>
      </c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>
      <c r="A440" s="31" t="s">
        <v>2241</v>
      </c>
      <c r="B440" s="31" t="s">
        <v>2027</v>
      </c>
      <c r="C440" s="31" t="s">
        <v>2248</v>
      </c>
      <c r="D440" s="31" t="s">
        <v>2541</v>
      </c>
      <c r="E440" s="31" t="s">
        <v>2030</v>
      </c>
      <c r="F440" s="31" t="s">
        <v>2213</v>
      </c>
      <c r="G440" s="31" t="str">
        <f>VLOOKUP(A440,'Active Employees'!$B$2:$B$498,1,false)</f>
        <v>#N/A</v>
      </c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>
      <c r="A441" s="31" t="s">
        <v>2241</v>
      </c>
      <c r="B441" s="31" t="s">
        <v>2027</v>
      </c>
      <c r="C441" s="31" t="s">
        <v>2542</v>
      </c>
      <c r="D441" s="31" t="s">
        <v>2543</v>
      </c>
      <c r="E441" s="31" t="s">
        <v>2030</v>
      </c>
      <c r="F441" s="31" t="s">
        <v>2213</v>
      </c>
      <c r="G441" s="31" t="str">
        <f>VLOOKUP(A441,'Active Employees'!$B$2:$B$498,1,false)</f>
        <v>#N/A</v>
      </c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>
      <c r="A442" s="31" t="s">
        <v>2241</v>
      </c>
      <c r="B442" s="31" t="s">
        <v>2027</v>
      </c>
      <c r="C442" s="31" t="s">
        <v>2542</v>
      </c>
      <c r="D442" s="31" t="s">
        <v>2544</v>
      </c>
      <c r="E442" s="31" t="s">
        <v>2030</v>
      </c>
      <c r="F442" s="31" t="s">
        <v>2213</v>
      </c>
      <c r="G442" s="31" t="str">
        <f>VLOOKUP(A442,'Active Employees'!$B$2:$B$498,1,false)</f>
        <v>#N/A</v>
      </c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>
      <c r="A443" s="31" t="s">
        <v>2241</v>
      </c>
      <c r="B443" s="31" t="s">
        <v>2027</v>
      </c>
      <c r="C443" s="31" t="s">
        <v>2248</v>
      </c>
      <c r="D443" s="31" t="s">
        <v>2545</v>
      </c>
      <c r="E443" s="31" t="s">
        <v>2030</v>
      </c>
      <c r="F443" s="31" t="s">
        <v>2213</v>
      </c>
      <c r="G443" s="31" t="str">
        <f>VLOOKUP(A443,'Active Employees'!$B$2:$B$498,1,false)</f>
        <v>#N/A</v>
      </c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>
      <c r="A444" s="31" t="s">
        <v>2241</v>
      </c>
      <c r="B444" s="31" t="s">
        <v>2027</v>
      </c>
      <c r="C444" s="31" t="s">
        <v>2542</v>
      </c>
      <c r="D444" s="31" t="s">
        <v>2546</v>
      </c>
      <c r="E444" s="31" t="s">
        <v>2030</v>
      </c>
      <c r="F444" s="31" t="s">
        <v>2213</v>
      </c>
      <c r="G444" s="31" t="str">
        <f>VLOOKUP(A444,'Active Employees'!$B$2:$B$498,1,false)</f>
        <v>#N/A</v>
      </c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>
      <c r="A445" s="31" t="s">
        <v>2241</v>
      </c>
      <c r="B445" s="31" t="s">
        <v>2027</v>
      </c>
      <c r="C445" s="31" t="s">
        <v>2542</v>
      </c>
      <c r="D445" s="31" t="s">
        <v>2547</v>
      </c>
      <c r="E445" s="31" t="s">
        <v>2030</v>
      </c>
      <c r="F445" s="31" t="s">
        <v>2213</v>
      </c>
      <c r="G445" s="31" t="str">
        <f>VLOOKUP(A445,'Active Employees'!$B$2:$B$498,1,false)</f>
        <v>#N/A</v>
      </c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>
      <c r="A446" s="31" t="s">
        <v>2241</v>
      </c>
      <c r="B446" s="31" t="s">
        <v>2027</v>
      </c>
      <c r="C446" s="31" t="s">
        <v>2542</v>
      </c>
      <c r="D446" s="31" t="s">
        <v>2548</v>
      </c>
      <c r="E446" s="31" t="s">
        <v>2030</v>
      </c>
      <c r="F446" s="31" t="s">
        <v>2213</v>
      </c>
      <c r="G446" s="31" t="str">
        <f>VLOOKUP(A446,'Active Employees'!$B$2:$B$498,1,false)</f>
        <v>#N/A</v>
      </c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>
      <c r="A447" s="31" t="s">
        <v>2241</v>
      </c>
      <c r="B447" s="31" t="s">
        <v>2027</v>
      </c>
      <c r="C447" s="31" t="s">
        <v>2542</v>
      </c>
      <c r="D447" s="31" t="s">
        <v>2549</v>
      </c>
      <c r="E447" s="31" t="s">
        <v>2030</v>
      </c>
      <c r="F447" s="31" t="s">
        <v>2213</v>
      </c>
      <c r="G447" s="31" t="str">
        <f>VLOOKUP(A447,'Active Employees'!$B$2:$B$498,1,false)</f>
        <v>#N/A</v>
      </c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>
      <c r="A448" s="31" t="s">
        <v>2241</v>
      </c>
      <c r="B448" s="31" t="s">
        <v>2027</v>
      </c>
      <c r="C448" s="31" t="s">
        <v>2542</v>
      </c>
      <c r="D448" s="31" t="s">
        <v>2550</v>
      </c>
      <c r="E448" s="31" t="s">
        <v>2030</v>
      </c>
      <c r="F448" s="31" t="s">
        <v>2213</v>
      </c>
      <c r="G448" s="31" t="str">
        <f>VLOOKUP(A448,'Active Employees'!$B$2:$B$498,1,false)</f>
        <v>#N/A</v>
      </c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>
      <c r="A449" s="31" t="s">
        <v>2241</v>
      </c>
      <c r="B449" s="31" t="s">
        <v>2027</v>
      </c>
      <c r="C449" s="31" t="s">
        <v>2542</v>
      </c>
      <c r="D449" s="31" t="s">
        <v>2551</v>
      </c>
      <c r="E449" s="31" t="s">
        <v>2030</v>
      </c>
      <c r="F449" s="31" t="s">
        <v>2213</v>
      </c>
      <c r="G449" s="31" t="str">
        <f>VLOOKUP(A449,'Active Employees'!$B$2:$B$498,1,false)</f>
        <v>#N/A</v>
      </c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>
      <c r="A450" s="31" t="s">
        <v>2241</v>
      </c>
      <c r="B450" s="31" t="s">
        <v>2027</v>
      </c>
      <c r="C450" s="31" t="s">
        <v>2542</v>
      </c>
      <c r="D450" s="31" t="s">
        <v>2552</v>
      </c>
      <c r="E450" s="31" t="s">
        <v>2030</v>
      </c>
      <c r="F450" s="31" t="s">
        <v>2213</v>
      </c>
      <c r="G450" s="31" t="str">
        <f>VLOOKUP(A450,'Active Employees'!$B$2:$B$498,1,false)</f>
        <v>#N/A</v>
      </c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>
      <c r="A451" s="31" t="s">
        <v>2241</v>
      </c>
      <c r="B451" s="31" t="s">
        <v>2027</v>
      </c>
      <c r="C451" s="31" t="s">
        <v>2542</v>
      </c>
      <c r="D451" s="31" t="s">
        <v>2553</v>
      </c>
      <c r="E451" s="31" t="s">
        <v>2030</v>
      </c>
      <c r="F451" s="31" t="s">
        <v>2213</v>
      </c>
      <c r="G451" s="31" t="str">
        <f>VLOOKUP(A451,'Active Employees'!$B$2:$B$498,1,false)</f>
        <v>#N/A</v>
      </c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>
      <c r="A452" s="31" t="s">
        <v>2241</v>
      </c>
      <c r="B452" s="31" t="s">
        <v>2027</v>
      </c>
      <c r="C452" s="31" t="s">
        <v>2248</v>
      </c>
      <c r="D452" s="31" t="s">
        <v>2554</v>
      </c>
      <c r="E452" s="31" t="s">
        <v>2030</v>
      </c>
      <c r="F452" s="31" t="s">
        <v>2213</v>
      </c>
      <c r="G452" s="31" t="str">
        <f>VLOOKUP(A452,'Active Employees'!$B$2:$B$498,1,false)</f>
        <v>#N/A</v>
      </c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>
      <c r="A453" s="31" t="s">
        <v>2241</v>
      </c>
      <c r="B453" s="31" t="s">
        <v>2027</v>
      </c>
      <c r="C453" s="31" t="s">
        <v>2542</v>
      </c>
      <c r="D453" s="31" t="s">
        <v>2555</v>
      </c>
      <c r="E453" s="31" t="s">
        <v>2030</v>
      </c>
      <c r="F453" s="31" t="s">
        <v>2213</v>
      </c>
      <c r="G453" s="31" t="str">
        <f>VLOOKUP(A453,'Active Employees'!$B$2:$B$498,1,false)</f>
        <v>#N/A</v>
      </c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>
      <c r="A454" s="31" t="s">
        <v>2241</v>
      </c>
      <c r="B454" s="31" t="s">
        <v>2027</v>
      </c>
      <c r="C454" s="31" t="s">
        <v>2248</v>
      </c>
      <c r="D454" s="31" t="s">
        <v>2556</v>
      </c>
      <c r="E454" s="31" t="s">
        <v>2030</v>
      </c>
      <c r="F454" s="31" t="s">
        <v>2213</v>
      </c>
      <c r="G454" s="31" t="str">
        <f>VLOOKUP(A454,'Active Employees'!$B$2:$B$498,1,false)</f>
        <v>#N/A</v>
      </c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>
      <c r="A455" s="31" t="s">
        <v>2241</v>
      </c>
      <c r="B455" s="31" t="s">
        <v>2027</v>
      </c>
      <c r="C455" s="31" t="s">
        <v>2557</v>
      </c>
      <c r="D455" s="31" t="s">
        <v>2558</v>
      </c>
      <c r="E455" s="31" t="s">
        <v>2030</v>
      </c>
      <c r="F455" s="31" t="s">
        <v>2213</v>
      </c>
      <c r="G455" s="31" t="str">
        <f>VLOOKUP(A455,'Active Employees'!$B$2:$B$498,1,false)</f>
        <v>#N/A</v>
      </c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>
      <c r="A456" s="31" t="s">
        <v>2241</v>
      </c>
      <c r="B456" s="31" t="s">
        <v>2027</v>
      </c>
      <c r="C456" s="31" t="s">
        <v>2557</v>
      </c>
      <c r="D456" s="31" t="s">
        <v>2559</v>
      </c>
      <c r="E456" s="31" t="s">
        <v>2030</v>
      </c>
      <c r="F456" s="31" t="s">
        <v>2213</v>
      </c>
      <c r="G456" s="31" t="str">
        <f>VLOOKUP(A456,'Active Employees'!$B$2:$B$498,1,false)</f>
        <v>#N/A</v>
      </c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>
      <c r="A457" s="31" t="s">
        <v>2241</v>
      </c>
      <c r="B457" s="31" t="s">
        <v>2027</v>
      </c>
      <c r="C457" s="31" t="s">
        <v>2248</v>
      </c>
      <c r="D457" s="31" t="s">
        <v>2560</v>
      </c>
      <c r="E457" s="31" t="s">
        <v>2030</v>
      </c>
      <c r="F457" s="31" t="s">
        <v>2213</v>
      </c>
      <c r="G457" s="31" t="str">
        <f>VLOOKUP(A457,'Active Employees'!$B$2:$B$498,1,false)</f>
        <v>#N/A</v>
      </c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>
      <c r="A458" s="31" t="s">
        <v>2241</v>
      </c>
      <c r="B458" s="31" t="s">
        <v>2027</v>
      </c>
      <c r="C458" s="31" t="s">
        <v>2248</v>
      </c>
      <c r="D458" s="31" t="s">
        <v>2561</v>
      </c>
      <c r="E458" s="31" t="s">
        <v>2030</v>
      </c>
      <c r="F458" s="31" t="s">
        <v>2213</v>
      </c>
      <c r="G458" s="31" t="str">
        <f>VLOOKUP(A458,'Active Employees'!$B$2:$B$498,1,false)</f>
        <v>#N/A</v>
      </c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>
      <c r="A459" s="31" t="s">
        <v>2241</v>
      </c>
      <c r="B459" s="31" t="s">
        <v>2027</v>
      </c>
      <c r="C459" s="31" t="s">
        <v>2315</v>
      </c>
      <c r="D459" s="31" t="s">
        <v>2562</v>
      </c>
      <c r="E459" s="31" t="s">
        <v>2030</v>
      </c>
      <c r="F459" s="31" t="s">
        <v>2213</v>
      </c>
      <c r="G459" s="31" t="str">
        <f>VLOOKUP(A459,'Active Employees'!$B$2:$B$498,1,false)</f>
        <v>#N/A</v>
      </c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>
      <c r="A460" s="31" t="s">
        <v>2241</v>
      </c>
      <c r="B460" s="31" t="s">
        <v>2027</v>
      </c>
      <c r="C460" s="31" t="s">
        <v>2248</v>
      </c>
      <c r="D460" s="31" t="s">
        <v>2563</v>
      </c>
      <c r="E460" s="31" t="s">
        <v>2030</v>
      </c>
      <c r="F460" s="31" t="s">
        <v>2213</v>
      </c>
      <c r="G460" s="31" t="str">
        <f>VLOOKUP(A460,'Active Employees'!$B$2:$B$498,1,false)</f>
        <v>#N/A</v>
      </c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>
      <c r="A461" s="31" t="s">
        <v>2241</v>
      </c>
      <c r="B461" s="31" t="s">
        <v>2027</v>
      </c>
      <c r="C461" s="31" t="s">
        <v>2564</v>
      </c>
      <c r="D461" s="31" t="s">
        <v>2565</v>
      </c>
      <c r="E461" s="31" t="s">
        <v>2030</v>
      </c>
      <c r="F461" s="31" t="s">
        <v>2213</v>
      </c>
      <c r="G461" s="31" t="str">
        <f>VLOOKUP(A461,'Active Employees'!$B$2:$B$498,1,false)</f>
        <v>#N/A</v>
      </c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>
      <c r="A462" s="31" t="s">
        <v>2241</v>
      </c>
      <c r="B462" s="31" t="s">
        <v>2027</v>
      </c>
      <c r="C462" s="31" t="s">
        <v>2248</v>
      </c>
      <c r="D462" s="31" t="s">
        <v>2566</v>
      </c>
      <c r="E462" s="31" t="s">
        <v>2030</v>
      </c>
      <c r="F462" s="31" t="s">
        <v>2213</v>
      </c>
      <c r="G462" s="31" t="str">
        <f>VLOOKUP(A462,'Active Employees'!$B$2:$B$498,1,false)</f>
        <v>#N/A</v>
      </c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>
      <c r="A463" s="31" t="s">
        <v>2241</v>
      </c>
      <c r="B463" s="31" t="s">
        <v>2027</v>
      </c>
      <c r="C463" s="31" t="s">
        <v>2567</v>
      </c>
      <c r="D463" s="31" t="s">
        <v>2568</v>
      </c>
      <c r="E463" s="31" t="s">
        <v>2030</v>
      </c>
      <c r="F463" s="31" t="s">
        <v>2213</v>
      </c>
      <c r="G463" s="31" t="str">
        <f>VLOOKUP(A463,'Active Employees'!$B$2:$B$498,1,false)</f>
        <v>#N/A</v>
      </c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>
      <c r="A464" s="31" t="s">
        <v>2241</v>
      </c>
      <c r="B464" s="31" t="s">
        <v>2027</v>
      </c>
      <c r="C464" s="31" t="s">
        <v>2248</v>
      </c>
      <c r="D464" s="31" t="s">
        <v>2569</v>
      </c>
      <c r="E464" s="31" t="s">
        <v>2030</v>
      </c>
      <c r="F464" s="31" t="s">
        <v>2213</v>
      </c>
      <c r="G464" s="31" t="str">
        <f>VLOOKUP(A464,'Active Employees'!$B$2:$B$498,1,false)</f>
        <v>#N/A</v>
      </c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>
      <c r="A465" s="31" t="s">
        <v>2241</v>
      </c>
      <c r="B465" s="31" t="s">
        <v>2027</v>
      </c>
      <c r="C465" s="31" t="s">
        <v>2564</v>
      </c>
      <c r="D465" s="31" t="s">
        <v>2570</v>
      </c>
      <c r="E465" s="31" t="s">
        <v>2030</v>
      </c>
      <c r="F465" s="31" t="s">
        <v>2213</v>
      </c>
      <c r="G465" s="31" t="str">
        <f>VLOOKUP(A465,'Active Employees'!$B$2:$B$498,1,false)</f>
        <v>#N/A</v>
      </c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>
      <c r="A466" s="31" t="s">
        <v>2241</v>
      </c>
      <c r="B466" s="31" t="s">
        <v>2027</v>
      </c>
      <c r="C466" s="31" t="s">
        <v>2571</v>
      </c>
      <c r="D466" s="31" t="s">
        <v>2572</v>
      </c>
      <c r="E466" s="31" t="s">
        <v>2030</v>
      </c>
      <c r="F466" s="31" t="s">
        <v>2213</v>
      </c>
      <c r="G466" s="31" t="str">
        <f>VLOOKUP(A466,'Active Employees'!$B$2:$B$498,1,false)</f>
        <v>#N/A</v>
      </c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>
      <c r="A467" s="31" t="s">
        <v>2241</v>
      </c>
      <c r="B467" s="31" t="s">
        <v>2027</v>
      </c>
      <c r="C467" s="31" t="s">
        <v>2248</v>
      </c>
      <c r="D467" s="31" t="s">
        <v>2573</v>
      </c>
      <c r="E467" s="31" t="s">
        <v>2030</v>
      </c>
      <c r="F467" s="31" t="s">
        <v>2213</v>
      </c>
      <c r="G467" s="31" t="str">
        <f>VLOOKUP(A467,'Active Employees'!$B$2:$B$498,1,false)</f>
        <v>#N/A</v>
      </c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>
      <c r="A468" s="31" t="s">
        <v>2241</v>
      </c>
      <c r="B468" s="31" t="s">
        <v>2027</v>
      </c>
      <c r="C468" s="31" t="s">
        <v>2248</v>
      </c>
      <c r="D468" s="31" t="s">
        <v>2574</v>
      </c>
      <c r="E468" s="31" t="s">
        <v>2030</v>
      </c>
      <c r="F468" s="31" t="s">
        <v>2213</v>
      </c>
      <c r="G468" s="31" t="str">
        <f>VLOOKUP(A468,'Active Employees'!$B$2:$B$498,1,false)</f>
        <v>#N/A</v>
      </c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>
      <c r="A469" s="31" t="s">
        <v>2241</v>
      </c>
      <c r="B469" s="31" t="s">
        <v>2027</v>
      </c>
      <c r="C469" s="31" t="s">
        <v>2248</v>
      </c>
      <c r="D469" s="31" t="s">
        <v>2575</v>
      </c>
      <c r="E469" s="31" t="s">
        <v>2030</v>
      </c>
      <c r="F469" s="31" t="s">
        <v>2213</v>
      </c>
      <c r="G469" s="31" t="str">
        <f>VLOOKUP(A469,'Active Employees'!$B$2:$B$498,1,false)</f>
        <v>#N/A</v>
      </c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>
      <c r="A470" s="31" t="s">
        <v>2241</v>
      </c>
      <c r="B470" s="31" t="s">
        <v>2027</v>
      </c>
      <c r="C470" s="31" t="s">
        <v>2576</v>
      </c>
      <c r="D470" s="31" t="s">
        <v>2577</v>
      </c>
      <c r="E470" s="31" t="s">
        <v>2030</v>
      </c>
      <c r="F470" s="31" t="s">
        <v>2213</v>
      </c>
      <c r="G470" s="31" t="str">
        <f>VLOOKUP(A470,'Active Employees'!$B$2:$B$498,1,false)</f>
        <v>#N/A</v>
      </c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>
      <c r="A471" s="31" t="s">
        <v>2241</v>
      </c>
      <c r="B471" s="31" t="s">
        <v>2027</v>
      </c>
      <c r="C471" s="31" t="s">
        <v>2576</v>
      </c>
      <c r="D471" s="31" t="s">
        <v>2578</v>
      </c>
      <c r="E471" s="31" t="s">
        <v>2030</v>
      </c>
      <c r="F471" s="31" t="s">
        <v>2213</v>
      </c>
      <c r="G471" s="31" t="str">
        <f>VLOOKUP(A471,'Active Employees'!$B$2:$B$498,1,false)</f>
        <v>#N/A</v>
      </c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>
      <c r="A472" s="31" t="s">
        <v>2241</v>
      </c>
      <c r="B472" s="31" t="s">
        <v>2027</v>
      </c>
      <c r="C472" s="31" t="s">
        <v>2576</v>
      </c>
      <c r="D472" s="31" t="s">
        <v>2579</v>
      </c>
      <c r="E472" s="31" t="s">
        <v>2030</v>
      </c>
      <c r="F472" s="31" t="s">
        <v>2213</v>
      </c>
      <c r="G472" s="31" t="str">
        <f>VLOOKUP(A472,'Active Employees'!$B$2:$B$498,1,false)</f>
        <v>#N/A</v>
      </c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>
      <c r="A473" s="31" t="s">
        <v>2241</v>
      </c>
      <c r="B473" s="31" t="s">
        <v>2027</v>
      </c>
      <c r="C473" s="31" t="s">
        <v>2576</v>
      </c>
      <c r="D473" s="31" t="s">
        <v>2580</v>
      </c>
      <c r="E473" s="31" t="s">
        <v>2030</v>
      </c>
      <c r="F473" s="31" t="s">
        <v>2213</v>
      </c>
      <c r="G473" s="31" t="str">
        <f>VLOOKUP(A473,'Active Employees'!$B$2:$B$498,1,false)</f>
        <v>#N/A</v>
      </c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>
      <c r="A474" s="31" t="s">
        <v>2241</v>
      </c>
      <c r="B474" s="31" t="s">
        <v>2027</v>
      </c>
      <c r="C474" s="31" t="s">
        <v>2248</v>
      </c>
      <c r="D474" s="31" t="s">
        <v>2581</v>
      </c>
      <c r="E474" s="31" t="s">
        <v>2030</v>
      </c>
      <c r="F474" s="31" t="s">
        <v>2213</v>
      </c>
      <c r="G474" s="31" t="str">
        <f>VLOOKUP(A474,'Active Employees'!$B$2:$B$498,1,false)</f>
        <v>#N/A</v>
      </c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>
      <c r="A475" s="31" t="s">
        <v>2241</v>
      </c>
      <c r="B475" s="31" t="s">
        <v>2027</v>
      </c>
      <c r="C475" s="31" t="s">
        <v>2582</v>
      </c>
      <c r="D475" s="31" t="s">
        <v>2583</v>
      </c>
      <c r="E475" s="31" t="s">
        <v>2030</v>
      </c>
      <c r="F475" s="31" t="s">
        <v>2213</v>
      </c>
      <c r="G475" s="31" t="str">
        <f>VLOOKUP(A475,'Active Employees'!$B$2:$B$498,1,false)</f>
        <v>#N/A</v>
      </c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>
      <c r="A476" s="31" t="s">
        <v>2241</v>
      </c>
      <c r="B476" s="31" t="s">
        <v>2027</v>
      </c>
      <c r="C476" s="31" t="s">
        <v>2584</v>
      </c>
      <c r="D476" s="31" t="s">
        <v>2585</v>
      </c>
      <c r="E476" s="31" t="s">
        <v>2030</v>
      </c>
      <c r="F476" s="31" t="s">
        <v>2213</v>
      </c>
      <c r="G476" s="31" t="str">
        <f>VLOOKUP(A476,'Active Employees'!$B$2:$B$498,1,false)</f>
        <v>#N/A</v>
      </c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>
      <c r="A477" s="31" t="s">
        <v>2241</v>
      </c>
      <c r="B477" s="31" t="s">
        <v>2027</v>
      </c>
      <c r="C477" s="31" t="s">
        <v>2584</v>
      </c>
      <c r="D477" s="31" t="s">
        <v>2586</v>
      </c>
      <c r="E477" s="31" t="s">
        <v>2030</v>
      </c>
      <c r="F477" s="31" t="s">
        <v>2213</v>
      </c>
      <c r="G477" s="31" t="str">
        <f>VLOOKUP(A477,'Active Employees'!$B$2:$B$498,1,false)</f>
        <v>#N/A</v>
      </c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>
      <c r="A478" s="31" t="s">
        <v>2241</v>
      </c>
      <c r="B478" s="31" t="s">
        <v>2027</v>
      </c>
      <c r="C478" s="31" t="s">
        <v>2584</v>
      </c>
      <c r="D478" s="31" t="s">
        <v>2587</v>
      </c>
      <c r="E478" s="31" t="s">
        <v>2030</v>
      </c>
      <c r="F478" s="31" t="s">
        <v>2213</v>
      </c>
      <c r="G478" s="31" t="str">
        <f>VLOOKUP(A478,'Active Employees'!$B$2:$B$498,1,false)</f>
        <v>#N/A</v>
      </c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>
      <c r="A479" s="31" t="s">
        <v>2241</v>
      </c>
      <c r="B479" s="31" t="s">
        <v>2027</v>
      </c>
      <c r="C479" s="31" t="s">
        <v>2248</v>
      </c>
      <c r="D479" s="31" t="s">
        <v>2588</v>
      </c>
      <c r="E479" s="31" t="s">
        <v>2030</v>
      </c>
      <c r="F479" s="31" t="s">
        <v>2213</v>
      </c>
      <c r="G479" s="31" t="str">
        <f>VLOOKUP(A479,'Active Employees'!$B$2:$B$498,1,false)</f>
        <v>#N/A</v>
      </c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>
      <c r="A480" s="31" t="s">
        <v>2241</v>
      </c>
      <c r="B480" s="31" t="s">
        <v>2027</v>
      </c>
      <c r="C480" s="31" t="s">
        <v>2248</v>
      </c>
      <c r="D480" s="31" t="s">
        <v>2589</v>
      </c>
      <c r="E480" s="31" t="s">
        <v>2030</v>
      </c>
      <c r="F480" s="31" t="s">
        <v>2213</v>
      </c>
      <c r="G480" s="31" t="str">
        <f>VLOOKUP(A480,'Active Employees'!$B$2:$B$498,1,false)</f>
        <v>#N/A</v>
      </c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>
      <c r="A481" s="31" t="s">
        <v>2241</v>
      </c>
      <c r="B481" s="31" t="s">
        <v>2027</v>
      </c>
      <c r="C481" s="31" t="s">
        <v>2590</v>
      </c>
      <c r="D481" s="31" t="s">
        <v>2591</v>
      </c>
      <c r="E481" s="31" t="s">
        <v>2030</v>
      </c>
      <c r="F481" s="31" t="s">
        <v>2213</v>
      </c>
      <c r="G481" s="31" t="str">
        <f>VLOOKUP(A481,'Active Employees'!$B$2:$B$498,1,false)</f>
        <v>#N/A</v>
      </c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>
      <c r="A482" s="31" t="s">
        <v>2241</v>
      </c>
      <c r="B482" s="31" t="s">
        <v>2027</v>
      </c>
      <c r="C482" s="31" t="s">
        <v>2248</v>
      </c>
      <c r="D482" s="31" t="s">
        <v>2592</v>
      </c>
      <c r="E482" s="31" t="s">
        <v>2030</v>
      </c>
      <c r="F482" s="31" t="s">
        <v>2213</v>
      </c>
      <c r="G482" s="31" t="str">
        <f>VLOOKUP(A482,'Active Employees'!$B$2:$B$498,1,false)</f>
        <v>#N/A</v>
      </c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>
      <c r="A483" s="31" t="s">
        <v>2241</v>
      </c>
      <c r="B483" s="31" t="s">
        <v>2027</v>
      </c>
      <c r="C483" s="31" t="s">
        <v>2593</v>
      </c>
      <c r="D483" s="31" t="s">
        <v>2594</v>
      </c>
      <c r="E483" s="31" t="s">
        <v>2030</v>
      </c>
      <c r="F483" s="31" t="s">
        <v>2213</v>
      </c>
      <c r="G483" s="31" t="str">
        <f>VLOOKUP(A483,'Active Employees'!$B$2:$B$498,1,false)</f>
        <v>#N/A</v>
      </c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>
      <c r="A484" s="31" t="s">
        <v>2241</v>
      </c>
      <c r="B484" s="31" t="s">
        <v>2027</v>
      </c>
      <c r="C484" s="31" t="s">
        <v>2248</v>
      </c>
      <c r="D484" s="31" t="s">
        <v>2595</v>
      </c>
      <c r="E484" s="31" t="s">
        <v>2030</v>
      </c>
      <c r="F484" s="31" t="s">
        <v>2213</v>
      </c>
      <c r="G484" s="31" t="str">
        <f>VLOOKUP(A484,'Active Employees'!$B$2:$B$498,1,false)</f>
        <v>#N/A</v>
      </c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>
      <c r="A485" s="31" t="s">
        <v>2241</v>
      </c>
      <c r="B485" s="31" t="s">
        <v>2027</v>
      </c>
      <c r="C485" s="31" t="s">
        <v>2248</v>
      </c>
      <c r="D485" s="31" t="s">
        <v>2596</v>
      </c>
      <c r="E485" s="31" t="s">
        <v>2030</v>
      </c>
      <c r="F485" s="31" t="s">
        <v>2213</v>
      </c>
      <c r="G485" s="31" t="str">
        <f>VLOOKUP(A485,'Active Employees'!$B$2:$B$498,1,false)</f>
        <v>#N/A</v>
      </c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>
      <c r="A486" s="31" t="s">
        <v>2241</v>
      </c>
      <c r="B486" s="31" t="s">
        <v>2027</v>
      </c>
      <c r="C486" s="31" t="s">
        <v>2248</v>
      </c>
      <c r="D486" s="31" t="s">
        <v>2597</v>
      </c>
      <c r="E486" s="31" t="s">
        <v>2030</v>
      </c>
      <c r="F486" s="31" t="s">
        <v>2213</v>
      </c>
      <c r="G486" s="31" t="str">
        <f>VLOOKUP(A486,'Active Employees'!$B$2:$B$498,1,false)</f>
        <v>#N/A</v>
      </c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>
      <c r="A487" s="31" t="s">
        <v>2241</v>
      </c>
      <c r="B487" s="31" t="s">
        <v>2027</v>
      </c>
      <c r="C487" s="31" t="s">
        <v>2598</v>
      </c>
      <c r="D487" s="31" t="s">
        <v>2599</v>
      </c>
      <c r="E487" s="31" t="s">
        <v>2030</v>
      </c>
      <c r="F487" s="31" t="s">
        <v>2213</v>
      </c>
      <c r="G487" s="31" t="str">
        <f>VLOOKUP(A487,'Active Employees'!$B$2:$B$498,1,false)</f>
        <v>#N/A</v>
      </c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>
      <c r="A488" s="31" t="s">
        <v>2241</v>
      </c>
      <c r="B488" s="31" t="s">
        <v>2027</v>
      </c>
      <c r="C488" s="31" t="s">
        <v>2248</v>
      </c>
      <c r="D488" s="31" t="s">
        <v>2600</v>
      </c>
      <c r="E488" s="31" t="s">
        <v>2030</v>
      </c>
      <c r="F488" s="31" t="s">
        <v>2213</v>
      </c>
      <c r="G488" s="31" t="str">
        <f>VLOOKUP(A488,'Active Employees'!$B$2:$B$498,1,false)</f>
        <v>#N/A</v>
      </c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>
      <c r="A489" s="31" t="s">
        <v>2241</v>
      </c>
      <c r="B489" s="31" t="s">
        <v>2027</v>
      </c>
      <c r="C489" s="31" t="s">
        <v>2424</v>
      </c>
      <c r="D489" s="31" t="s">
        <v>2601</v>
      </c>
      <c r="E489" s="31" t="s">
        <v>2030</v>
      </c>
      <c r="F489" s="31" t="s">
        <v>2213</v>
      </c>
      <c r="G489" s="31" t="str">
        <f>VLOOKUP(A489,'Active Employees'!$B$2:$B$498,1,false)</f>
        <v>#N/A</v>
      </c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>
      <c r="A490" s="31" t="s">
        <v>2241</v>
      </c>
      <c r="B490" s="31" t="s">
        <v>2027</v>
      </c>
      <c r="C490" s="31" t="s">
        <v>2602</v>
      </c>
      <c r="D490" s="31" t="s">
        <v>2603</v>
      </c>
      <c r="E490" s="31" t="s">
        <v>2030</v>
      </c>
      <c r="F490" s="31" t="s">
        <v>2213</v>
      </c>
      <c r="G490" s="31" t="str">
        <f>VLOOKUP(A490,'Active Employees'!$B$2:$B$498,1,false)</f>
        <v>#N/A</v>
      </c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>
      <c r="A491" s="31" t="s">
        <v>2241</v>
      </c>
      <c r="B491" s="31" t="s">
        <v>2027</v>
      </c>
      <c r="C491" s="31" t="s">
        <v>2598</v>
      </c>
      <c r="D491" s="31" t="s">
        <v>2604</v>
      </c>
      <c r="E491" s="31" t="s">
        <v>2030</v>
      </c>
      <c r="F491" s="31" t="s">
        <v>2213</v>
      </c>
      <c r="G491" s="31" t="str">
        <f>VLOOKUP(A491,'Active Employees'!$B$2:$B$498,1,false)</f>
        <v>#N/A</v>
      </c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>
      <c r="A492" s="31" t="s">
        <v>2241</v>
      </c>
      <c r="B492" s="31" t="s">
        <v>2027</v>
      </c>
      <c r="C492" s="31" t="s">
        <v>2605</v>
      </c>
      <c r="D492" s="31" t="s">
        <v>2606</v>
      </c>
      <c r="E492" s="31" t="s">
        <v>2030</v>
      </c>
      <c r="F492" s="31" t="s">
        <v>2213</v>
      </c>
      <c r="G492" s="31" t="str">
        <f>VLOOKUP(A492,'Active Employees'!$B$2:$B$498,1,false)</f>
        <v>#N/A</v>
      </c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>
      <c r="A493" s="31" t="s">
        <v>2241</v>
      </c>
      <c r="B493" s="31" t="s">
        <v>2027</v>
      </c>
      <c r="C493" s="31" t="s">
        <v>2605</v>
      </c>
      <c r="D493" s="31" t="s">
        <v>2607</v>
      </c>
      <c r="E493" s="31" t="s">
        <v>2030</v>
      </c>
      <c r="F493" s="31" t="s">
        <v>2213</v>
      </c>
      <c r="G493" s="31" t="str">
        <f>VLOOKUP(A493,'Active Employees'!$B$2:$B$498,1,false)</f>
        <v>#N/A</v>
      </c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>
      <c r="A494" s="31" t="s">
        <v>2241</v>
      </c>
      <c r="B494" s="31" t="s">
        <v>2027</v>
      </c>
      <c r="C494" s="31" t="s">
        <v>2608</v>
      </c>
      <c r="D494" s="31" t="s">
        <v>2609</v>
      </c>
      <c r="E494" s="31" t="s">
        <v>2030</v>
      </c>
      <c r="F494" s="31" t="s">
        <v>2213</v>
      </c>
      <c r="G494" s="31" t="str">
        <f>VLOOKUP(A494,'Active Employees'!$B$2:$B$498,1,false)</f>
        <v>#N/A</v>
      </c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>
      <c r="A495" s="31" t="s">
        <v>2241</v>
      </c>
      <c r="B495" s="31" t="s">
        <v>2027</v>
      </c>
      <c r="C495" s="31" t="s">
        <v>2610</v>
      </c>
      <c r="D495" s="31" t="s">
        <v>2611</v>
      </c>
      <c r="E495" s="31" t="s">
        <v>2030</v>
      </c>
      <c r="F495" s="31" t="s">
        <v>2213</v>
      </c>
      <c r="G495" s="31" t="str">
        <f>VLOOKUP(A495,'Active Employees'!$B$2:$B$498,1,false)</f>
        <v>#N/A</v>
      </c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>
      <c r="A496" s="31" t="s">
        <v>2241</v>
      </c>
      <c r="B496" s="31" t="s">
        <v>2027</v>
      </c>
      <c r="C496" s="31" t="s">
        <v>2612</v>
      </c>
      <c r="D496" s="31" t="s">
        <v>2613</v>
      </c>
      <c r="E496" s="31" t="s">
        <v>2030</v>
      </c>
      <c r="F496" s="31" t="s">
        <v>2213</v>
      </c>
      <c r="G496" s="31" t="str">
        <f>VLOOKUP(A496,'Active Employees'!$B$2:$B$498,1,false)</f>
        <v>#N/A</v>
      </c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>
      <c r="A497" s="31" t="s">
        <v>2241</v>
      </c>
      <c r="B497" s="31" t="s">
        <v>2027</v>
      </c>
      <c r="C497" s="31" t="s">
        <v>2610</v>
      </c>
      <c r="D497" s="31" t="s">
        <v>2614</v>
      </c>
      <c r="E497" s="31" t="s">
        <v>2030</v>
      </c>
      <c r="F497" s="31" t="s">
        <v>2213</v>
      </c>
      <c r="G497" s="31" t="str">
        <f>VLOOKUP(A497,'Active Employees'!$B$2:$B$498,1,false)</f>
        <v>#N/A</v>
      </c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>
      <c r="A498" s="31" t="s">
        <v>2241</v>
      </c>
      <c r="B498" s="31" t="s">
        <v>2027</v>
      </c>
      <c r="C498" s="31" t="s">
        <v>2615</v>
      </c>
      <c r="D498" s="31" t="s">
        <v>2616</v>
      </c>
      <c r="E498" s="31" t="s">
        <v>2030</v>
      </c>
      <c r="F498" s="31" t="s">
        <v>2213</v>
      </c>
      <c r="G498" s="31" t="str">
        <f>VLOOKUP(A498,'Active Employees'!$B$2:$B$498,1,false)</f>
        <v>#N/A</v>
      </c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>
      <c r="A499" s="31" t="s">
        <v>2241</v>
      </c>
      <c r="B499" s="31" t="s">
        <v>2027</v>
      </c>
      <c r="C499" s="31" t="s">
        <v>2615</v>
      </c>
      <c r="D499" s="31" t="s">
        <v>2617</v>
      </c>
      <c r="E499" s="31" t="s">
        <v>2030</v>
      </c>
      <c r="F499" s="31" t="s">
        <v>2213</v>
      </c>
      <c r="G499" s="31" t="str">
        <f>VLOOKUP(A499,'Active Employees'!$B$2:$B$498,1,false)</f>
        <v>#N/A</v>
      </c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>
      <c r="A500" s="31" t="s">
        <v>2241</v>
      </c>
      <c r="B500" s="31" t="s">
        <v>2027</v>
      </c>
      <c r="C500" s="31" t="s">
        <v>2618</v>
      </c>
      <c r="D500" s="31" t="s">
        <v>2619</v>
      </c>
      <c r="E500" s="31" t="s">
        <v>2030</v>
      </c>
      <c r="F500" s="31" t="s">
        <v>2213</v>
      </c>
      <c r="G500" s="31" t="str">
        <f>VLOOKUP(A500,'Active Employees'!$B$2:$B$498,1,false)</f>
        <v>#N/A</v>
      </c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>
      <c r="A501" s="31" t="s">
        <v>2241</v>
      </c>
      <c r="B501" s="31" t="s">
        <v>2027</v>
      </c>
      <c r="C501" s="31" t="s">
        <v>2620</v>
      </c>
      <c r="D501" s="31" t="s">
        <v>2621</v>
      </c>
      <c r="E501" s="31" t="s">
        <v>2030</v>
      </c>
      <c r="F501" s="31" t="s">
        <v>2213</v>
      </c>
      <c r="G501" s="31" t="str">
        <f>VLOOKUP(A501,'Active Employees'!$B$2:$B$498,1,false)</f>
        <v>#N/A</v>
      </c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>
      <c r="A502" s="31" t="s">
        <v>2241</v>
      </c>
      <c r="B502" s="31" t="s">
        <v>2027</v>
      </c>
      <c r="C502" s="31" t="s">
        <v>2612</v>
      </c>
      <c r="D502" s="31" t="s">
        <v>2622</v>
      </c>
      <c r="E502" s="31" t="s">
        <v>2030</v>
      </c>
      <c r="F502" s="31" t="s">
        <v>2213</v>
      </c>
      <c r="G502" s="31" t="str">
        <f>VLOOKUP(A502,'Active Employees'!$B$2:$B$498,1,false)</f>
        <v>#N/A</v>
      </c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>
      <c r="A503" s="31" t="s">
        <v>2241</v>
      </c>
      <c r="B503" s="31" t="s">
        <v>2027</v>
      </c>
      <c r="C503" s="31" t="s">
        <v>2618</v>
      </c>
      <c r="D503" s="31" t="s">
        <v>2623</v>
      </c>
      <c r="E503" s="31" t="s">
        <v>2030</v>
      </c>
      <c r="F503" s="31" t="s">
        <v>2213</v>
      </c>
      <c r="G503" s="31" t="str">
        <f>VLOOKUP(A503,'Active Employees'!$B$2:$B$498,1,false)</f>
        <v>#N/A</v>
      </c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>
      <c r="A504" s="31" t="s">
        <v>2241</v>
      </c>
      <c r="B504" s="31" t="s">
        <v>2027</v>
      </c>
      <c r="C504" s="31" t="s">
        <v>2624</v>
      </c>
      <c r="D504" s="31" t="s">
        <v>2625</v>
      </c>
      <c r="E504" s="31" t="s">
        <v>2030</v>
      </c>
      <c r="F504" s="31" t="s">
        <v>2213</v>
      </c>
      <c r="G504" s="31" t="str">
        <f>VLOOKUP(A504,'Active Employees'!$B$2:$B$498,1,false)</f>
        <v>#N/A</v>
      </c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>
      <c r="A505" s="31" t="s">
        <v>2241</v>
      </c>
      <c r="B505" s="31" t="s">
        <v>2027</v>
      </c>
      <c r="C505" s="31" t="s">
        <v>2248</v>
      </c>
      <c r="D505" s="31" t="s">
        <v>2626</v>
      </c>
      <c r="E505" s="31" t="s">
        <v>2030</v>
      </c>
      <c r="F505" s="31" t="s">
        <v>2213</v>
      </c>
      <c r="G505" s="31" t="str">
        <f>VLOOKUP(A505,'Active Employees'!$B$2:$B$498,1,false)</f>
        <v>#N/A</v>
      </c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>
      <c r="A506" s="31" t="s">
        <v>2241</v>
      </c>
      <c r="B506" s="31" t="s">
        <v>2027</v>
      </c>
      <c r="C506" s="31" t="s">
        <v>2624</v>
      </c>
      <c r="D506" s="31" t="s">
        <v>2627</v>
      </c>
      <c r="E506" s="31" t="s">
        <v>2030</v>
      </c>
      <c r="F506" s="31" t="s">
        <v>2213</v>
      </c>
      <c r="G506" s="31" t="str">
        <f>VLOOKUP(A506,'Active Employees'!$B$2:$B$498,1,false)</f>
        <v>#N/A</v>
      </c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>
      <c r="A507" s="31" t="s">
        <v>2241</v>
      </c>
      <c r="B507" s="31" t="s">
        <v>2027</v>
      </c>
      <c r="C507" s="31" t="s">
        <v>2628</v>
      </c>
      <c r="D507" s="31" t="s">
        <v>2629</v>
      </c>
      <c r="E507" s="31" t="s">
        <v>2030</v>
      </c>
      <c r="F507" s="31" t="s">
        <v>2213</v>
      </c>
      <c r="G507" s="31" t="str">
        <f>VLOOKUP(A507,'Active Employees'!$B$2:$B$498,1,false)</f>
        <v>#N/A</v>
      </c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>
      <c r="A508" s="31" t="s">
        <v>2241</v>
      </c>
      <c r="B508" s="31" t="s">
        <v>2027</v>
      </c>
      <c r="C508" s="31" t="s">
        <v>2248</v>
      </c>
      <c r="D508" s="31" t="s">
        <v>2630</v>
      </c>
      <c r="E508" s="31" t="s">
        <v>2030</v>
      </c>
      <c r="F508" s="31" t="s">
        <v>2213</v>
      </c>
      <c r="G508" s="31" t="str">
        <f>VLOOKUP(A508,'Active Employees'!$B$2:$B$498,1,false)</f>
        <v>#N/A</v>
      </c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>
      <c r="A509" s="31" t="s">
        <v>2241</v>
      </c>
      <c r="B509" s="31" t="s">
        <v>2027</v>
      </c>
      <c r="C509" s="31" t="s">
        <v>2631</v>
      </c>
      <c r="D509" s="31" t="s">
        <v>2632</v>
      </c>
      <c r="E509" s="31" t="s">
        <v>2030</v>
      </c>
      <c r="F509" s="31" t="s">
        <v>2213</v>
      </c>
      <c r="G509" s="31" t="str">
        <f>VLOOKUP(A509,'Active Employees'!$B$2:$B$498,1,false)</f>
        <v>#N/A</v>
      </c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>
      <c r="A510" s="31" t="s">
        <v>2241</v>
      </c>
      <c r="B510" s="31" t="s">
        <v>2027</v>
      </c>
      <c r="C510" s="31" t="s">
        <v>2633</v>
      </c>
      <c r="D510" s="31" t="s">
        <v>2634</v>
      </c>
      <c r="E510" s="31" t="s">
        <v>2030</v>
      </c>
      <c r="F510" s="31" t="s">
        <v>2213</v>
      </c>
      <c r="G510" s="31" t="str">
        <f>VLOOKUP(A510,'Active Employees'!$B$2:$B$498,1,false)</f>
        <v>#N/A</v>
      </c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>
      <c r="A511" s="31" t="s">
        <v>2241</v>
      </c>
      <c r="B511" s="31" t="s">
        <v>2027</v>
      </c>
      <c r="C511" s="31" t="s">
        <v>2635</v>
      </c>
      <c r="D511" s="31" t="s">
        <v>2636</v>
      </c>
      <c r="E511" s="31" t="s">
        <v>2030</v>
      </c>
      <c r="F511" s="31" t="s">
        <v>2213</v>
      </c>
      <c r="G511" s="31" t="str">
        <f>VLOOKUP(A511,'Active Employees'!$B$2:$B$498,1,false)</f>
        <v>#N/A</v>
      </c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>
      <c r="A512" s="31" t="s">
        <v>2241</v>
      </c>
      <c r="B512" s="31" t="s">
        <v>2027</v>
      </c>
      <c r="C512" s="31" t="s">
        <v>2631</v>
      </c>
      <c r="D512" s="31" t="s">
        <v>2637</v>
      </c>
      <c r="E512" s="31" t="s">
        <v>2030</v>
      </c>
      <c r="F512" s="31" t="s">
        <v>2213</v>
      </c>
      <c r="G512" s="31" t="str">
        <f>VLOOKUP(A512,'Active Employees'!$B$2:$B$498,1,false)</f>
        <v>#N/A</v>
      </c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>
      <c r="A513" s="31" t="s">
        <v>2241</v>
      </c>
      <c r="B513" s="31" t="s">
        <v>2027</v>
      </c>
      <c r="C513" s="31" t="s">
        <v>2248</v>
      </c>
      <c r="D513" s="31" t="s">
        <v>2638</v>
      </c>
      <c r="E513" s="31" t="s">
        <v>2030</v>
      </c>
      <c r="F513" s="31" t="s">
        <v>2213</v>
      </c>
      <c r="G513" s="31" t="str">
        <f>VLOOKUP(A513,'Active Employees'!$B$2:$B$498,1,false)</f>
        <v>#N/A</v>
      </c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>
      <c r="A514" s="31" t="s">
        <v>2241</v>
      </c>
      <c r="B514" s="31" t="s">
        <v>2027</v>
      </c>
      <c r="C514" s="31" t="s">
        <v>2248</v>
      </c>
      <c r="D514" s="31" t="s">
        <v>2639</v>
      </c>
      <c r="E514" s="31" t="s">
        <v>2030</v>
      </c>
      <c r="F514" s="31" t="s">
        <v>2213</v>
      </c>
      <c r="G514" s="31" t="str">
        <f>VLOOKUP(A514,'Active Employees'!$B$2:$B$498,1,false)</f>
        <v>#N/A</v>
      </c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>
      <c r="A515" s="31" t="s">
        <v>2241</v>
      </c>
      <c r="B515" s="31" t="s">
        <v>2027</v>
      </c>
      <c r="C515" s="31" t="s">
        <v>2248</v>
      </c>
      <c r="D515" s="31" t="s">
        <v>2640</v>
      </c>
      <c r="E515" s="31" t="s">
        <v>2030</v>
      </c>
      <c r="F515" s="31" t="s">
        <v>2213</v>
      </c>
      <c r="G515" s="31" t="str">
        <f>VLOOKUP(A515,'Active Employees'!$B$2:$B$498,1,false)</f>
        <v>#N/A</v>
      </c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>
      <c r="A516" s="31" t="s">
        <v>2241</v>
      </c>
      <c r="B516" s="31" t="s">
        <v>2027</v>
      </c>
      <c r="C516" s="31" t="s">
        <v>2248</v>
      </c>
      <c r="D516" s="31" t="s">
        <v>2641</v>
      </c>
      <c r="E516" s="31" t="s">
        <v>2030</v>
      </c>
      <c r="F516" s="31" t="s">
        <v>2213</v>
      </c>
      <c r="G516" s="31" t="str">
        <f>VLOOKUP(A516,'Active Employees'!$B$2:$B$498,1,false)</f>
        <v>#N/A</v>
      </c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>
      <c r="A517" s="31" t="s">
        <v>2241</v>
      </c>
      <c r="B517" s="31" t="s">
        <v>2027</v>
      </c>
      <c r="C517" s="31" t="s">
        <v>2635</v>
      </c>
      <c r="D517" s="31" t="s">
        <v>2642</v>
      </c>
      <c r="E517" s="31" t="s">
        <v>2030</v>
      </c>
      <c r="F517" s="31" t="s">
        <v>2213</v>
      </c>
      <c r="G517" s="31" t="str">
        <f>VLOOKUP(A517,'Active Employees'!$B$2:$B$498,1,false)</f>
        <v>#N/A</v>
      </c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>
      <c r="A518" s="31" t="s">
        <v>2241</v>
      </c>
      <c r="B518" s="31" t="s">
        <v>2027</v>
      </c>
      <c r="C518" s="31" t="s">
        <v>2643</v>
      </c>
      <c r="D518" s="31" t="s">
        <v>2644</v>
      </c>
      <c r="E518" s="31" t="s">
        <v>2030</v>
      </c>
      <c r="F518" s="31" t="s">
        <v>2213</v>
      </c>
      <c r="G518" s="31" t="str">
        <f>VLOOKUP(A518,'Active Employees'!$B$2:$B$498,1,false)</f>
        <v>#N/A</v>
      </c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>
      <c r="A519" s="31" t="s">
        <v>2241</v>
      </c>
      <c r="B519" s="31" t="s">
        <v>2027</v>
      </c>
      <c r="C519" s="31" t="s">
        <v>2645</v>
      </c>
      <c r="D519" s="31" t="s">
        <v>2646</v>
      </c>
      <c r="E519" s="31" t="s">
        <v>2030</v>
      </c>
      <c r="F519" s="31" t="s">
        <v>2213</v>
      </c>
      <c r="G519" s="31" t="str">
        <f>VLOOKUP(A519,'Active Employees'!$B$2:$B$498,1,false)</f>
        <v>#N/A</v>
      </c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>
      <c r="A520" s="31" t="s">
        <v>2241</v>
      </c>
      <c r="B520" s="31" t="s">
        <v>2027</v>
      </c>
      <c r="C520" s="31" t="s">
        <v>2647</v>
      </c>
      <c r="D520" s="31" t="s">
        <v>2648</v>
      </c>
      <c r="E520" s="31" t="s">
        <v>2030</v>
      </c>
      <c r="F520" s="31" t="s">
        <v>2213</v>
      </c>
      <c r="G520" s="31" t="str">
        <f>VLOOKUP(A520,'Active Employees'!$B$2:$B$498,1,false)</f>
        <v>#N/A</v>
      </c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>
      <c r="A521" s="31" t="s">
        <v>2241</v>
      </c>
      <c r="B521" s="31" t="s">
        <v>2027</v>
      </c>
      <c r="C521" s="31" t="s">
        <v>2647</v>
      </c>
      <c r="D521" s="31" t="s">
        <v>2649</v>
      </c>
      <c r="E521" s="31" t="s">
        <v>2030</v>
      </c>
      <c r="F521" s="31" t="s">
        <v>2213</v>
      </c>
      <c r="G521" s="31" t="str">
        <f>VLOOKUP(A521,'Active Employees'!$B$2:$B$498,1,false)</f>
        <v>#N/A</v>
      </c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>
      <c r="A522" s="31" t="s">
        <v>2241</v>
      </c>
      <c r="B522" s="31" t="s">
        <v>2027</v>
      </c>
      <c r="C522" s="31" t="s">
        <v>2631</v>
      </c>
      <c r="D522" s="31" t="s">
        <v>2650</v>
      </c>
      <c r="E522" s="31" t="s">
        <v>2030</v>
      </c>
      <c r="F522" s="31" t="s">
        <v>2213</v>
      </c>
      <c r="G522" s="31" t="str">
        <f>VLOOKUP(A522,'Active Employees'!$B$2:$B$498,1,false)</f>
        <v>#N/A</v>
      </c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>
      <c r="A523" s="31" t="s">
        <v>2241</v>
      </c>
      <c r="B523" s="31" t="s">
        <v>2027</v>
      </c>
      <c r="C523" s="31" t="s">
        <v>2631</v>
      </c>
      <c r="D523" s="31" t="s">
        <v>2651</v>
      </c>
      <c r="E523" s="31" t="s">
        <v>2030</v>
      </c>
      <c r="F523" s="31" t="s">
        <v>2213</v>
      </c>
      <c r="G523" s="31" t="str">
        <f>VLOOKUP(A523,'Active Employees'!$B$2:$B$498,1,false)</f>
        <v>#N/A</v>
      </c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>
      <c r="A524" s="31" t="s">
        <v>2241</v>
      </c>
      <c r="B524" s="31" t="s">
        <v>2027</v>
      </c>
      <c r="C524" s="31" t="s">
        <v>2645</v>
      </c>
      <c r="D524" s="31" t="s">
        <v>2652</v>
      </c>
      <c r="E524" s="31" t="s">
        <v>2030</v>
      </c>
      <c r="F524" s="31" t="s">
        <v>2213</v>
      </c>
      <c r="G524" s="31" t="str">
        <f>VLOOKUP(A524,'Active Employees'!$B$2:$B$498,1,false)</f>
        <v>#N/A</v>
      </c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>
      <c r="A525" s="31" t="s">
        <v>2241</v>
      </c>
      <c r="B525" s="31" t="s">
        <v>2027</v>
      </c>
      <c r="C525" s="31" t="s">
        <v>2248</v>
      </c>
      <c r="D525" s="31" t="s">
        <v>2653</v>
      </c>
      <c r="E525" s="31" t="s">
        <v>2030</v>
      </c>
      <c r="F525" s="31" t="s">
        <v>2213</v>
      </c>
      <c r="G525" s="31" t="str">
        <f>VLOOKUP(A525,'Active Employees'!$B$2:$B$498,1,false)</f>
        <v>#N/A</v>
      </c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>
      <c r="A526" s="31" t="s">
        <v>2241</v>
      </c>
      <c r="B526" s="31" t="s">
        <v>2027</v>
      </c>
      <c r="C526" s="31" t="s">
        <v>2248</v>
      </c>
      <c r="D526" s="31" t="s">
        <v>2654</v>
      </c>
      <c r="E526" s="31" t="s">
        <v>2030</v>
      </c>
      <c r="F526" s="31" t="s">
        <v>2213</v>
      </c>
      <c r="G526" s="31" t="str">
        <f>VLOOKUP(A526,'Active Employees'!$B$2:$B$498,1,false)</f>
        <v>#N/A</v>
      </c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>
      <c r="A527" s="31" t="s">
        <v>2241</v>
      </c>
      <c r="B527" s="31" t="s">
        <v>2027</v>
      </c>
      <c r="C527" s="31" t="s">
        <v>2655</v>
      </c>
      <c r="D527" s="31" t="s">
        <v>2656</v>
      </c>
      <c r="E527" s="31" t="s">
        <v>2030</v>
      </c>
      <c r="F527" s="31" t="s">
        <v>2213</v>
      </c>
      <c r="G527" s="31" t="str">
        <f>VLOOKUP(A527,'Active Employees'!$B$2:$B$498,1,false)</f>
        <v>#N/A</v>
      </c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>
      <c r="A528" s="31" t="s">
        <v>2241</v>
      </c>
      <c r="B528" s="31" t="s">
        <v>2027</v>
      </c>
      <c r="C528" s="31" t="s">
        <v>2657</v>
      </c>
      <c r="D528" s="31" t="s">
        <v>2658</v>
      </c>
      <c r="E528" s="31" t="s">
        <v>2030</v>
      </c>
      <c r="F528" s="31" t="s">
        <v>2213</v>
      </c>
      <c r="G528" s="31" t="str">
        <f>VLOOKUP(A528,'Active Employees'!$B$2:$B$498,1,false)</f>
        <v>#N/A</v>
      </c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>
      <c r="A529" s="31" t="s">
        <v>2241</v>
      </c>
      <c r="B529" s="31" t="s">
        <v>2027</v>
      </c>
      <c r="C529" s="31" t="s">
        <v>2248</v>
      </c>
      <c r="D529" s="31" t="s">
        <v>2659</v>
      </c>
      <c r="E529" s="31" t="s">
        <v>2030</v>
      </c>
      <c r="F529" s="31" t="s">
        <v>2213</v>
      </c>
      <c r="G529" s="31" t="str">
        <f>VLOOKUP(A529,'Active Employees'!$B$2:$B$498,1,false)</f>
        <v>#N/A</v>
      </c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>
      <c r="A530" s="31" t="s">
        <v>2241</v>
      </c>
      <c r="B530" s="31" t="s">
        <v>2027</v>
      </c>
      <c r="C530" s="31" t="s">
        <v>2657</v>
      </c>
      <c r="D530" s="31" t="s">
        <v>2660</v>
      </c>
      <c r="E530" s="31" t="s">
        <v>2030</v>
      </c>
      <c r="F530" s="31" t="s">
        <v>2213</v>
      </c>
      <c r="G530" s="31" t="str">
        <f>VLOOKUP(A530,'Active Employees'!$B$2:$B$498,1,false)</f>
        <v>#N/A</v>
      </c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>
      <c r="A531" s="31" t="s">
        <v>2241</v>
      </c>
      <c r="B531" s="31" t="s">
        <v>2027</v>
      </c>
      <c r="C531" s="31" t="s">
        <v>2655</v>
      </c>
      <c r="D531" s="31" t="s">
        <v>2661</v>
      </c>
      <c r="E531" s="31" t="s">
        <v>2030</v>
      </c>
      <c r="F531" s="31" t="s">
        <v>2213</v>
      </c>
      <c r="G531" s="31" t="str">
        <f>VLOOKUP(A531,'Active Employees'!$B$2:$B$498,1,false)</f>
        <v>#N/A</v>
      </c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>
      <c r="A532" s="31" t="s">
        <v>2241</v>
      </c>
      <c r="B532" s="31" t="s">
        <v>2027</v>
      </c>
      <c r="C532" s="31" t="s">
        <v>2248</v>
      </c>
      <c r="D532" s="31" t="s">
        <v>2662</v>
      </c>
      <c r="E532" s="31" t="s">
        <v>2030</v>
      </c>
      <c r="F532" s="31" t="s">
        <v>2213</v>
      </c>
      <c r="G532" s="31" t="str">
        <f>VLOOKUP(A532,'Active Employees'!$B$2:$B$498,1,false)</f>
        <v>#N/A</v>
      </c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>
      <c r="A533" s="31" t="s">
        <v>2241</v>
      </c>
      <c r="B533" s="31" t="s">
        <v>2027</v>
      </c>
      <c r="C533" s="31" t="s">
        <v>2248</v>
      </c>
      <c r="D533" s="31" t="s">
        <v>2663</v>
      </c>
      <c r="E533" s="31" t="s">
        <v>2030</v>
      </c>
      <c r="F533" s="31" t="s">
        <v>2213</v>
      </c>
      <c r="G533" s="31" t="str">
        <f>VLOOKUP(A533,'Active Employees'!$B$2:$B$498,1,false)</f>
        <v>#N/A</v>
      </c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>
      <c r="A534" s="31" t="s">
        <v>2241</v>
      </c>
      <c r="B534" s="31" t="s">
        <v>2027</v>
      </c>
      <c r="C534" s="31" t="s">
        <v>2248</v>
      </c>
      <c r="D534" s="31" t="s">
        <v>2664</v>
      </c>
      <c r="E534" s="31" t="s">
        <v>2030</v>
      </c>
      <c r="F534" s="31" t="s">
        <v>2213</v>
      </c>
      <c r="G534" s="31" t="str">
        <f>VLOOKUP(A534,'Active Employees'!$B$2:$B$498,1,false)</f>
        <v>#N/A</v>
      </c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>
      <c r="A535" s="31" t="s">
        <v>2241</v>
      </c>
      <c r="B535" s="31" t="s">
        <v>2027</v>
      </c>
      <c r="C535" s="31" t="s">
        <v>2665</v>
      </c>
      <c r="D535" s="31" t="s">
        <v>2666</v>
      </c>
      <c r="E535" s="31" t="s">
        <v>2030</v>
      </c>
      <c r="F535" s="31" t="s">
        <v>2213</v>
      </c>
      <c r="G535" s="31" t="str">
        <f>VLOOKUP(A535,'Active Employees'!$B$2:$B$498,1,false)</f>
        <v>#N/A</v>
      </c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>
      <c r="A536" s="31" t="s">
        <v>2241</v>
      </c>
      <c r="B536" s="31" t="s">
        <v>2027</v>
      </c>
      <c r="C536" s="31" t="s">
        <v>2584</v>
      </c>
      <c r="D536" s="31" t="s">
        <v>2667</v>
      </c>
      <c r="E536" s="31" t="s">
        <v>2030</v>
      </c>
      <c r="F536" s="31" t="s">
        <v>2213</v>
      </c>
      <c r="G536" s="31" t="str">
        <f>VLOOKUP(A536,'Active Employees'!$B$2:$B$498,1,false)</f>
        <v>#N/A</v>
      </c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>
      <c r="A537" s="31" t="s">
        <v>2241</v>
      </c>
      <c r="B537" s="31" t="s">
        <v>2027</v>
      </c>
      <c r="C537" s="31" t="s">
        <v>2584</v>
      </c>
      <c r="D537" s="31" t="s">
        <v>2668</v>
      </c>
      <c r="E537" s="31" t="s">
        <v>2030</v>
      </c>
      <c r="F537" s="31" t="s">
        <v>2213</v>
      </c>
      <c r="G537" s="31" t="str">
        <f>VLOOKUP(A537,'Active Employees'!$B$2:$B$498,1,false)</f>
        <v>#N/A</v>
      </c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>
      <c r="A538" s="31" t="s">
        <v>2241</v>
      </c>
      <c r="B538" s="31" t="s">
        <v>2027</v>
      </c>
      <c r="C538" s="31" t="s">
        <v>2584</v>
      </c>
      <c r="D538" s="31" t="s">
        <v>2669</v>
      </c>
      <c r="E538" s="31" t="s">
        <v>2030</v>
      </c>
      <c r="F538" s="31" t="s">
        <v>2213</v>
      </c>
      <c r="G538" s="31" t="str">
        <f>VLOOKUP(A538,'Active Employees'!$B$2:$B$498,1,false)</f>
        <v>#N/A</v>
      </c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>
      <c r="A539" s="31" t="s">
        <v>2241</v>
      </c>
      <c r="B539" s="31" t="s">
        <v>2027</v>
      </c>
      <c r="C539" s="31" t="s">
        <v>2584</v>
      </c>
      <c r="D539" s="31" t="s">
        <v>2670</v>
      </c>
      <c r="E539" s="31" t="s">
        <v>2030</v>
      </c>
      <c r="F539" s="31" t="s">
        <v>2213</v>
      </c>
      <c r="G539" s="31" t="str">
        <f>VLOOKUP(A539,'Active Employees'!$B$2:$B$498,1,false)</f>
        <v>#N/A</v>
      </c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>
      <c r="A540" s="31" t="s">
        <v>2241</v>
      </c>
      <c r="B540" s="31" t="s">
        <v>2027</v>
      </c>
      <c r="C540" s="31" t="s">
        <v>2584</v>
      </c>
      <c r="D540" s="31" t="s">
        <v>2671</v>
      </c>
      <c r="E540" s="31" t="s">
        <v>2030</v>
      </c>
      <c r="F540" s="31" t="s">
        <v>2213</v>
      </c>
      <c r="G540" s="31" t="str">
        <f>VLOOKUP(A540,'Active Employees'!$B$2:$B$498,1,false)</f>
        <v>#N/A</v>
      </c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>
      <c r="A541" s="31" t="s">
        <v>2241</v>
      </c>
      <c r="B541" s="31" t="s">
        <v>2027</v>
      </c>
      <c r="C541" s="31" t="s">
        <v>2584</v>
      </c>
      <c r="D541" s="31" t="s">
        <v>2672</v>
      </c>
      <c r="E541" s="31" t="s">
        <v>2030</v>
      </c>
      <c r="F541" s="31" t="s">
        <v>2213</v>
      </c>
      <c r="G541" s="31" t="str">
        <f>VLOOKUP(A541,'Active Employees'!$B$2:$B$498,1,false)</f>
        <v>#N/A</v>
      </c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>
      <c r="A542" s="31" t="s">
        <v>2241</v>
      </c>
      <c r="B542" s="31" t="s">
        <v>2027</v>
      </c>
      <c r="C542" s="31" t="s">
        <v>2248</v>
      </c>
      <c r="D542" s="31" t="s">
        <v>2673</v>
      </c>
      <c r="E542" s="31" t="s">
        <v>2030</v>
      </c>
      <c r="F542" s="31" t="s">
        <v>2213</v>
      </c>
      <c r="G542" s="31" t="str">
        <f>VLOOKUP(A542,'Active Employees'!$B$2:$B$498,1,false)</f>
        <v>#N/A</v>
      </c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>
      <c r="A543" s="31" t="s">
        <v>2241</v>
      </c>
      <c r="B543" s="31" t="s">
        <v>2027</v>
      </c>
      <c r="C543" s="31" t="s">
        <v>2674</v>
      </c>
      <c r="D543" s="31" t="s">
        <v>2675</v>
      </c>
      <c r="E543" s="31" t="s">
        <v>2030</v>
      </c>
      <c r="F543" s="31" t="s">
        <v>2213</v>
      </c>
      <c r="G543" s="31" t="str">
        <f>VLOOKUP(A543,'Active Employees'!$B$2:$B$498,1,false)</f>
        <v>#N/A</v>
      </c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>
      <c r="A544" s="31" t="s">
        <v>2241</v>
      </c>
      <c r="B544" s="31" t="s">
        <v>2027</v>
      </c>
      <c r="C544" s="31" t="s">
        <v>2248</v>
      </c>
      <c r="D544" s="31" t="s">
        <v>2676</v>
      </c>
      <c r="E544" s="31" t="s">
        <v>2030</v>
      </c>
      <c r="F544" s="31" t="s">
        <v>2213</v>
      </c>
      <c r="G544" s="31" t="str">
        <f>VLOOKUP(A544,'Active Employees'!$B$2:$B$498,1,false)</f>
        <v>#N/A</v>
      </c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>
      <c r="A545" s="31" t="s">
        <v>2241</v>
      </c>
      <c r="B545" s="31" t="s">
        <v>2027</v>
      </c>
      <c r="C545" s="31" t="s">
        <v>2677</v>
      </c>
      <c r="D545" s="31" t="s">
        <v>2678</v>
      </c>
      <c r="E545" s="31" t="s">
        <v>2030</v>
      </c>
      <c r="F545" s="31" t="s">
        <v>2213</v>
      </c>
      <c r="G545" s="31" t="str">
        <f>VLOOKUP(A545,'Active Employees'!$B$2:$B$498,1,false)</f>
        <v>#N/A</v>
      </c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>
      <c r="A546" s="31" t="s">
        <v>2241</v>
      </c>
      <c r="B546" s="31" t="s">
        <v>2027</v>
      </c>
      <c r="C546" s="31" t="s">
        <v>2248</v>
      </c>
      <c r="D546" s="31" t="s">
        <v>2679</v>
      </c>
      <c r="E546" s="31" t="s">
        <v>2030</v>
      </c>
      <c r="F546" s="31" t="s">
        <v>2213</v>
      </c>
      <c r="G546" s="31" t="str">
        <f>VLOOKUP(A546,'Active Employees'!$B$2:$B$498,1,false)</f>
        <v>#N/A</v>
      </c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>
      <c r="A547" s="31" t="s">
        <v>2241</v>
      </c>
      <c r="B547" s="31" t="s">
        <v>2027</v>
      </c>
      <c r="C547" s="31" t="s">
        <v>2248</v>
      </c>
      <c r="D547" s="31" t="s">
        <v>2680</v>
      </c>
      <c r="E547" s="31" t="s">
        <v>2030</v>
      </c>
      <c r="F547" s="31" t="s">
        <v>2213</v>
      </c>
      <c r="G547" s="31" t="str">
        <f>VLOOKUP(A547,'Active Employees'!$B$2:$B$498,1,false)</f>
        <v>#N/A</v>
      </c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>
      <c r="A548" s="31" t="s">
        <v>2241</v>
      </c>
      <c r="B548" s="31" t="s">
        <v>2027</v>
      </c>
      <c r="C548" s="31" t="s">
        <v>2248</v>
      </c>
      <c r="D548" s="31" t="s">
        <v>2681</v>
      </c>
      <c r="E548" s="31" t="s">
        <v>2030</v>
      </c>
      <c r="F548" s="31" t="s">
        <v>2213</v>
      </c>
      <c r="G548" s="31" t="str">
        <f>VLOOKUP(A548,'Active Employees'!$B$2:$B$498,1,false)</f>
        <v>#N/A</v>
      </c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>
      <c r="A549" s="31" t="s">
        <v>2241</v>
      </c>
      <c r="B549" s="31" t="s">
        <v>2027</v>
      </c>
      <c r="C549" s="31" t="s">
        <v>2682</v>
      </c>
      <c r="D549" s="31" t="s">
        <v>2683</v>
      </c>
      <c r="E549" s="31" t="s">
        <v>2030</v>
      </c>
      <c r="F549" s="31" t="s">
        <v>2213</v>
      </c>
      <c r="G549" s="31" t="str">
        <f>VLOOKUP(A549,'Active Employees'!$B$2:$B$498,1,false)</f>
        <v>#N/A</v>
      </c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>
      <c r="A550" s="31" t="s">
        <v>2241</v>
      </c>
      <c r="B550" s="31" t="s">
        <v>2027</v>
      </c>
      <c r="C550" s="31" t="s">
        <v>2684</v>
      </c>
      <c r="D550" s="31" t="s">
        <v>2685</v>
      </c>
      <c r="E550" s="31" t="s">
        <v>2030</v>
      </c>
      <c r="F550" s="31" t="s">
        <v>2213</v>
      </c>
      <c r="G550" s="31" t="str">
        <f>VLOOKUP(A550,'Active Employees'!$B$2:$B$498,1,false)</f>
        <v>#N/A</v>
      </c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>
      <c r="A551" s="31" t="s">
        <v>2241</v>
      </c>
      <c r="B551" s="31" t="s">
        <v>2027</v>
      </c>
      <c r="C551" s="31" t="s">
        <v>2682</v>
      </c>
      <c r="D551" s="31" t="s">
        <v>2686</v>
      </c>
      <c r="E551" s="31" t="s">
        <v>2030</v>
      </c>
      <c r="F551" s="31" t="s">
        <v>2213</v>
      </c>
      <c r="G551" s="31" t="str">
        <f>VLOOKUP(A551,'Active Employees'!$B$2:$B$498,1,false)</f>
        <v>#N/A</v>
      </c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>
      <c r="A552" s="31" t="s">
        <v>2241</v>
      </c>
      <c r="B552" s="31" t="s">
        <v>2027</v>
      </c>
      <c r="C552" s="31" t="s">
        <v>2645</v>
      </c>
      <c r="D552" s="31" t="s">
        <v>2687</v>
      </c>
      <c r="E552" s="31" t="s">
        <v>2030</v>
      </c>
      <c r="F552" s="31" t="s">
        <v>2213</v>
      </c>
      <c r="G552" s="31" t="str">
        <f>VLOOKUP(A552,'Active Employees'!$B$2:$B$498,1,false)</f>
        <v>#N/A</v>
      </c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>
      <c r="A553" s="31" t="s">
        <v>2241</v>
      </c>
      <c r="B553" s="31" t="s">
        <v>2027</v>
      </c>
      <c r="C553" s="31" t="s">
        <v>2688</v>
      </c>
      <c r="D553" s="31" t="s">
        <v>2689</v>
      </c>
      <c r="E553" s="31" t="s">
        <v>2030</v>
      </c>
      <c r="F553" s="31" t="s">
        <v>2213</v>
      </c>
      <c r="G553" s="31" t="str">
        <f>VLOOKUP(A553,'Active Employees'!$B$2:$B$498,1,false)</f>
        <v>#N/A</v>
      </c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>
      <c r="A554" s="31" t="s">
        <v>2241</v>
      </c>
      <c r="B554" s="31" t="s">
        <v>2027</v>
      </c>
      <c r="C554" s="31" t="s">
        <v>2248</v>
      </c>
      <c r="D554" s="31" t="s">
        <v>2690</v>
      </c>
      <c r="E554" s="31" t="s">
        <v>2030</v>
      </c>
      <c r="F554" s="31" t="s">
        <v>2213</v>
      </c>
      <c r="G554" s="31" t="str">
        <f>VLOOKUP(A554,'Active Employees'!$B$2:$B$498,1,false)</f>
        <v>#N/A</v>
      </c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>
      <c r="A555" s="31" t="s">
        <v>2241</v>
      </c>
      <c r="B555" s="31" t="s">
        <v>2027</v>
      </c>
      <c r="C555" s="31" t="s">
        <v>2688</v>
      </c>
      <c r="D555" s="31" t="s">
        <v>2691</v>
      </c>
      <c r="E555" s="31" t="s">
        <v>2030</v>
      </c>
      <c r="F555" s="31" t="s">
        <v>2213</v>
      </c>
      <c r="G555" s="31" t="str">
        <f>VLOOKUP(A555,'Active Employees'!$B$2:$B$498,1,false)</f>
        <v>#N/A</v>
      </c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>
      <c r="A556" s="31" t="s">
        <v>2241</v>
      </c>
      <c r="B556" s="31" t="s">
        <v>2027</v>
      </c>
      <c r="C556" s="31" t="s">
        <v>2645</v>
      </c>
      <c r="D556" s="31" t="s">
        <v>2692</v>
      </c>
      <c r="E556" s="31" t="s">
        <v>2030</v>
      </c>
      <c r="F556" s="31" t="s">
        <v>2213</v>
      </c>
      <c r="G556" s="31" t="str">
        <f>VLOOKUP(A556,'Active Employees'!$B$2:$B$498,1,false)</f>
        <v>#N/A</v>
      </c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>
      <c r="A557" s="31" t="s">
        <v>2241</v>
      </c>
      <c r="B557" s="31" t="s">
        <v>2027</v>
      </c>
      <c r="C557" s="31" t="s">
        <v>2693</v>
      </c>
      <c r="D557" s="31" t="s">
        <v>2694</v>
      </c>
      <c r="E557" s="31" t="s">
        <v>2030</v>
      </c>
      <c r="F557" s="31" t="s">
        <v>2213</v>
      </c>
      <c r="G557" s="31" t="str">
        <f>VLOOKUP(A557,'Active Employees'!$B$2:$B$498,1,false)</f>
        <v>#N/A</v>
      </c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>
      <c r="A558" s="31" t="s">
        <v>2241</v>
      </c>
      <c r="B558" s="31" t="s">
        <v>2027</v>
      </c>
      <c r="C558" s="31" t="s">
        <v>2645</v>
      </c>
      <c r="D558" s="31" t="s">
        <v>2695</v>
      </c>
      <c r="E558" s="31" t="s">
        <v>2030</v>
      </c>
      <c r="F558" s="31" t="s">
        <v>2213</v>
      </c>
      <c r="G558" s="31" t="str">
        <f>VLOOKUP(A558,'Active Employees'!$B$2:$B$498,1,false)</f>
        <v>#N/A</v>
      </c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>
      <c r="A559" s="31" t="s">
        <v>2241</v>
      </c>
      <c r="B559" s="31" t="s">
        <v>2027</v>
      </c>
      <c r="C559" s="31" t="s">
        <v>2645</v>
      </c>
      <c r="D559" s="31" t="s">
        <v>2696</v>
      </c>
      <c r="E559" s="31" t="s">
        <v>2030</v>
      </c>
      <c r="F559" s="31" t="s">
        <v>2213</v>
      </c>
      <c r="G559" s="31" t="str">
        <f>VLOOKUP(A559,'Active Employees'!$B$2:$B$498,1,false)</f>
        <v>#N/A</v>
      </c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>
      <c r="A560" s="31" t="s">
        <v>2241</v>
      </c>
      <c r="B560" s="31" t="s">
        <v>2027</v>
      </c>
      <c r="C560" s="31" t="s">
        <v>2645</v>
      </c>
      <c r="D560" s="31" t="s">
        <v>2697</v>
      </c>
      <c r="E560" s="31" t="s">
        <v>2030</v>
      </c>
      <c r="F560" s="31" t="s">
        <v>2213</v>
      </c>
      <c r="G560" s="31" t="str">
        <f>VLOOKUP(A560,'Active Employees'!$B$2:$B$498,1,false)</f>
        <v>#N/A</v>
      </c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>
      <c r="A561" s="31" t="s">
        <v>2241</v>
      </c>
      <c r="B561" s="31" t="s">
        <v>2027</v>
      </c>
      <c r="C561" s="31" t="s">
        <v>2248</v>
      </c>
      <c r="D561" s="31" t="s">
        <v>2698</v>
      </c>
      <c r="E561" s="31" t="s">
        <v>2030</v>
      </c>
      <c r="F561" s="31" t="s">
        <v>2213</v>
      </c>
      <c r="G561" s="31" t="str">
        <f>VLOOKUP(A561,'Active Employees'!$B$2:$B$498,1,false)</f>
        <v>#N/A</v>
      </c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>
      <c r="A562" s="31" t="s">
        <v>2241</v>
      </c>
      <c r="B562" s="31" t="s">
        <v>2027</v>
      </c>
      <c r="C562" s="31" t="s">
        <v>2424</v>
      </c>
      <c r="D562" s="31" t="s">
        <v>2699</v>
      </c>
      <c r="E562" s="31" t="s">
        <v>2030</v>
      </c>
      <c r="F562" s="31" t="s">
        <v>2213</v>
      </c>
      <c r="G562" s="31" t="str">
        <f>VLOOKUP(A562,'Active Employees'!$B$2:$B$498,1,false)</f>
        <v>#N/A</v>
      </c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>
      <c r="A563" s="31" t="s">
        <v>2241</v>
      </c>
      <c r="B563" s="31" t="s">
        <v>2027</v>
      </c>
      <c r="C563" s="31" t="s">
        <v>2248</v>
      </c>
      <c r="D563" s="31" t="s">
        <v>2700</v>
      </c>
      <c r="E563" s="31" t="s">
        <v>2030</v>
      </c>
      <c r="F563" s="31" t="s">
        <v>2213</v>
      </c>
      <c r="G563" s="31" t="str">
        <f>VLOOKUP(A563,'Active Employees'!$B$2:$B$498,1,false)</f>
        <v>#N/A</v>
      </c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>
      <c r="A564" s="31" t="s">
        <v>2241</v>
      </c>
      <c r="B564" s="31" t="s">
        <v>2027</v>
      </c>
      <c r="C564" s="31" t="s">
        <v>2701</v>
      </c>
      <c r="D564" s="31" t="s">
        <v>2702</v>
      </c>
      <c r="E564" s="31" t="s">
        <v>2030</v>
      </c>
      <c r="F564" s="31" t="s">
        <v>2213</v>
      </c>
      <c r="G564" s="31" t="str">
        <f>VLOOKUP(A564,'Active Employees'!$B$2:$B$498,1,false)</f>
        <v>#N/A</v>
      </c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>
      <c r="A565" s="31" t="s">
        <v>2241</v>
      </c>
      <c r="B565" s="31" t="s">
        <v>2027</v>
      </c>
      <c r="C565" s="31" t="s">
        <v>2701</v>
      </c>
      <c r="D565" s="31" t="s">
        <v>2703</v>
      </c>
      <c r="E565" s="31" t="s">
        <v>2030</v>
      </c>
      <c r="F565" s="31" t="s">
        <v>2213</v>
      </c>
      <c r="G565" s="31" t="str">
        <f>VLOOKUP(A565,'Active Employees'!$B$2:$B$498,1,false)</f>
        <v>#N/A</v>
      </c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>
      <c r="A566" s="31" t="s">
        <v>2241</v>
      </c>
      <c r="B566" s="31" t="s">
        <v>2027</v>
      </c>
      <c r="C566" s="31" t="s">
        <v>2704</v>
      </c>
      <c r="D566" s="31" t="s">
        <v>2705</v>
      </c>
      <c r="E566" s="31" t="s">
        <v>2030</v>
      </c>
      <c r="F566" s="31" t="s">
        <v>2213</v>
      </c>
      <c r="G566" s="31" t="str">
        <f>VLOOKUP(A566,'Active Employees'!$B$2:$B$498,1,false)</f>
        <v>#N/A</v>
      </c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>
      <c r="A567" s="31" t="s">
        <v>2241</v>
      </c>
      <c r="B567" s="31" t="s">
        <v>2027</v>
      </c>
      <c r="C567" s="31" t="s">
        <v>2248</v>
      </c>
      <c r="D567" s="31" t="s">
        <v>2706</v>
      </c>
      <c r="E567" s="31" t="s">
        <v>2030</v>
      </c>
      <c r="F567" s="31" t="s">
        <v>2213</v>
      </c>
      <c r="G567" s="31" t="str">
        <f>VLOOKUP(A567,'Active Employees'!$B$2:$B$498,1,false)</f>
        <v>#N/A</v>
      </c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>
      <c r="A568" s="31" t="s">
        <v>2241</v>
      </c>
      <c r="B568" s="31" t="s">
        <v>2027</v>
      </c>
      <c r="C568" s="31" t="s">
        <v>2707</v>
      </c>
      <c r="D568" s="31" t="s">
        <v>2708</v>
      </c>
      <c r="E568" s="31" t="s">
        <v>2030</v>
      </c>
      <c r="F568" s="31" t="s">
        <v>2213</v>
      </c>
      <c r="G568" s="31" t="str">
        <f>VLOOKUP(A568,'Active Employees'!$B$2:$B$498,1,false)</f>
        <v>#N/A</v>
      </c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>
      <c r="A569" s="31" t="s">
        <v>2241</v>
      </c>
      <c r="B569" s="31" t="s">
        <v>2027</v>
      </c>
      <c r="C569" s="31" t="s">
        <v>2684</v>
      </c>
      <c r="D569" s="31" t="s">
        <v>2709</v>
      </c>
      <c r="E569" s="31" t="s">
        <v>2030</v>
      </c>
      <c r="F569" s="31" t="s">
        <v>2213</v>
      </c>
      <c r="G569" s="31" t="str">
        <f>VLOOKUP(A569,'Active Employees'!$B$2:$B$498,1,false)</f>
        <v>#N/A</v>
      </c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>
      <c r="A570" s="31" t="s">
        <v>2241</v>
      </c>
      <c r="B570" s="31" t="s">
        <v>2027</v>
      </c>
      <c r="C570" s="31" t="s">
        <v>2710</v>
      </c>
      <c r="D570" s="31" t="s">
        <v>2711</v>
      </c>
      <c r="E570" s="31" t="s">
        <v>2030</v>
      </c>
      <c r="F570" s="31" t="s">
        <v>2213</v>
      </c>
      <c r="G570" s="31" t="str">
        <f>VLOOKUP(A570,'Active Employees'!$B$2:$B$498,1,false)</f>
        <v>#N/A</v>
      </c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>
      <c r="A571" s="31" t="s">
        <v>2241</v>
      </c>
      <c r="B571" s="31" t="s">
        <v>2027</v>
      </c>
      <c r="C571" s="31" t="s">
        <v>2248</v>
      </c>
      <c r="D571" s="31" t="s">
        <v>2712</v>
      </c>
      <c r="E571" s="31" t="s">
        <v>2030</v>
      </c>
      <c r="F571" s="31" t="s">
        <v>2213</v>
      </c>
      <c r="G571" s="31" t="str">
        <f>VLOOKUP(A571,'Active Employees'!$B$2:$B$498,1,false)</f>
        <v>#N/A</v>
      </c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>
      <c r="A572" s="31" t="s">
        <v>2241</v>
      </c>
      <c r="B572" s="31" t="s">
        <v>2027</v>
      </c>
      <c r="C572" s="31" t="s">
        <v>2684</v>
      </c>
      <c r="D572" s="31" t="s">
        <v>2713</v>
      </c>
      <c r="E572" s="31" t="s">
        <v>2030</v>
      </c>
      <c r="F572" s="31" t="s">
        <v>2213</v>
      </c>
      <c r="G572" s="31" t="str">
        <f>VLOOKUP(A572,'Active Employees'!$B$2:$B$498,1,false)</f>
        <v>#N/A</v>
      </c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>
      <c r="A573" s="31" t="s">
        <v>2241</v>
      </c>
      <c r="B573" s="31" t="s">
        <v>2027</v>
      </c>
      <c r="C573" s="31" t="s">
        <v>2684</v>
      </c>
      <c r="D573" s="31" t="s">
        <v>2714</v>
      </c>
      <c r="E573" s="31" t="s">
        <v>2030</v>
      </c>
      <c r="F573" s="31" t="s">
        <v>2213</v>
      </c>
      <c r="G573" s="31" t="str">
        <f>VLOOKUP(A573,'Active Employees'!$B$2:$B$498,1,false)</f>
        <v>#N/A</v>
      </c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>
      <c r="A574" s="31" t="s">
        <v>2241</v>
      </c>
      <c r="B574" s="31" t="s">
        <v>2027</v>
      </c>
      <c r="C574" s="31" t="s">
        <v>2684</v>
      </c>
      <c r="D574" s="31" t="s">
        <v>2715</v>
      </c>
      <c r="E574" s="31" t="s">
        <v>2030</v>
      </c>
      <c r="F574" s="31" t="s">
        <v>2213</v>
      </c>
      <c r="G574" s="31" t="str">
        <f>VLOOKUP(A574,'Active Employees'!$B$2:$B$498,1,false)</f>
        <v>#N/A</v>
      </c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>
      <c r="A575" s="31" t="s">
        <v>2241</v>
      </c>
      <c r="B575" s="31" t="s">
        <v>2027</v>
      </c>
      <c r="C575" s="31" t="s">
        <v>2684</v>
      </c>
      <c r="D575" s="31" t="s">
        <v>2716</v>
      </c>
      <c r="E575" s="31" t="s">
        <v>2030</v>
      </c>
      <c r="F575" s="31" t="s">
        <v>2213</v>
      </c>
      <c r="G575" s="31" t="str">
        <f>VLOOKUP(A575,'Active Employees'!$B$2:$B$498,1,false)</f>
        <v>#N/A</v>
      </c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>
      <c r="A576" s="31" t="s">
        <v>2241</v>
      </c>
      <c r="B576" s="31" t="s">
        <v>2027</v>
      </c>
      <c r="C576" s="31" t="s">
        <v>2684</v>
      </c>
      <c r="D576" s="31" t="s">
        <v>2717</v>
      </c>
      <c r="E576" s="31" t="s">
        <v>2030</v>
      </c>
      <c r="F576" s="31" t="s">
        <v>2213</v>
      </c>
      <c r="G576" s="31" t="str">
        <f>VLOOKUP(A576,'Active Employees'!$B$2:$B$498,1,false)</f>
        <v>#N/A</v>
      </c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>
      <c r="A577" s="31" t="s">
        <v>2241</v>
      </c>
      <c r="B577" s="31" t="s">
        <v>2027</v>
      </c>
      <c r="C577" s="31" t="s">
        <v>2684</v>
      </c>
      <c r="D577" s="31" t="s">
        <v>2718</v>
      </c>
      <c r="E577" s="31" t="s">
        <v>2030</v>
      </c>
      <c r="F577" s="31" t="s">
        <v>2213</v>
      </c>
      <c r="G577" s="31" t="str">
        <f>VLOOKUP(A577,'Active Employees'!$B$2:$B$498,1,false)</f>
        <v>#N/A</v>
      </c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>
      <c r="A578" s="31" t="s">
        <v>2241</v>
      </c>
      <c r="B578" s="31" t="s">
        <v>2027</v>
      </c>
      <c r="C578" s="31" t="s">
        <v>2684</v>
      </c>
      <c r="D578" s="31" t="s">
        <v>2719</v>
      </c>
      <c r="E578" s="31" t="s">
        <v>2030</v>
      </c>
      <c r="F578" s="31" t="s">
        <v>2213</v>
      </c>
      <c r="G578" s="31" t="str">
        <f>VLOOKUP(A578,'Active Employees'!$B$2:$B$498,1,false)</f>
        <v>#N/A</v>
      </c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>
      <c r="A579" s="31" t="s">
        <v>2241</v>
      </c>
      <c r="B579" s="31" t="s">
        <v>2027</v>
      </c>
      <c r="C579" s="31" t="s">
        <v>2684</v>
      </c>
      <c r="D579" s="31" t="s">
        <v>2720</v>
      </c>
      <c r="E579" s="31" t="s">
        <v>2030</v>
      </c>
      <c r="F579" s="31" t="s">
        <v>2213</v>
      </c>
      <c r="G579" s="31" t="str">
        <f>VLOOKUP(A579,'Active Employees'!$B$2:$B$498,1,false)</f>
        <v>#N/A</v>
      </c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>
      <c r="A580" s="31" t="s">
        <v>2241</v>
      </c>
      <c r="B580" s="31" t="s">
        <v>2027</v>
      </c>
      <c r="C580" s="31" t="s">
        <v>2684</v>
      </c>
      <c r="D580" s="31" t="s">
        <v>2721</v>
      </c>
      <c r="E580" s="31" t="s">
        <v>2030</v>
      </c>
      <c r="F580" s="31" t="s">
        <v>2213</v>
      </c>
      <c r="G580" s="31" t="str">
        <f>VLOOKUP(A580,'Active Employees'!$B$2:$B$498,1,false)</f>
        <v>#N/A</v>
      </c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>
      <c r="A581" s="31" t="s">
        <v>2241</v>
      </c>
      <c r="B581" s="31" t="s">
        <v>2027</v>
      </c>
      <c r="C581" s="31" t="s">
        <v>2722</v>
      </c>
      <c r="D581" s="31" t="s">
        <v>2723</v>
      </c>
      <c r="E581" s="31" t="s">
        <v>2030</v>
      </c>
      <c r="F581" s="31" t="s">
        <v>2213</v>
      </c>
      <c r="G581" s="31" t="str">
        <f>VLOOKUP(A581,'Active Employees'!$B$2:$B$498,1,false)</f>
        <v>#N/A</v>
      </c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>
      <c r="A582" s="31" t="s">
        <v>2241</v>
      </c>
      <c r="B582" s="31" t="s">
        <v>2027</v>
      </c>
      <c r="C582" s="31" t="s">
        <v>2684</v>
      </c>
      <c r="D582" s="31" t="s">
        <v>2724</v>
      </c>
      <c r="E582" s="31" t="s">
        <v>2030</v>
      </c>
      <c r="F582" s="31" t="s">
        <v>2213</v>
      </c>
      <c r="G582" s="31" t="str">
        <f>VLOOKUP(A582,'Active Employees'!$B$2:$B$498,1,false)</f>
        <v>#N/A</v>
      </c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>
      <c r="A583" s="31" t="s">
        <v>2241</v>
      </c>
      <c r="B583" s="31" t="s">
        <v>2027</v>
      </c>
      <c r="C583" s="31" t="s">
        <v>2725</v>
      </c>
      <c r="D583" s="31" t="s">
        <v>2726</v>
      </c>
      <c r="E583" s="31" t="s">
        <v>2030</v>
      </c>
      <c r="F583" s="31" t="s">
        <v>2213</v>
      </c>
      <c r="G583" s="31" t="str">
        <f>VLOOKUP(A583,'Active Employees'!$B$2:$B$498,1,false)</f>
        <v>#N/A</v>
      </c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>
      <c r="A584" s="31" t="s">
        <v>2241</v>
      </c>
      <c r="B584" s="31" t="s">
        <v>2027</v>
      </c>
      <c r="C584" s="31" t="s">
        <v>2727</v>
      </c>
      <c r="D584" s="31" t="s">
        <v>2728</v>
      </c>
      <c r="E584" s="31" t="s">
        <v>2030</v>
      </c>
      <c r="F584" s="31" t="s">
        <v>2213</v>
      </c>
      <c r="G584" s="31" t="str">
        <f>VLOOKUP(A584,'Active Employees'!$B$2:$B$498,1,false)</f>
        <v>#N/A</v>
      </c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>
      <c r="A585" s="31" t="s">
        <v>2241</v>
      </c>
      <c r="B585" s="31" t="s">
        <v>2027</v>
      </c>
      <c r="C585" s="31" t="s">
        <v>2729</v>
      </c>
      <c r="D585" s="31" t="s">
        <v>2730</v>
      </c>
      <c r="E585" s="31" t="s">
        <v>2030</v>
      </c>
      <c r="F585" s="31" t="s">
        <v>2213</v>
      </c>
      <c r="G585" s="31" t="str">
        <f>VLOOKUP(A585,'Active Employees'!$B$2:$B$498,1,false)</f>
        <v>#N/A</v>
      </c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>
      <c r="A586" s="31" t="s">
        <v>2241</v>
      </c>
      <c r="B586" s="31" t="s">
        <v>2027</v>
      </c>
      <c r="C586" s="31" t="s">
        <v>2248</v>
      </c>
      <c r="D586" s="31" t="s">
        <v>2731</v>
      </c>
      <c r="E586" s="31" t="s">
        <v>2030</v>
      </c>
      <c r="F586" s="31" t="s">
        <v>2213</v>
      </c>
      <c r="G586" s="31" t="str">
        <f>VLOOKUP(A586,'Active Employees'!$B$2:$B$498,1,false)</f>
        <v>#N/A</v>
      </c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>
      <c r="A587" s="31" t="s">
        <v>2241</v>
      </c>
      <c r="B587" s="31" t="s">
        <v>2027</v>
      </c>
      <c r="C587" s="31" t="s">
        <v>2732</v>
      </c>
      <c r="D587" s="31" t="s">
        <v>2733</v>
      </c>
      <c r="E587" s="31" t="s">
        <v>2030</v>
      </c>
      <c r="F587" s="31" t="s">
        <v>2213</v>
      </c>
      <c r="G587" s="31" t="str">
        <f>VLOOKUP(A587,'Active Employees'!$B$2:$B$498,1,false)</f>
        <v>#N/A</v>
      </c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>
      <c r="A588" s="31" t="s">
        <v>2241</v>
      </c>
      <c r="B588" s="31" t="s">
        <v>2027</v>
      </c>
      <c r="C588" s="31" t="s">
        <v>2734</v>
      </c>
      <c r="D588" s="31" t="s">
        <v>2735</v>
      </c>
      <c r="E588" s="31" t="s">
        <v>2030</v>
      </c>
      <c r="F588" s="31" t="s">
        <v>2213</v>
      </c>
      <c r="G588" s="31" t="str">
        <f>VLOOKUP(A588,'Active Employees'!$B$2:$B$498,1,false)</f>
        <v>#N/A</v>
      </c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>
      <c r="A589" s="31" t="s">
        <v>2241</v>
      </c>
      <c r="B589" s="31" t="s">
        <v>2027</v>
      </c>
      <c r="C589" s="31" t="s">
        <v>2736</v>
      </c>
      <c r="D589" s="31" t="s">
        <v>2737</v>
      </c>
      <c r="E589" s="31" t="s">
        <v>2030</v>
      </c>
      <c r="F589" s="31" t="s">
        <v>2213</v>
      </c>
      <c r="G589" s="31" t="str">
        <f>VLOOKUP(A589,'Active Employees'!$B$2:$B$498,1,false)</f>
        <v>#N/A</v>
      </c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>
      <c r="A590" s="31" t="s">
        <v>2241</v>
      </c>
      <c r="B590" s="31" t="s">
        <v>2027</v>
      </c>
      <c r="C590" s="31" t="s">
        <v>2738</v>
      </c>
      <c r="D590" s="31" t="s">
        <v>2739</v>
      </c>
      <c r="E590" s="31" t="s">
        <v>2030</v>
      </c>
      <c r="F590" s="31" t="s">
        <v>2213</v>
      </c>
      <c r="G590" s="31" t="str">
        <f>VLOOKUP(A590,'Active Employees'!$B$2:$B$498,1,false)</f>
        <v>#N/A</v>
      </c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>
      <c r="A591" s="31" t="s">
        <v>2241</v>
      </c>
      <c r="B591" s="31" t="s">
        <v>2027</v>
      </c>
      <c r="C591" s="31" t="s">
        <v>2740</v>
      </c>
      <c r="D591" s="31" t="s">
        <v>2741</v>
      </c>
      <c r="E591" s="31" t="s">
        <v>2030</v>
      </c>
      <c r="F591" s="31" t="s">
        <v>2213</v>
      </c>
      <c r="G591" s="31" t="str">
        <f>VLOOKUP(A591,'Active Employees'!$B$2:$B$498,1,false)</f>
        <v>#N/A</v>
      </c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>
      <c r="A592" s="31" t="s">
        <v>2241</v>
      </c>
      <c r="B592" s="31" t="s">
        <v>2027</v>
      </c>
      <c r="C592" s="31" t="s">
        <v>2742</v>
      </c>
      <c r="D592" s="31" t="s">
        <v>2743</v>
      </c>
      <c r="E592" s="31" t="s">
        <v>2030</v>
      </c>
      <c r="F592" s="31" t="s">
        <v>2213</v>
      </c>
      <c r="G592" s="31" t="str">
        <f>VLOOKUP(A592,'Active Employees'!$B$2:$B$498,1,false)</f>
        <v>#N/A</v>
      </c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>
      <c r="A593" s="31" t="s">
        <v>2241</v>
      </c>
      <c r="B593" s="31" t="s">
        <v>2027</v>
      </c>
      <c r="C593" s="31" t="s">
        <v>2744</v>
      </c>
      <c r="D593" s="31" t="s">
        <v>2745</v>
      </c>
      <c r="E593" s="31" t="s">
        <v>2030</v>
      </c>
      <c r="F593" s="31" t="s">
        <v>2213</v>
      </c>
      <c r="G593" s="31" t="str">
        <f>VLOOKUP(A593,'Active Employees'!$B$2:$B$498,1,false)</f>
        <v>#N/A</v>
      </c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>
      <c r="A594" s="31" t="s">
        <v>2241</v>
      </c>
      <c r="B594" s="31" t="s">
        <v>2027</v>
      </c>
      <c r="C594" s="31" t="s">
        <v>2746</v>
      </c>
      <c r="D594" s="31" t="s">
        <v>2747</v>
      </c>
      <c r="E594" s="31" t="s">
        <v>2030</v>
      </c>
      <c r="F594" s="31" t="s">
        <v>2213</v>
      </c>
      <c r="G594" s="31" t="str">
        <f>VLOOKUP(A594,'Active Employees'!$B$2:$B$498,1,false)</f>
        <v>#N/A</v>
      </c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>
      <c r="A595" s="31" t="s">
        <v>2241</v>
      </c>
      <c r="B595" s="31" t="s">
        <v>2027</v>
      </c>
      <c r="C595" s="31" t="s">
        <v>2748</v>
      </c>
      <c r="D595" s="31" t="s">
        <v>2749</v>
      </c>
      <c r="E595" s="31" t="s">
        <v>2030</v>
      </c>
      <c r="F595" s="31" t="s">
        <v>2213</v>
      </c>
      <c r="G595" s="31" t="str">
        <f>VLOOKUP(A595,'Active Employees'!$B$2:$B$498,1,false)</f>
        <v>#N/A</v>
      </c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>
      <c r="A596" s="31" t="s">
        <v>2241</v>
      </c>
      <c r="B596" s="31" t="s">
        <v>2027</v>
      </c>
      <c r="C596" s="31" t="s">
        <v>2248</v>
      </c>
      <c r="D596" s="31" t="s">
        <v>2750</v>
      </c>
      <c r="E596" s="31" t="s">
        <v>2030</v>
      </c>
      <c r="F596" s="31" t="s">
        <v>2213</v>
      </c>
      <c r="G596" s="31" t="str">
        <f>VLOOKUP(A596,'Active Employees'!$B$2:$B$498,1,false)</f>
        <v>#N/A</v>
      </c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>
      <c r="A597" s="31" t="s">
        <v>2241</v>
      </c>
      <c r="B597" s="31" t="s">
        <v>2027</v>
      </c>
      <c r="C597" s="31" t="s">
        <v>2751</v>
      </c>
      <c r="D597" s="31" t="s">
        <v>2752</v>
      </c>
      <c r="E597" s="31" t="s">
        <v>2030</v>
      </c>
      <c r="F597" s="31" t="s">
        <v>2213</v>
      </c>
      <c r="G597" s="31" t="str">
        <f>VLOOKUP(A597,'Active Employees'!$B$2:$B$498,1,false)</f>
        <v>#N/A</v>
      </c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>
      <c r="A598" s="31" t="s">
        <v>2241</v>
      </c>
      <c r="B598" s="31" t="s">
        <v>2027</v>
      </c>
      <c r="C598" s="31" t="s">
        <v>2753</v>
      </c>
      <c r="D598" s="31" t="s">
        <v>2754</v>
      </c>
      <c r="E598" s="31" t="s">
        <v>2030</v>
      </c>
      <c r="F598" s="31" t="s">
        <v>2213</v>
      </c>
      <c r="G598" s="31" t="str">
        <f>VLOOKUP(A598,'Active Employees'!$B$2:$B$498,1,false)</f>
        <v>#N/A</v>
      </c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>
      <c r="A599" s="31" t="s">
        <v>2241</v>
      </c>
      <c r="B599" s="31" t="s">
        <v>2027</v>
      </c>
      <c r="C599" s="31" t="s">
        <v>2248</v>
      </c>
      <c r="D599" s="31" t="s">
        <v>2755</v>
      </c>
      <c r="E599" s="31" t="s">
        <v>2030</v>
      </c>
      <c r="F599" s="31" t="s">
        <v>2213</v>
      </c>
      <c r="G599" s="31" t="str">
        <f>VLOOKUP(A599,'Active Employees'!$B$2:$B$498,1,false)</f>
        <v>#N/A</v>
      </c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>
      <c r="A600" s="31" t="s">
        <v>2241</v>
      </c>
      <c r="B600" s="31" t="s">
        <v>2027</v>
      </c>
      <c r="C600" s="31" t="s">
        <v>2248</v>
      </c>
      <c r="D600" s="31" t="s">
        <v>2756</v>
      </c>
      <c r="E600" s="31" t="s">
        <v>2030</v>
      </c>
      <c r="F600" s="31" t="s">
        <v>2213</v>
      </c>
      <c r="G600" s="31" t="str">
        <f>VLOOKUP(A600,'Active Employees'!$B$2:$B$498,1,false)</f>
        <v>#N/A</v>
      </c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>
      <c r="A601" s="31" t="s">
        <v>2241</v>
      </c>
      <c r="B601" s="31" t="s">
        <v>2027</v>
      </c>
      <c r="C601" s="31" t="s">
        <v>2248</v>
      </c>
      <c r="D601" s="31" t="s">
        <v>2757</v>
      </c>
      <c r="E601" s="31" t="s">
        <v>2030</v>
      </c>
      <c r="F601" s="31" t="s">
        <v>2213</v>
      </c>
      <c r="G601" s="31" t="str">
        <f>VLOOKUP(A601,'Active Employees'!$B$2:$B$498,1,false)</f>
        <v>#N/A</v>
      </c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>
      <c r="A602" s="31" t="s">
        <v>2241</v>
      </c>
      <c r="B602" s="31" t="s">
        <v>2027</v>
      </c>
      <c r="C602" s="31" t="s">
        <v>2248</v>
      </c>
      <c r="D602" s="31" t="s">
        <v>2758</v>
      </c>
      <c r="E602" s="31" t="s">
        <v>2030</v>
      </c>
      <c r="F602" s="31" t="s">
        <v>2213</v>
      </c>
      <c r="G602" s="31" t="str">
        <f>VLOOKUP(A602,'Active Employees'!$B$2:$B$498,1,false)</f>
        <v>#N/A</v>
      </c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>
      <c r="A603" s="31" t="s">
        <v>2241</v>
      </c>
      <c r="B603" s="31" t="s">
        <v>2027</v>
      </c>
      <c r="C603" s="31" t="s">
        <v>2684</v>
      </c>
      <c r="D603" s="31" t="s">
        <v>2759</v>
      </c>
      <c r="E603" s="31" t="s">
        <v>2030</v>
      </c>
      <c r="F603" s="31" t="s">
        <v>2213</v>
      </c>
      <c r="G603" s="31" t="str">
        <f>VLOOKUP(A603,'Active Employees'!$B$2:$B$498,1,false)</f>
        <v>#N/A</v>
      </c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>
      <c r="A604" s="31" t="s">
        <v>2241</v>
      </c>
      <c r="B604" s="31" t="s">
        <v>2027</v>
      </c>
      <c r="C604" s="31" t="s">
        <v>2684</v>
      </c>
      <c r="D604" s="31" t="s">
        <v>2760</v>
      </c>
      <c r="E604" s="31" t="s">
        <v>2030</v>
      </c>
      <c r="F604" s="31" t="s">
        <v>2213</v>
      </c>
      <c r="G604" s="31" t="str">
        <f>VLOOKUP(A604,'Active Employees'!$B$2:$B$498,1,false)</f>
        <v>#N/A</v>
      </c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>
      <c r="A605" s="31" t="s">
        <v>2241</v>
      </c>
      <c r="B605" s="31" t="s">
        <v>2027</v>
      </c>
      <c r="C605" s="31" t="s">
        <v>2684</v>
      </c>
      <c r="D605" s="31" t="s">
        <v>2761</v>
      </c>
      <c r="E605" s="31" t="s">
        <v>2030</v>
      </c>
      <c r="F605" s="31" t="s">
        <v>2213</v>
      </c>
      <c r="G605" s="31" t="str">
        <f>VLOOKUP(A605,'Active Employees'!$B$2:$B$498,1,false)</f>
        <v>#N/A</v>
      </c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>
      <c r="A606" s="31" t="s">
        <v>2241</v>
      </c>
      <c r="B606" s="31" t="s">
        <v>2027</v>
      </c>
      <c r="C606" s="31" t="s">
        <v>2684</v>
      </c>
      <c r="D606" s="31" t="s">
        <v>2762</v>
      </c>
      <c r="E606" s="31" t="s">
        <v>2030</v>
      </c>
      <c r="F606" s="31" t="s">
        <v>2213</v>
      </c>
      <c r="G606" s="31" t="str">
        <f>VLOOKUP(A606,'Active Employees'!$B$2:$B$498,1,false)</f>
        <v>#N/A</v>
      </c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>
      <c r="A607" s="31" t="s">
        <v>2241</v>
      </c>
      <c r="B607" s="31" t="s">
        <v>2027</v>
      </c>
      <c r="C607" s="31" t="s">
        <v>2684</v>
      </c>
      <c r="D607" s="31" t="s">
        <v>2763</v>
      </c>
      <c r="E607" s="31" t="s">
        <v>2030</v>
      </c>
      <c r="F607" s="31" t="s">
        <v>2213</v>
      </c>
      <c r="G607" s="31" t="str">
        <f>VLOOKUP(A607,'Active Employees'!$B$2:$B$498,1,false)</f>
        <v>#N/A</v>
      </c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>
      <c r="A608" s="31" t="s">
        <v>2241</v>
      </c>
      <c r="B608" s="31" t="s">
        <v>2027</v>
      </c>
      <c r="C608" s="31" t="s">
        <v>2684</v>
      </c>
      <c r="D608" s="31" t="s">
        <v>2764</v>
      </c>
      <c r="E608" s="31" t="s">
        <v>2030</v>
      </c>
      <c r="F608" s="31" t="s">
        <v>2213</v>
      </c>
      <c r="G608" s="31" t="str">
        <f>VLOOKUP(A608,'Active Employees'!$B$2:$B$498,1,false)</f>
        <v>#N/A</v>
      </c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>
      <c r="A609" s="31" t="s">
        <v>2241</v>
      </c>
      <c r="B609" s="31" t="s">
        <v>2027</v>
      </c>
      <c r="C609" s="31" t="s">
        <v>2684</v>
      </c>
      <c r="D609" s="31" t="s">
        <v>2765</v>
      </c>
      <c r="E609" s="31" t="s">
        <v>2030</v>
      </c>
      <c r="F609" s="31" t="s">
        <v>2213</v>
      </c>
      <c r="G609" s="31" t="str">
        <f>VLOOKUP(A609,'Active Employees'!$B$2:$B$498,1,false)</f>
        <v>#N/A</v>
      </c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>
      <c r="A610" s="31" t="s">
        <v>2241</v>
      </c>
      <c r="B610" s="31" t="s">
        <v>2027</v>
      </c>
      <c r="C610" s="31" t="s">
        <v>2684</v>
      </c>
      <c r="D610" s="31" t="s">
        <v>2766</v>
      </c>
      <c r="E610" s="31" t="s">
        <v>2030</v>
      </c>
      <c r="F610" s="31" t="s">
        <v>2213</v>
      </c>
      <c r="G610" s="31" t="str">
        <f>VLOOKUP(A610,'Active Employees'!$B$2:$B$498,1,false)</f>
        <v>#N/A</v>
      </c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>
      <c r="A611" s="31" t="s">
        <v>2241</v>
      </c>
      <c r="B611" s="31" t="s">
        <v>2027</v>
      </c>
      <c r="C611" s="31" t="s">
        <v>2684</v>
      </c>
      <c r="D611" s="31" t="s">
        <v>2767</v>
      </c>
      <c r="E611" s="31" t="s">
        <v>2030</v>
      </c>
      <c r="F611" s="31" t="s">
        <v>2213</v>
      </c>
      <c r="G611" s="31" t="str">
        <f>VLOOKUP(A611,'Active Employees'!$B$2:$B$498,1,false)</f>
        <v>#N/A</v>
      </c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>
      <c r="A612" s="31" t="s">
        <v>2241</v>
      </c>
      <c r="B612" s="31" t="s">
        <v>2027</v>
      </c>
      <c r="C612" s="31" t="s">
        <v>2684</v>
      </c>
      <c r="D612" s="31" t="s">
        <v>2768</v>
      </c>
      <c r="E612" s="31" t="s">
        <v>2030</v>
      </c>
      <c r="F612" s="31" t="s">
        <v>2213</v>
      </c>
      <c r="G612" s="31" t="str">
        <f>VLOOKUP(A612,'Active Employees'!$B$2:$B$498,1,false)</f>
        <v>#N/A</v>
      </c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>
      <c r="A613" s="31" t="s">
        <v>2241</v>
      </c>
      <c r="B613" s="31" t="s">
        <v>2027</v>
      </c>
      <c r="C613" s="31" t="s">
        <v>2684</v>
      </c>
      <c r="D613" s="31" t="s">
        <v>2769</v>
      </c>
      <c r="E613" s="31" t="s">
        <v>2030</v>
      </c>
      <c r="F613" s="31" t="s">
        <v>2213</v>
      </c>
      <c r="G613" s="31" t="str">
        <f>VLOOKUP(A613,'Active Employees'!$B$2:$B$498,1,false)</f>
        <v>#N/A</v>
      </c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>
      <c r="A614" s="31" t="s">
        <v>2241</v>
      </c>
      <c r="B614" s="31" t="s">
        <v>2027</v>
      </c>
      <c r="C614" s="31" t="s">
        <v>2684</v>
      </c>
      <c r="D614" s="31" t="s">
        <v>2770</v>
      </c>
      <c r="E614" s="31" t="s">
        <v>2030</v>
      </c>
      <c r="F614" s="31" t="s">
        <v>2213</v>
      </c>
      <c r="G614" s="31" t="str">
        <f>VLOOKUP(A614,'Active Employees'!$B$2:$B$498,1,false)</f>
        <v>#N/A</v>
      </c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>
      <c r="A615" s="31" t="s">
        <v>2241</v>
      </c>
      <c r="B615" s="31" t="s">
        <v>2027</v>
      </c>
      <c r="C615" s="31" t="s">
        <v>2684</v>
      </c>
      <c r="D615" s="31" t="s">
        <v>2771</v>
      </c>
      <c r="E615" s="31" t="s">
        <v>2030</v>
      </c>
      <c r="F615" s="31" t="s">
        <v>2213</v>
      </c>
      <c r="G615" s="31" t="str">
        <f>VLOOKUP(A615,'Active Employees'!$B$2:$B$498,1,false)</f>
        <v>#N/A</v>
      </c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>
      <c r="A616" s="31" t="s">
        <v>2241</v>
      </c>
      <c r="B616" s="31" t="s">
        <v>2027</v>
      </c>
      <c r="C616" s="31" t="s">
        <v>2684</v>
      </c>
      <c r="D616" s="31" t="s">
        <v>2772</v>
      </c>
      <c r="E616" s="31" t="s">
        <v>2030</v>
      </c>
      <c r="F616" s="31" t="s">
        <v>2213</v>
      </c>
      <c r="G616" s="31" t="str">
        <f>VLOOKUP(A616,'Active Employees'!$B$2:$B$498,1,false)</f>
        <v>#N/A</v>
      </c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>
      <c r="A617" s="31" t="s">
        <v>2241</v>
      </c>
      <c r="B617" s="31" t="s">
        <v>2027</v>
      </c>
      <c r="C617" s="31" t="s">
        <v>2684</v>
      </c>
      <c r="D617" s="31" t="s">
        <v>2773</v>
      </c>
      <c r="E617" s="31" t="s">
        <v>2030</v>
      </c>
      <c r="F617" s="31" t="s">
        <v>2213</v>
      </c>
      <c r="G617" s="31" t="str">
        <f>VLOOKUP(A617,'Active Employees'!$B$2:$B$498,1,false)</f>
        <v>#N/A</v>
      </c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>
      <c r="A618" s="31" t="s">
        <v>2241</v>
      </c>
      <c r="B618" s="31" t="s">
        <v>2027</v>
      </c>
      <c r="C618" s="31" t="s">
        <v>2684</v>
      </c>
      <c r="D618" s="31" t="s">
        <v>2774</v>
      </c>
      <c r="E618" s="31" t="s">
        <v>2030</v>
      </c>
      <c r="F618" s="31" t="s">
        <v>2213</v>
      </c>
      <c r="G618" s="31" t="str">
        <f>VLOOKUP(A618,'Active Employees'!$B$2:$B$498,1,false)</f>
        <v>#N/A</v>
      </c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>
      <c r="A619" s="31" t="s">
        <v>2241</v>
      </c>
      <c r="B619" s="31" t="s">
        <v>2027</v>
      </c>
      <c r="C619" s="31" t="s">
        <v>2684</v>
      </c>
      <c r="D619" s="31" t="s">
        <v>2775</v>
      </c>
      <c r="E619" s="31" t="s">
        <v>2030</v>
      </c>
      <c r="F619" s="31" t="s">
        <v>2213</v>
      </c>
      <c r="G619" s="31" t="str">
        <f>VLOOKUP(A619,'Active Employees'!$B$2:$B$498,1,false)</f>
        <v>#N/A</v>
      </c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>
      <c r="A620" s="31" t="s">
        <v>2241</v>
      </c>
      <c r="B620" s="31" t="s">
        <v>2027</v>
      </c>
      <c r="C620" s="31" t="s">
        <v>2684</v>
      </c>
      <c r="D620" s="31" t="s">
        <v>2776</v>
      </c>
      <c r="E620" s="31" t="s">
        <v>2030</v>
      </c>
      <c r="F620" s="31" t="s">
        <v>2213</v>
      </c>
      <c r="G620" s="31" t="str">
        <f>VLOOKUP(A620,'Active Employees'!$B$2:$B$498,1,false)</f>
        <v>#N/A</v>
      </c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>
      <c r="A621" s="31" t="s">
        <v>2241</v>
      </c>
      <c r="B621" s="31" t="s">
        <v>2027</v>
      </c>
      <c r="C621" s="31" t="s">
        <v>2684</v>
      </c>
      <c r="D621" s="31" t="s">
        <v>2777</v>
      </c>
      <c r="E621" s="31" t="s">
        <v>2030</v>
      </c>
      <c r="F621" s="31" t="s">
        <v>2213</v>
      </c>
      <c r="G621" s="31" t="str">
        <f>VLOOKUP(A621,'Active Employees'!$B$2:$B$498,1,false)</f>
        <v>#N/A</v>
      </c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>
      <c r="A622" s="31" t="s">
        <v>2241</v>
      </c>
      <c r="B622" s="31" t="s">
        <v>2027</v>
      </c>
      <c r="C622" s="31" t="s">
        <v>2684</v>
      </c>
      <c r="D622" s="31" t="s">
        <v>2778</v>
      </c>
      <c r="E622" s="31" t="s">
        <v>2030</v>
      </c>
      <c r="F622" s="31" t="s">
        <v>2213</v>
      </c>
      <c r="G622" s="31" t="str">
        <f>VLOOKUP(A622,'Active Employees'!$B$2:$B$498,1,false)</f>
        <v>#N/A</v>
      </c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>
      <c r="A623" s="31" t="s">
        <v>2241</v>
      </c>
      <c r="B623" s="31" t="s">
        <v>2027</v>
      </c>
      <c r="C623" s="31" t="s">
        <v>2684</v>
      </c>
      <c r="D623" s="31" t="s">
        <v>2779</v>
      </c>
      <c r="E623" s="31" t="s">
        <v>2030</v>
      </c>
      <c r="F623" s="31" t="s">
        <v>2213</v>
      </c>
      <c r="G623" s="31" t="str">
        <f>VLOOKUP(A623,'Active Employees'!$B$2:$B$498,1,false)</f>
        <v>#N/A</v>
      </c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>
      <c r="A624" s="31" t="s">
        <v>2241</v>
      </c>
      <c r="B624" s="31" t="s">
        <v>2027</v>
      </c>
      <c r="C624" s="31" t="s">
        <v>2684</v>
      </c>
      <c r="D624" s="31" t="s">
        <v>2780</v>
      </c>
      <c r="E624" s="31" t="s">
        <v>2030</v>
      </c>
      <c r="F624" s="31" t="s">
        <v>2213</v>
      </c>
      <c r="G624" s="31" t="str">
        <f>VLOOKUP(A624,'Active Employees'!$B$2:$B$498,1,false)</f>
        <v>#N/A</v>
      </c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>
      <c r="A625" s="31" t="s">
        <v>2241</v>
      </c>
      <c r="B625" s="31" t="s">
        <v>2027</v>
      </c>
      <c r="C625" s="31" t="s">
        <v>2684</v>
      </c>
      <c r="D625" s="31" t="s">
        <v>2781</v>
      </c>
      <c r="E625" s="31" t="s">
        <v>2030</v>
      </c>
      <c r="F625" s="31" t="s">
        <v>2213</v>
      </c>
      <c r="G625" s="31" t="str">
        <f>VLOOKUP(A625,'Active Employees'!$B$2:$B$498,1,false)</f>
        <v>#N/A</v>
      </c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>
      <c r="A626" s="31" t="s">
        <v>2241</v>
      </c>
      <c r="B626" s="31" t="s">
        <v>2027</v>
      </c>
      <c r="C626" s="31" t="s">
        <v>2684</v>
      </c>
      <c r="D626" s="31" t="s">
        <v>2782</v>
      </c>
      <c r="E626" s="31" t="s">
        <v>2030</v>
      </c>
      <c r="F626" s="31" t="s">
        <v>2213</v>
      </c>
      <c r="G626" s="31" t="str">
        <f>VLOOKUP(A626,'Active Employees'!$B$2:$B$498,1,false)</f>
        <v>#N/A</v>
      </c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>
      <c r="A627" s="31" t="s">
        <v>2241</v>
      </c>
      <c r="B627" s="31" t="s">
        <v>2027</v>
      </c>
      <c r="C627" s="31" t="s">
        <v>2684</v>
      </c>
      <c r="D627" s="31" t="s">
        <v>2783</v>
      </c>
      <c r="E627" s="31" t="s">
        <v>2030</v>
      </c>
      <c r="F627" s="31" t="s">
        <v>2213</v>
      </c>
      <c r="G627" s="31" t="str">
        <f>VLOOKUP(A627,'Active Employees'!$B$2:$B$498,1,false)</f>
        <v>#N/A</v>
      </c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>
      <c r="A628" s="31" t="s">
        <v>2241</v>
      </c>
      <c r="B628" s="31" t="s">
        <v>2027</v>
      </c>
      <c r="C628" s="31" t="s">
        <v>2684</v>
      </c>
      <c r="D628" s="31" t="s">
        <v>2784</v>
      </c>
      <c r="E628" s="31" t="s">
        <v>2030</v>
      </c>
      <c r="F628" s="31" t="s">
        <v>2213</v>
      </c>
      <c r="G628" s="31" t="str">
        <f>VLOOKUP(A628,'Active Employees'!$B$2:$B$498,1,false)</f>
        <v>#N/A</v>
      </c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>
      <c r="A629" s="31" t="s">
        <v>2241</v>
      </c>
      <c r="B629" s="31" t="s">
        <v>2027</v>
      </c>
      <c r="C629" s="31" t="s">
        <v>2684</v>
      </c>
      <c r="D629" s="31" t="s">
        <v>2785</v>
      </c>
      <c r="E629" s="31" t="s">
        <v>2030</v>
      </c>
      <c r="F629" s="31" t="s">
        <v>2213</v>
      </c>
      <c r="G629" s="31" t="str">
        <f>VLOOKUP(A629,'Active Employees'!$B$2:$B$498,1,false)</f>
        <v>#N/A</v>
      </c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>
      <c r="A630" s="31" t="s">
        <v>2241</v>
      </c>
      <c r="B630" s="31" t="s">
        <v>2027</v>
      </c>
      <c r="C630" s="31" t="s">
        <v>2684</v>
      </c>
      <c r="D630" s="31" t="s">
        <v>2786</v>
      </c>
      <c r="E630" s="31" t="s">
        <v>2030</v>
      </c>
      <c r="F630" s="31" t="s">
        <v>2213</v>
      </c>
      <c r="G630" s="31" t="str">
        <f>VLOOKUP(A630,'Active Employees'!$B$2:$B$498,1,false)</f>
        <v>#N/A</v>
      </c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>
      <c r="A631" s="31" t="s">
        <v>2241</v>
      </c>
      <c r="B631" s="31" t="s">
        <v>2027</v>
      </c>
      <c r="C631" s="31" t="s">
        <v>2684</v>
      </c>
      <c r="D631" s="31" t="s">
        <v>2787</v>
      </c>
      <c r="E631" s="31" t="s">
        <v>2030</v>
      </c>
      <c r="F631" s="31" t="s">
        <v>2213</v>
      </c>
      <c r="G631" s="31" t="str">
        <f>VLOOKUP(A631,'Active Employees'!$B$2:$B$498,1,false)</f>
        <v>#N/A</v>
      </c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>
      <c r="A632" s="31" t="s">
        <v>2241</v>
      </c>
      <c r="B632" s="31" t="s">
        <v>2027</v>
      </c>
      <c r="C632" s="31" t="s">
        <v>2684</v>
      </c>
      <c r="D632" s="31" t="s">
        <v>2788</v>
      </c>
      <c r="E632" s="31" t="s">
        <v>2030</v>
      </c>
      <c r="F632" s="31" t="s">
        <v>2213</v>
      </c>
      <c r="G632" s="31" t="str">
        <f>VLOOKUP(A632,'Active Employees'!$B$2:$B$498,1,false)</f>
        <v>#N/A</v>
      </c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>
      <c r="A633" s="31" t="s">
        <v>2241</v>
      </c>
      <c r="B633" s="31" t="s">
        <v>2027</v>
      </c>
      <c r="C633" s="31" t="s">
        <v>2684</v>
      </c>
      <c r="D633" s="31" t="s">
        <v>2789</v>
      </c>
      <c r="E633" s="31" t="s">
        <v>2030</v>
      </c>
      <c r="F633" s="31" t="s">
        <v>2213</v>
      </c>
      <c r="G633" s="31" t="str">
        <f>VLOOKUP(A633,'Active Employees'!$B$2:$B$498,1,false)</f>
        <v>#N/A</v>
      </c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>
      <c r="A634" s="31" t="s">
        <v>2241</v>
      </c>
      <c r="B634" s="31" t="s">
        <v>2027</v>
      </c>
      <c r="C634" s="31" t="s">
        <v>2684</v>
      </c>
      <c r="D634" s="31" t="s">
        <v>2790</v>
      </c>
      <c r="E634" s="31" t="s">
        <v>2030</v>
      </c>
      <c r="F634" s="31" t="s">
        <v>2213</v>
      </c>
      <c r="G634" s="31" t="str">
        <f>VLOOKUP(A634,'Active Employees'!$B$2:$B$498,1,false)</f>
        <v>#N/A</v>
      </c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>
      <c r="A635" s="31" t="s">
        <v>2241</v>
      </c>
      <c r="B635" s="31" t="s">
        <v>2027</v>
      </c>
      <c r="C635" s="31" t="s">
        <v>2684</v>
      </c>
      <c r="D635" s="31" t="s">
        <v>2791</v>
      </c>
      <c r="E635" s="31" t="s">
        <v>2030</v>
      </c>
      <c r="F635" s="31" t="s">
        <v>2213</v>
      </c>
      <c r="G635" s="31" t="str">
        <f>VLOOKUP(A635,'Active Employees'!$B$2:$B$498,1,false)</f>
        <v>#N/A</v>
      </c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>
      <c r="A636" s="31" t="s">
        <v>2241</v>
      </c>
      <c r="B636" s="31" t="s">
        <v>2027</v>
      </c>
      <c r="C636" s="31" t="s">
        <v>2792</v>
      </c>
      <c r="D636" s="31" t="s">
        <v>2793</v>
      </c>
      <c r="E636" s="31" t="s">
        <v>2030</v>
      </c>
      <c r="F636" s="31" t="s">
        <v>2213</v>
      </c>
      <c r="G636" s="31" t="str">
        <f>VLOOKUP(A636,'Active Employees'!$B$2:$B$498,1,false)</f>
        <v>#N/A</v>
      </c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>
      <c r="A637" s="31" t="s">
        <v>2241</v>
      </c>
      <c r="B637" s="31" t="s">
        <v>2027</v>
      </c>
      <c r="C637" s="31" t="s">
        <v>2794</v>
      </c>
      <c r="D637" s="31" t="s">
        <v>2795</v>
      </c>
      <c r="E637" s="31" t="s">
        <v>2030</v>
      </c>
      <c r="F637" s="31" t="s">
        <v>2213</v>
      </c>
      <c r="G637" s="31" t="str">
        <f>VLOOKUP(A637,'Active Employees'!$B$2:$B$498,1,false)</f>
        <v>#N/A</v>
      </c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>
      <c r="A638" s="31" t="s">
        <v>2241</v>
      </c>
      <c r="B638" s="31" t="s">
        <v>2027</v>
      </c>
      <c r="C638" s="31" t="s">
        <v>2684</v>
      </c>
      <c r="D638" s="31" t="s">
        <v>2796</v>
      </c>
      <c r="E638" s="31" t="s">
        <v>2030</v>
      </c>
      <c r="F638" s="31" t="s">
        <v>2213</v>
      </c>
      <c r="G638" s="31" t="str">
        <f>VLOOKUP(A638,'Active Employees'!$B$2:$B$498,1,false)</f>
        <v>#N/A</v>
      </c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>
      <c r="A639" s="31" t="s">
        <v>2241</v>
      </c>
      <c r="B639" s="31" t="s">
        <v>2027</v>
      </c>
      <c r="C639" s="31" t="s">
        <v>2424</v>
      </c>
      <c r="D639" s="31" t="s">
        <v>2797</v>
      </c>
      <c r="E639" s="31" t="s">
        <v>2030</v>
      </c>
      <c r="F639" s="31" t="s">
        <v>2213</v>
      </c>
      <c r="G639" s="31" t="str">
        <f>VLOOKUP(A639,'Active Employees'!$B$2:$B$498,1,false)</f>
        <v>#N/A</v>
      </c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>
      <c r="A640" s="31" t="s">
        <v>2241</v>
      </c>
      <c r="B640" s="31" t="s">
        <v>2027</v>
      </c>
      <c r="C640" s="31" t="s">
        <v>2798</v>
      </c>
      <c r="D640" s="31" t="s">
        <v>2799</v>
      </c>
      <c r="E640" s="31" t="s">
        <v>2030</v>
      </c>
      <c r="F640" s="31" t="s">
        <v>2213</v>
      </c>
      <c r="G640" s="31" t="str">
        <f>VLOOKUP(A640,'Active Employees'!$B$2:$B$498,1,false)</f>
        <v>#N/A</v>
      </c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>
      <c r="A641" s="31" t="s">
        <v>2241</v>
      </c>
      <c r="B641" s="31" t="s">
        <v>2027</v>
      </c>
      <c r="C641" s="31" t="s">
        <v>2042</v>
      </c>
      <c r="D641" s="31" t="s">
        <v>2800</v>
      </c>
      <c r="E641" s="31" t="s">
        <v>2030</v>
      </c>
      <c r="F641" s="31" t="s">
        <v>2213</v>
      </c>
      <c r="G641" s="31" t="str">
        <f>VLOOKUP(A641,'Active Employees'!$B$2:$B$498,1,false)</f>
        <v>#N/A</v>
      </c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>
      <c r="A642" s="31" t="s">
        <v>2241</v>
      </c>
      <c r="B642" s="31" t="s">
        <v>2027</v>
      </c>
      <c r="C642" s="31" t="s">
        <v>2248</v>
      </c>
      <c r="D642" s="31" t="s">
        <v>2801</v>
      </c>
      <c r="E642" s="31" t="s">
        <v>2030</v>
      </c>
      <c r="F642" s="31" t="s">
        <v>2213</v>
      </c>
      <c r="G642" s="31" t="str">
        <f>VLOOKUP(A642,'Active Employees'!$B$2:$B$498,1,false)</f>
        <v>#N/A</v>
      </c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>
      <c r="A643" s="31" t="s">
        <v>2241</v>
      </c>
      <c r="B643" s="31" t="s">
        <v>2027</v>
      </c>
      <c r="C643" s="31" t="s">
        <v>2802</v>
      </c>
      <c r="D643" s="31" t="s">
        <v>2803</v>
      </c>
      <c r="E643" s="31" t="s">
        <v>2030</v>
      </c>
      <c r="F643" s="31" t="s">
        <v>2213</v>
      </c>
      <c r="G643" s="31" t="str">
        <f>VLOOKUP(A643,'Active Employees'!$B$2:$B$498,1,false)</f>
        <v>#N/A</v>
      </c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>
      <c r="A644" s="31" t="s">
        <v>2241</v>
      </c>
      <c r="B644" s="31" t="s">
        <v>2027</v>
      </c>
      <c r="C644" s="31" t="s">
        <v>2804</v>
      </c>
      <c r="D644" s="31" t="s">
        <v>2805</v>
      </c>
      <c r="E644" s="31" t="s">
        <v>2030</v>
      </c>
      <c r="F644" s="31" t="s">
        <v>2213</v>
      </c>
      <c r="G644" s="31" t="str">
        <f>VLOOKUP(A644,'Active Employees'!$B$2:$B$498,1,false)</f>
        <v>#N/A</v>
      </c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>
      <c r="A645" s="31" t="s">
        <v>2241</v>
      </c>
      <c r="B645" s="31" t="s">
        <v>2027</v>
      </c>
      <c r="C645" s="31" t="s">
        <v>2684</v>
      </c>
      <c r="D645" s="31" t="s">
        <v>2806</v>
      </c>
      <c r="E645" s="31" t="s">
        <v>2030</v>
      </c>
      <c r="F645" s="31" t="s">
        <v>2213</v>
      </c>
      <c r="G645" s="31" t="str">
        <f>VLOOKUP(A645,'Active Employees'!$B$2:$B$498,1,false)</f>
        <v>#N/A</v>
      </c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>
      <c r="A646" s="31" t="s">
        <v>2241</v>
      </c>
      <c r="B646" s="31" t="s">
        <v>2027</v>
      </c>
      <c r="C646" s="31" t="s">
        <v>2807</v>
      </c>
      <c r="D646" s="31" t="s">
        <v>2808</v>
      </c>
      <c r="E646" s="31" t="s">
        <v>2030</v>
      </c>
      <c r="F646" s="31" t="s">
        <v>2213</v>
      </c>
      <c r="G646" s="31" t="str">
        <f>VLOOKUP(A646,'Active Employees'!$B$2:$B$498,1,false)</f>
        <v>#N/A</v>
      </c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>
      <c r="A647" s="31" t="s">
        <v>2241</v>
      </c>
      <c r="B647" s="31" t="s">
        <v>2027</v>
      </c>
      <c r="C647" s="31" t="s">
        <v>2807</v>
      </c>
      <c r="D647" s="31" t="s">
        <v>2809</v>
      </c>
      <c r="E647" s="31" t="s">
        <v>2030</v>
      </c>
      <c r="F647" s="31" t="s">
        <v>2213</v>
      </c>
      <c r="G647" s="31" t="str">
        <f>VLOOKUP(A647,'Active Employees'!$B$2:$B$498,1,false)</f>
        <v>#N/A</v>
      </c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>
      <c r="A648" s="31" t="s">
        <v>2241</v>
      </c>
      <c r="B648" s="31" t="s">
        <v>2027</v>
      </c>
      <c r="C648" s="31" t="s">
        <v>2684</v>
      </c>
      <c r="D648" s="31" t="s">
        <v>2810</v>
      </c>
      <c r="E648" s="31" t="s">
        <v>2030</v>
      </c>
      <c r="F648" s="31" t="s">
        <v>2213</v>
      </c>
      <c r="G648" s="31" t="str">
        <f>VLOOKUP(A648,'Active Employees'!$B$2:$B$498,1,false)</f>
        <v>#N/A</v>
      </c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>
      <c r="A649" s="31" t="s">
        <v>2241</v>
      </c>
      <c r="B649" s="31" t="s">
        <v>2027</v>
      </c>
      <c r="C649" s="31" t="s">
        <v>2684</v>
      </c>
      <c r="D649" s="31" t="s">
        <v>2811</v>
      </c>
      <c r="E649" s="31" t="s">
        <v>2030</v>
      </c>
      <c r="F649" s="31" t="s">
        <v>2213</v>
      </c>
      <c r="G649" s="31" t="str">
        <f>VLOOKUP(A649,'Active Employees'!$B$2:$B$498,1,false)</f>
        <v>#N/A</v>
      </c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>
      <c r="A650" s="31" t="s">
        <v>2241</v>
      </c>
      <c r="B650" s="31" t="s">
        <v>2027</v>
      </c>
      <c r="C650" s="31" t="s">
        <v>2684</v>
      </c>
      <c r="D650" s="31" t="s">
        <v>2812</v>
      </c>
      <c r="E650" s="31" t="s">
        <v>2030</v>
      </c>
      <c r="F650" s="31" t="s">
        <v>2213</v>
      </c>
      <c r="G650" s="31" t="str">
        <f>VLOOKUP(A650,'Active Employees'!$B$2:$B$498,1,false)</f>
        <v>#N/A</v>
      </c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>
      <c r="A651" s="31" t="s">
        <v>2241</v>
      </c>
      <c r="B651" s="31" t="s">
        <v>2027</v>
      </c>
      <c r="C651" s="31" t="s">
        <v>2684</v>
      </c>
      <c r="D651" s="31" t="s">
        <v>2813</v>
      </c>
      <c r="E651" s="31" t="s">
        <v>2030</v>
      </c>
      <c r="F651" s="31" t="s">
        <v>2213</v>
      </c>
      <c r="G651" s="31" t="str">
        <f>VLOOKUP(A651,'Active Employees'!$B$2:$B$498,1,false)</f>
        <v>#N/A</v>
      </c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>
      <c r="A652" s="31" t="s">
        <v>2241</v>
      </c>
      <c r="B652" s="31" t="s">
        <v>2027</v>
      </c>
      <c r="C652" s="31" t="s">
        <v>2684</v>
      </c>
      <c r="D652" s="31" t="s">
        <v>2814</v>
      </c>
      <c r="E652" s="31" t="s">
        <v>2030</v>
      </c>
      <c r="F652" s="31" t="s">
        <v>2213</v>
      </c>
      <c r="G652" s="31" t="str">
        <f>VLOOKUP(A652,'Active Employees'!$B$2:$B$498,1,false)</f>
        <v>#N/A</v>
      </c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>
      <c r="A653" s="31" t="s">
        <v>2241</v>
      </c>
      <c r="B653" s="31" t="s">
        <v>2027</v>
      </c>
      <c r="C653" s="31" t="s">
        <v>2684</v>
      </c>
      <c r="D653" s="31" t="s">
        <v>2815</v>
      </c>
      <c r="E653" s="31" t="s">
        <v>2030</v>
      </c>
      <c r="F653" s="31" t="s">
        <v>2213</v>
      </c>
      <c r="G653" s="31" t="str">
        <f>VLOOKUP(A653,'Active Employees'!$B$2:$B$498,1,false)</f>
        <v>#N/A</v>
      </c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>
      <c r="A654" s="31" t="s">
        <v>2241</v>
      </c>
      <c r="B654" s="31" t="s">
        <v>2027</v>
      </c>
      <c r="C654" s="31" t="s">
        <v>2684</v>
      </c>
      <c r="D654" s="31" t="s">
        <v>2816</v>
      </c>
      <c r="E654" s="31" t="s">
        <v>2030</v>
      </c>
      <c r="F654" s="31" t="s">
        <v>2213</v>
      </c>
      <c r="G654" s="31" t="str">
        <f>VLOOKUP(A654,'Active Employees'!$B$2:$B$498,1,false)</f>
        <v>#N/A</v>
      </c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>
      <c r="A655" s="31" t="s">
        <v>2241</v>
      </c>
      <c r="B655" s="31" t="s">
        <v>2027</v>
      </c>
      <c r="C655" s="31" t="s">
        <v>2684</v>
      </c>
      <c r="D655" s="31" t="s">
        <v>2817</v>
      </c>
      <c r="E655" s="31" t="s">
        <v>2030</v>
      </c>
      <c r="F655" s="31" t="s">
        <v>2213</v>
      </c>
      <c r="G655" s="31" t="str">
        <f>VLOOKUP(A655,'Active Employees'!$B$2:$B$498,1,false)</f>
        <v>#N/A</v>
      </c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>
      <c r="A656" s="31" t="s">
        <v>2241</v>
      </c>
      <c r="B656" s="31" t="s">
        <v>2027</v>
      </c>
      <c r="C656" s="31" t="s">
        <v>2684</v>
      </c>
      <c r="D656" s="31" t="s">
        <v>2818</v>
      </c>
      <c r="E656" s="31" t="s">
        <v>2030</v>
      </c>
      <c r="F656" s="31" t="s">
        <v>2213</v>
      </c>
      <c r="G656" s="31" t="str">
        <f>VLOOKUP(A656,'Active Employees'!$B$2:$B$498,1,false)</f>
        <v>#N/A</v>
      </c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>
      <c r="A657" s="31" t="s">
        <v>2241</v>
      </c>
      <c r="B657" s="31" t="s">
        <v>2027</v>
      </c>
      <c r="C657" s="31" t="s">
        <v>2684</v>
      </c>
      <c r="D657" s="31" t="s">
        <v>2819</v>
      </c>
      <c r="E657" s="31" t="s">
        <v>2030</v>
      </c>
      <c r="F657" s="31" t="s">
        <v>2213</v>
      </c>
      <c r="G657" s="31" t="str">
        <f>VLOOKUP(A657,'Active Employees'!$B$2:$B$498,1,false)</f>
        <v>#N/A</v>
      </c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>
      <c r="A658" s="31" t="s">
        <v>2241</v>
      </c>
      <c r="B658" s="31" t="s">
        <v>2027</v>
      </c>
      <c r="C658" s="31" t="s">
        <v>2684</v>
      </c>
      <c r="D658" s="31" t="s">
        <v>2820</v>
      </c>
      <c r="E658" s="31" t="s">
        <v>2030</v>
      </c>
      <c r="F658" s="31" t="s">
        <v>2213</v>
      </c>
      <c r="G658" s="31" t="str">
        <f>VLOOKUP(A658,'Active Employees'!$B$2:$B$498,1,false)</f>
        <v>#N/A</v>
      </c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>
      <c r="A659" s="31" t="s">
        <v>2241</v>
      </c>
      <c r="B659" s="31" t="s">
        <v>2027</v>
      </c>
      <c r="C659" s="31" t="s">
        <v>2684</v>
      </c>
      <c r="D659" s="31" t="s">
        <v>2821</v>
      </c>
      <c r="E659" s="31" t="s">
        <v>2030</v>
      </c>
      <c r="F659" s="31" t="s">
        <v>2213</v>
      </c>
      <c r="G659" s="31" t="str">
        <f>VLOOKUP(A659,'Active Employees'!$B$2:$B$498,1,false)</f>
        <v>#N/A</v>
      </c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>
      <c r="A660" s="31" t="s">
        <v>2241</v>
      </c>
      <c r="B660" s="31" t="s">
        <v>2027</v>
      </c>
      <c r="C660" s="31" t="s">
        <v>2684</v>
      </c>
      <c r="D660" s="31" t="s">
        <v>2822</v>
      </c>
      <c r="E660" s="31" t="s">
        <v>2030</v>
      </c>
      <c r="F660" s="31" t="s">
        <v>2213</v>
      </c>
      <c r="G660" s="31" t="str">
        <f>VLOOKUP(A660,'Active Employees'!$B$2:$B$498,1,false)</f>
        <v>#N/A</v>
      </c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>
      <c r="A661" s="31" t="s">
        <v>2241</v>
      </c>
      <c r="B661" s="31" t="s">
        <v>2027</v>
      </c>
      <c r="C661" s="31" t="s">
        <v>2684</v>
      </c>
      <c r="D661" s="31" t="s">
        <v>2823</v>
      </c>
      <c r="E661" s="31" t="s">
        <v>2030</v>
      </c>
      <c r="F661" s="31" t="s">
        <v>2213</v>
      </c>
      <c r="G661" s="31" t="str">
        <f>VLOOKUP(A661,'Active Employees'!$B$2:$B$498,1,false)</f>
        <v>#N/A</v>
      </c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>
      <c r="A662" s="31" t="s">
        <v>2241</v>
      </c>
      <c r="B662" s="31" t="s">
        <v>2027</v>
      </c>
      <c r="C662" s="31" t="s">
        <v>2684</v>
      </c>
      <c r="D662" s="31" t="s">
        <v>2824</v>
      </c>
      <c r="E662" s="31" t="s">
        <v>2030</v>
      </c>
      <c r="F662" s="31" t="s">
        <v>2213</v>
      </c>
      <c r="G662" s="31" t="str">
        <f>VLOOKUP(A662,'Active Employees'!$B$2:$B$498,1,false)</f>
        <v>#N/A</v>
      </c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>
      <c r="A663" s="31" t="s">
        <v>2241</v>
      </c>
      <c r="B663" s="31" t="s">
        <v>2027</v>
      </c>
      <c r="C663" s="31" t="s">
        <v>2684</v>
      </c>
      <c r="D663" s="31" t="s">
        <v>2825</v>
      </c>
      <c r="E663" s="31" t="s">
        <v>2030</v>
      </c>
      <c r="F663" s="31" t="s">
        <v>2213</v>
      </c>
      <c r="G663" s="31" t="str">
        <f>VLOOKUP(A663,'Active Employees'!$B$2:$B$498,1,false)</f>
        <v>#N/A</v>
      </c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>
      <c r="A664" s="31" t="s">
        <v>2241</v>
      </c>
      <c r="B664" s="31" t="s">
        <v>2027</v>
      </c>
      <c r="C664" s="31" t="s">
        <v>2684</v>
      </c>
      <c r="D664" s="31" t="s">
        <v>2826</v>
      </c>
      <c r="E664" s="31" t="s">
        <v>2030</v>
      </c>
      <c r="F664" s="31" t="s">
        <v>2213</v>
      </c>
      <c r="G664" s="31" t="str">
        <f>VLOOKUP(A664,'Active Employees'!$B$2:$B$498,1,false)</f>
        <v>#N/A</v>
      </c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>
      <c r="A665" s="31" t="s">
        <v>2241</v>
      </c>
      <c r="B665" s="31" t="s">
        <v>2027</v>
      </c>
      <c r="C665" s="31" t="s">
        <v>2684</v>
      </c>
      <c r="D665" s="31" t="s">
        <v>2827</v>
      </c>
      <c r="E665" s="31" t="s">
        <v>2030</v>
      </c>
      <c r="F665" s="31" t="s">
        <v>2213</v>
      </c>
      <c r="G665" s="31" t="str">
        <f>VLOOKUP(A665,'Active Employees'!$B$2:$B$498,1,false)</f>
        <v>#N/A</v>
      </c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>
      <c r="A666" s="31" t="s">
        <v>2241</v>
      </c>
      <c r="B666" s="31" t="s">
        <v>2027</v>
      </c>
      <c r="C666" s="31" t="s">
        <v>2684</v>
      </c>
      <c r="D666" s="31" t="s">
        <v>2828</v>
      </c>
      <c r="E666" s="31" t="s">
        <v>2030</v>
      </c>
      <c r="F666" s="31" t="s">
        <v>2213</v>
      </c>
      <c r="G666" s="31" t="str">
        <f>VLOOKUP(A666,'Active Employees'!$B$2:$B$498,1,false)</f>
        <v>#N/A</v>
      </c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>
      <c r="A667" s="31" t="s">
        <v>2241</v>
      </c>
      <c r="B667" s="31" t="s">
        <v>2027</v>
      </c>
      <c r="C667" s="31" t="s">
        <v>2684</v>
      </c>
      <c r="D667" s="31" t="s">
        <v>2829</v>
      </c>
      <c r="E667" s="31" t="s">
        <v>2030</v>
      </c>
      <c r="F667" s="31" t="s">
        <v>2213</v>
      </c>
      <c r="G667" s="31" t="str">
        <f>VLOOKUP(A667,'Active Employees'!$B$2:$B$498,1,false)</f>
        <v>#N/A</v>
      </c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>
      <c r="A668" s="31" t="s">
        <v>2241</v>
      </c>
      <c r="B668" s="31" t="s">
        <v>2027</v>
      </c>
      <c r="C668" s="31" t="s">
        <v>2684</v>
      </c>
      <c r="D668" s="31" t="s">
        <v>2830</v>
      </c>
      <c r="E668" s="31" t="s">
        <v>2030</v>
      </c>
      <c r="F668" s="31" t="s">
        <v>2213</v>
      </c>
      <c r="G668" s="31" t="str">
        <f>VLOOKUP(A668,'Active Employees'!$B$2:$B$498,1,false)</f>
        <v>#N/A</v>
      </c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>
      <c r="A669" s="31" t="s">
        <v>2241</v>
      </c>
      <c r="B669" s="31" t="s">
        <v>2027</v>
      </c>
      <c r="C669" s="31" t="s">
        <v>2684</v>
      </c>
      <c r="D669" s="31" t="s">
        <v>2831</v>
      </c>
      <c r="E669" s="31" t="s">
        <v>2030</v>
      </c>
      <c r="F669" s="31" t="s">
        <v>2213</v>
      </c>
      <c r="G669" s="31" t="str">
        <f>VLOOKUP(A669,'Active Employees'!$B$2:$B$498,1,false)</f>
        <v>#N/A</v>
      </c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>
      <c r="A670" s="31" t="s">
        <v>2241</v>
      </c>
      <c r="B670" s="31" t="s">
        <v>2027</v>
      </c>
      <c r="C670" s="31" t="s">
        <v>2684</v>
      </c>
      <c r="D670" s="31" t="s">
        <v>2832</v>
      </c>
      <c r="E670" s="31" t="s">
        <v>2030</v>
      </c>
      <c r="F670" s="31" t="s">
        <v>2213</v>
      </c>
      <c r="G670" s="31" t="str">
        <f>VLOOKUP(A670,'Active Employees'!$B$2:$B$498,1,false)</f>
        <v>#N/A</v>
      </c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>
      <c r="A671" s="31" t="s">
        <v>2241</v>
      </c>
      <c r="B671" s="31" t="s">
        <v>2027</v>
      </c>
      <c r="C671" s="31" t="s">
        <v>2684</v>
      </c>
      <c r="D671" s="31" t="s">
        <v>2833</v>
      </c>
      <c r="E671" s="31" t="s">
        <v>2030</v>
      </c>
      <c r="F671" s="31" t="s">
        <v>2213</v>
      </c>
      <c r="G671" s="31" t="str">
        <f>VLOOKUP(A671,'Active Employees'!$B$2:$B$498,1,false)</f>
        <v>#N/A</v>
      </c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>
      <c r="A672" s="31" t="s">
        <v>2241</v>
      </c>
      <c r="B672" s="31" t="s">
        <v>2027</v>
      </c>
      <c r="C672" s="31" t="s">
        <v>2684</v>
      </c>
      <c r="D672" s="31" t="s">
        <v>2834</v>
      </c>
      <c r="E672" s="31" t="s">
        <v>2030</v>
      </c>
      <c r="F672" s="31" t="s">
        <v>2213</v>
      </c>
      <c r="G672" s="31" t="str">
        <f>VLOOKUP(A672,'Active Employees'!$B$2:$B$498,1,false)</f>
        <v>#N/A</v>
      </c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>
      <c r="A673" s="31" t="s">
        <v>2241</v>
      </c>
      <c r="B673" s="31" t="s">
        <v>2027</v>
      </c>
      <c r="C673" s="31" t="s">
        <v>2684</v>
      </c>
      <c r="D673" s="31" t="s">
        <v>2835</v>
      </c>
      <c r="E673" s="31" t="s">
        <v>2030</v>
      </c>
      <c r="F673" s="31" t="s">
        <v>2213</v>
      </c>
      <c r="G673" s="31" t="str">
        <f>VLOOKUP(A673,'Active Employees'!$B$2:$B$498,1,false)</f>
        <v>#N/A</v>
      </c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>
      <c r="A674" s="31" t="s">
        <v>2241</v>
      </c>
      <c r="B674" s="31" t="s">
        <v>2027</v>
      </c>
      <c r="C674" s="31" t="s">
        <v>2684</v>
      </c>
      <c r="D674" s="31" t="s">
        <v>2836</v>
      </c>
      <c r="E674" s="31" t="s">
        <v>2030</v>
      </c>
      <c r="F674" s="31" t="s">
        <v>2213</v>
      </c>
      <c r="G674" s="31" t="str">
        <f>VLOOKUP(A674,'Active Employees'!$B$2:$B$498,1,false)</f>
        <v>#N/A</v>
      </c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>
      <c r="A675" s="31" t="s">
        <v>2241</v>
      </c>
      <c r="B675" s="31" t="s">
        <v>2027</v>
      </c>
      <c r="C675" s="31" t="s">
        <v>2684</v>
      </c>
      <c r="D675" s="31" t="s">
        <v>2837</v>
      </c>
      <c r="E675" s="31" t="s">
        <v>2030</v>
      </c>
      <c r="F675" s="31" t="s">
        <v>2213</v>
      </c>
      <c r="G675" s="31" t="str">
        <f>VLOOKUP(A675,'Active Employees'!$B$2:$B$498,1,false)</f>
        <v>#N/A</v>
      </c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>
      <c r="A676" s="31" t="s">
        <v>2241</v>
      </c>
      <c r="B676" s="31" t="s">
        <v>2027</v>
      </c>
      <c r="C676" s="31" t="s">
        <v>2684</v>
      </c>
      <c r="D676" s="31" t="s">
        <v>2838</v>
      </c>
      <c r="E676" s="31" t="s">
        <v>2030</v>
      </c>
      <c r="F676" s="31" t="s">
        <v>2213</v>
      </c>
      <c r="G676" s="31" t="str">
        <f>VLOOKUP(A676,'Active Employees'!$B$2:$B$498,1,false)</f>
        <v>#N/A</v>
      </c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>
      <c r="A677" s="31" t="s">
        <v>2241</v>
      </c>
      <c r="B677" s="31" t="s">
        <v>2027</v>
      </c>
      <c r="C677" s="31" t="s">
        <v>2684</v>
      </c>
      <c r="D677" s="31" t="s">
        <v>2839</v>
      </c>
      <c r="E677" s="31" t="s">
        <v>2030</v>
      </c>
      <c r="F677" s="31" t="s">
        <v>2213</v>
      </c>
      <c r="G677" s="31" t="str">
        <f>VLOOKUP(A677,'Active Employees'!$B$2:$B$498,1,false)</f>
        <v>#N/A</v>
      </c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>
      <c r="A678" s="31" t="s">
        <v>2241</v>
      </c>
      <c r="B678" s="31" t="s">
        <v>2027</v>
      </c>
      <c r="C678" s="31" t="s">
        <v>2684</v>
      </c>
      <c r="D678" s="31" t="s">
        <v>2840</v>
      </c>
      <c r="E678" s="31" t="s">
        <v>2030</v>
      </c>
      <c r="F678" s="31" t="s">
        <v>2213</v>
      </c>
      <c r="G678" s="31" t="str">
        <f>VLOOKUP(A678,'Active Employees'!$B$2:$B$498,1,false)</f>
        <v>#N/A</v>
      </c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>
      <c r="A679" s="31" t="s">
        <v>2241</v>
      </c>
      <c r="B679" s="31" t="s">
        <v>2027</v>
      </c>
      <c r="C679" s="31" t="s">
        <v>2684</v>
      </c>
      <c r="D679" s="31" t="s">
        <v>2841</v>
      </c>
      <c r="E679" s="31" t="s">
        <v>2030</v>
      </c>
      <c r="F679" s="31" t="s">
        <v>2213</v>
      </c>
      <c r="G679" s="31" t="str">
        <f>VLOOKUP(A679,'Active Employees'!$B$2:$B$498,1,false)</f>
        <v>#N/A</v>
      </c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>
      <c r="A680" s="31" t="s">
        <v>2241</v>
      </c>
      <c r="B680" s="31" t="s">
        <v>2027</v>
      </c>
      <c r="C680" s="31" t="s">
        <v>2684</v>
      </c>
      <c r="D680" s="31" t="s">
        <v>2842</v>
      </c>
      <c r="E680" s="31" t="s">
        <v>2030</v>
      </c>
      <c r="F680" s="31" t="s">
        <v>2213</v>
      </c>
      <c r="G680" s="31" t="str">
        <f>VLOOKUP(A680,'Active Employees'!$B$2:$B$498,1,false)</f>
        <v>#N/A</v>
      </c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>
      <c r="A681" s="31" t="s">
        <v>2241</v>
      </c>
      <c r="B681" s="31" t="s">
        <v>2027</v>
      </c>
      <c r="C681" s="31" t="s">
        <v>2684</v>
      </c>
      <c r="D681" s="31" t="s">
        <v>2843</v>
      </c>
      <c r="E681" s="31" t="s">
        <v>2030</v>
      </c>
      <c r="F681" s="31" t="s">
        <v>2213</v>
      </c>
      <c r="G681" s="31" t="str">
        <f>VLOOKUP(A681,'Active Employees'!$B$2:$B$498,1,false)</f>
        <v>#N/A</v>
      </c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>
      <c r="A682" s="31" t="s">
        <v>2241</v>
      </c>
      <c r="B682" s="31" t="s">
        <v>2027</v>
      </c>
      <c r="C682" s="31" t="s">
        <v>2684</v>
      </c>
      <c r="D682" s="31" t="s">
        <v>2844</v>
      </c>
      <c r="E682" s="31" t="s">
        <v>2030</v>
      </c>
      <c r="F682" s="31" t="s">
        <v>2213</v>
      </c>
      <c r="G682" s="31" t="str">
        <f>VLOOKUP(A682,'Active Employees'!$B$2:$B$498,1,false)</f>
        <v>#N/A</v>
      </c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>
      <c r="A683" s="31" t="s">
        <v>2241</v>
      </c>
      <c r="B683" s="31" t="s">
        <v>2027</v>
      </c>
      <c r="C683" s="31" t="s">
        <v>2684</v>
      </c>
      <c r="D683" s="31" t="s">
        <v>2845</v>
      </c>
      <c r="E683" s="31" t="s">
        <v>2030</v>
      </c>
      <c r="F683" s="31" t="s">
        <v>2213</v>
      </c>
      <c r="G683" s="31" t="str">
        <f>VLOOKUP(A683,'Active Employees'!$B$2:$B$498,1,false)</f>
        <v>#N/A</v>
      </c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>
      <c r="A684" s="31" t="s">
        <v>2241</v>
      </c>
      <c r="B684" s="31" t="s">
        <v>2027</v>
      </c>
      <c r="C684" s="31" t="s">
        <v>2684</v>
      </c>
      <c r="D684" s="31" t="s">
        <v>2846</v>
      </c>
      <c r="E684" s="31" t="s">
        <v>2030</v>
      </c>
      <c r="F684" s="31" t="s">
        <v>2213</v>
      </c>
      <c r="G684" s="31" t="str">
        <f>VLOOKUP(A684,'Active Employees'!$B$2:$B$498,1,false)</f>
        <v>#N/A</v>
      </c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>
      <c r="A685" s="31" t="s">
        <v>2241</v>
      </c>
      <c r="B685" s="31" t="s">
        <v>2027</v>
      </c>
      <c r="C685" s="31" t="s">
        <v>2684</v>
      </c>
      <c r="D685" s="31" t="s">
        <v>2847</v>
      </c>
      <c r="E685" s="31" t="s">
        <v>2030</v>
      </c>
      <c r="F685" s="31" t="s">
        <v>2213</v>
      </c>
      <c r="G685" s="31" t="str">
        <f>VLOOKUP(A685,'Active Employees'!$B$2:$B$498,1,false)</f>
        <v>#N/A</v>
      </c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>
      <c r="A686" s="31" t="s">
        <v>2241</v>
      </c>
      <c r="B686" s="31" t="s">
        <v>2027</v>
      </c>
      <c r="C686" s="31" t="s">
        <v>2684</v>
      </c>
      <c r="D686" s="31" t="s">
        <v>2848</v>
      </c>
      <c r="E686" s="31" t="s">
        <v>2030</v>
      </c>
      <c r="F686" s="31" t="s">
        <v>2213</v>
      </c>
      <c r="G686" s="31" t="str">
        <f>VLOOKUP(A686,'Active Employees'!$B$2:$B$498,1,false)</f>
        <v>#N/A</v>
      </c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>
      <c r="A687" s="31" t="s">
        <v>2241</v>
      </c>
      <c r="B687" s="31" t="s">
        <v>2027</v>
      </c>
      <c r="C687" s="31" t="s">
        <v>2684</v>
      </c>
      <c r="D687" s="31" t="s">
        <v>2849</v>
      </c>
      <c r="E687" s="31" t="s">
        <v>2030</v>
      </c>
      <c r="F687" s="31" t="s">
        <v>2213</v>
      </c>
      <c r="G687" s="31" t="str">
        <f>VLOOKUP(A687,'Active Employees'!$B$2:$B$498,1,false)</f>
        <v>#N/A</v>
      </c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>
      <c r="A688" s="31" t="s">
        <v>2241</v>
      </c>
      <c r="B688" s="31" t="s">
        <v>2027</v>
      </c>
      <c r="C688" s="31" t="s">
        <v>2684</v>
      </c>
      <c r="D688" s="31" t="s">
        <v>2850</v>
      </c>
      <c r="E688" s="31" t="s">
        <v>2030</v>
      </c>
      <c r="F688" s="31" t="s">
        <v>2213</v>
      </c>
      <c r="G688" s="31" t="str">
        <f>VLOOKUP(A688,'Active Employees'!$B$2:$B$498,1,false)</f>
        <v>#N/A</v>
      </c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>
      <c r="A689" s="31" t="s">
        <v>2241</v>
      </c>
      <c r="B689" s="31" t="s">
        <v>2027</v>
      </c>
      <c r="C689" s="31" t="s">
        <v>2851</v>
      </c>
      <c r="D689" s="31" t="s">
        <v>2852</v>
      </c>
      <c r="E689" s="31" t="s">
        <v>2030</v>
      </c>
      <c r="F689" s="31" t="s">
        <v>2213</v>
      </c>
      <c r="G689" s="31" t="str">
        <f>VLOOKUP(A689,'Active Employees'!$B$2:$B$498,1,false)</f>
        <v>#N/A</v>
      </c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>
      <c r="A690" s="31" t="s">
        <v>2241</v>
      </c>
      <c r="B690" s="31" t="s">
        <v>2027</v>
      </c>
      <c r="C690" s="31" t="s">
        <v>2851</v>
      </c>
      <c r="D690" s="31" t="s">
        <v>2853</v>
      </c>
      <c r="E690" s="31" t="s">
        <v>2030</v>
      </c>
      <c r="F690" s="31" t="s">
        <v>2213</v>
      </c>
      <c r="G690" s="31" t="str">
        <f>VLOOKUP(A690,'Active Employees'!$B$2:$B$498,1,false)</f>
        <v>#N/A</v>
      </c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>
      <c r="A691" s="31" t="s">
        <v>2241</v>
      </c>
      <c r="B691" s="31" t="s">
        <v>2027</v>
      </c>
      <c r="C691" s="31" t="s">
        <v>2851</v>
      </c>
      <c r="D691" s="31" t="s">
        <v>2854</v>
      </c>
      <c r="E691" s="31" t="s">
        <v>2030</v>
      </c>
      <c r="F691" s="31" t="s">
        <v>2213</v>
      </c>
      <c r="G691" s="31" t="str">
        <f>VLOOKUP(A691,'Active Employees'!$B$2:$B$498,1,false)</f>
        <v>#N/A</v>
      </c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>
      <c r="A692" s="31" t="s">
        <v>2241</v>
      </c>
      <c r="B692" s="31" t="s">
        <v>2027</v>
      </c>
      <c r="C692" s="31" t="s">
        <v>2851</v>
      </c>
      <c r="D692" s="31" t="s">
        <v>2855</v>
      </c>
      <c r="E692" s="31" t="s">
        <v>2030</v>
      </c>
      <c r="F692" s="31" t="s">
        <v>2213</v>
      </c>
      <c r="G692" s="31" t="str">
        <f>VLOOKUP(A692,'Active Employees'!$B$2:$B$498,1,false)</f>
        <v>#N/A</v>
      </c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>
      <c r="A693" s="31" t="s">
        <v>2241</v>
      </c>
      <c r="B693" s="31" t="s">
        <v>2027</v>
      </c>
      <c r="C693" s="31" t="s">
        <v>2851</v>
      </c>
      <c r="D693" s="31" t="s">
        <v>2856</v>
      </c>
      <c r="E693" s="31" t="s">
        <v>2030</v>
      </c>
      <c r="F693" s="31" t="s">
        <v>2213</v>
      </c>
      <c r="G693" s="31" t="str">
        <f>VLOOKUP(A693,'Active Employees'!$B$2:$B$498,1,false)</f>
        <v>#N/A</v>
      </c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>
      <c r="A694" s="31" t="s">
        <v>2241</v>
      </c>
      <c r="B694" s="31" t="s">
        <v>2027</v>
      </c>
      <c r="C694" s="31" t="s">
        <v>2851</v>
      </c>
      <c r="D694" s="31" t="s">
        <v>2857</v>
      </c>
      <c r="E694" s="31" t="s">
        <v>2030</v>
      </c>
      <c r="F694" s="31" t="s">
        <v>2213</v>
      </c>
      <c r="G694" s="31" t="str">
        <f>VLOOKUP(A694,'Active Employees'!$B$2:$B$498,1,false)</f>
        <v>#N/A</v>
      </c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>
      <c r="A695" s="31" t="s">
        <v>2241</v>
      </c>
      <c r="B695" s="31" t="s">
        <v>2027</v>
      </c>
      <c r="C695" s="31" t="s">
        <v>2851</v>
      </c>
      <c r="D695" s="31" t="s">
        <v>2858</v>
      </c>
      <c r="E695" s="31" t="s">
        <v>2030</v>
      </c>
      <c r="F695" s="31" t="s">
        <v>2213</v>
      </c>
      <c r="G695" s="31" t="str">
        <f>VLOOKUP(A695,'Active Employees'!$B$2:$B$498,1,false)</f>
        <v>#N/A</v>
      </c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>
      <c r="A696" s="31" t="s">
        <v>2241</v>
      </c>
      <c r="B696" s="31" t="s">
        <v>2027</v>
      </c>
      <c r="C696" s="31" t="s">
        <v>2851</v>
      </c>
      <c r="D696" s="31" t="s">
        <v>2859</v>
      </c>
      <c r="E696" s="31" t="s">
        <v>2030</v>
      </c>
      <c r="F696" s="31" t="s">
        <v>2213</v>
      </c>
      <c r="G696" s="31" t="str">
        <f>VLOOKUP(A696,'Active Employees'!$B$2:$B$498,1,false)</f>
        <v>#N/A</v>
      </c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>
      <c r="A697" s="31" t="s">
        <v>2241</v>
      </c>
      <c r="B697" s="31" t="s">
        <v>2027</v>
      </c>
      <c r="C697" s="31" t="s">
        <v>2860</v>
      </c>
      <c r="D697" s="31" t="s">
        <v>2861</v>
      </c>
      <c r="E697" s="31" t="s">
        <v>2030</v>
      </c>
      <c r="F697" s="31" t="s">
        <v>2213</v>
      </c>
      <c r="G697" s="31" t="str">
        <f>VLOOKUP(A697,'Active Employees'!$B$2:$B$498,1,false)</f>
        <v>#N/A</v>
      </c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>
      <c r="A698" s="31" t="s">
        <v>2241</v>
      </c>
      <c r="B698" s="31" t="s">
        <v>2027</v>
      </c>
      <c r="C698" s="31" t="s">
        <v>2851</v>
      </c>
      <c r="D698" s="31" t="s">
        <v>2862</v>
      </c>
      <c r="E698" s="31" t="s">
        <v>2030</v>
      </c>
      <c r="F698" s="31" t="s">
        <v>2213</v>
      </c>
      <c r="G698" s="31" t="str">
        <f>VLOOKUP(A698,'Active Employees'!$B$2:$B$498,1,false)</f>
        <v>#N/A</v>
      </c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>
      <c r="A699" s="31" t="s">
        <v>2241</v>
      </c>
      <c r="B699" s="31" t="s">
        <v>2027</v>
      </c>
      <c r="C699" s="31" t="s">
        <v>2851</v>
      </c>
      <c r="D699" s="31" t="s">
        <v>2863</v>
      </c>
      <c r="E699" s="31" t="s">
        <v>2030</v>
      </c>
      <c r="F699" s="31" t="s">
        <v>2213</v>
      </c>
      <c r="G699" s="31" t="str">
        <f>VLOOKUP(A699,'Active Employees'!$B$2:$B$498,1,false)</f>
        <v>#N/A</v>
      </c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>
      <c r="A700" s="31" t="s">
        <v>2241</v>
      </c>
      <c r="B700" s="31" t="s">
        <v>2027</v>
      </c>
      <c r="C700" s="31" t="s">
        <v>2851</v>
      </c>
      <c r="D700" s="31" t="s">
        <v>2864</v>
      </c>
      <c r="E700" s="31" t="s">
        <v>2030</v>
      </c>
      <c r="F700" s="31" t="s">
        <v>2213</v>
      </c>
      <c r="G700" s="31" t="str">
        <f>VLOOKUP(A700,'Active Employees'!$B$2:$B$498,1,false)</f>
        <v>#N/A</v>
      </c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>
      <c r="A701" s="31" t="s">
        <v>2241</v>
      </c>
      <c r="B701" s="31" t="s">
        <v>2027</v>
      </c>
      <c r="C701" s="31" t="s">
        <v>2851</v>
      </c>
      <c r="D701" s="31" t="s">
        <v>2865</v>
      </c>
      <c r="E701" s="31" t="s">
        <v>2030</v>
      </c>
      <c r="F701" s="31" t="s">
        <v>2213</v>
      </c>
      <c r="G701" s="31" t="str">
        <f>VLOOKUP(A701,'Active Employees'!$B$2:$B$498,1,false)</f>
        <v>#N/A</v>
      </c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>
      <c r="A702" s="31" t="s">
        <v>2241</v>
      </c>
      <c r="B702" s="31" t="s">
        <v>2027</v>
      </c>
      <c r="C702" s="31" t="s">
        <v>2866</v>
      </c>
      <c r="D702" s="31" t="s">
        <v>2867</v>
      </c>
      <c r="E702" s="31" t="s">
        <v>2030</v>
      </c>
      <c r="F702" s="31" t="s">
        <v>2213</v>
      </c>
      <c r="G702" s="31" t="str">
        <f>VLOOKUP(A702,'Active Employees'!$B$2:$B$498,1,false)</f>
        <v>#N/A</v>
      </c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>
      <c r="A703" s="31" t="s">
        <v>2241</v>
      </c>
      <c r="B703" s="31" t="s">
        <v>2027</v>
      </c>
      <c r="C703" s="31" t="s">
        <v>2851</v>
      </c>
      <c r="D703" s="31" t="s">
        <v>2868</v>
      </c>
      <c r="E703" s="31" t="s">
        <v>2030</v>
      </c>
      <c r="F703" s="31" t="s">
        <v>2213</v>
      </c>
      <c r="G703" s="31" t="str">
        <f>VLOOKUP(A703,'Active Employees'!$B$2:$B$498,1,false)</f>
        <v>#N/A</v>
      </c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>
      <c r="A704" s="31" t="s">
        <v>2241</v>
      </c>
      <c r="B704" s="31" t="s">
        <v>2027</v>
      </c>
      <c r="C704" s="31" t="s">
        <v>2851</v>
      </c>
      <c r="D704" s="31" t="s">
        <v>2869</v>
      </c>
      <c r="E704" s="31" t="s">
        <v>2030</v>
      </c>
      <c r="F704" s="31" t="s">
        <v>2213</v>
      </c>
      <c r="G704" s="31" t="str">
        <f>VLOOKUP(A704,'Active Employees'!$B$2:$B$498,1,false)</f>
        <v>#N/A</v>
      </c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>
      <c r="A705" s="31" t="s">
        <v>2241</v>
      </c>
      <c r="B705" s="31" t="s">
        <v>2027</v>
      </c>
      <c r="C705" s="31" t="s">
        <v>2870</v>
      </c>
      <c r="D705" s="31" t="s">
        <v>2871</v>
      </c>
      <c r="E705" s="31" t="s">
        <v>2030</v>
      </c>
      <c r="F705" s="31" t="s">
        <v>2213</v>
      </c>
      <c r="G705" s="31" t="str">
        <f>VLOOKUP(A705,'Active Employees'!$B$2:$B$498,1,false)</f>
        <v>#N/A</v>
      </c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>
      <c r="A706" s="31" t="s">
        <v>2241</v>
      </c>
      <c r="B706" s="31" t="s">
        <v>2027</v>
      </c>
      <c r="C706" s="31" t="s">
        <v>2248</v>
      </c>
      <c r="D706" s="31" t="s">
        <v>2872</v>
      </c>
      <c r="E706" s="31" t="s">
        <v>2030</v>
      </c>
      <c r="F706" s="31" t="s">
        <v>2213</v>
      </c>
      <c r="G706" s="31" t="str">
        <f>VLOOKUP(A706,'Active Employees'!$B$2:$B$498,1,false)</f>
        <v>#N/A</v>
      </c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>
      <c r="A707" s="31" t="s">
        <v>2241</v>
      </c>
      <c r="B707" s="31" t="s">
        <v>2027</v>
      </c>
      <c r="C707" s="31" t="s">
        <v>2873</v>
      </c>
      <c r="D707" s="31" t="s">
        <v>2874</v>
      </c>
      <c r="E707" s="31" t="s">
        <v>2030</v>
      </c>
      <c r="F707" s="31" t="s">
        <v>2213</v>
      </c>
      <c r="G707" s="31" t="str">
        <f>VLOOKUP(A707,'Active Employees'!$B$2:$B$498,1,false)</f>
        <v>#N/A</v>
      </c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>
      <c r="A708" s="31" t="s">
        <v>2241</v>
      </c>
      <c r="B708" s="31" t="s">
        <v>2027</v>
      </c>
      <c r="C708" s="31" t="s">
        <v>2851</v>
      </c>
      <c r="D708" s="31" t="s">
        <v>2875</v>
      </c>
      <c r="E708" s="31" t="s">
        <v>2030</v>
      </c>
      <c r="F708" s="31" t="s">
        <v>2213</v>
      </c>
      <c r="G708" s="31" t="str">
        <f>VLOOKUP(A708,'Active Employees'!$B$2:$B$498,1,false)</f>
        <v>#N/A</v>
      </c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>
      <c r="A709" s="31" t="s">
        <v>2241</v>
      </c>
      <c r="B709" s="31" t="s">
        <v>2027</v>
      </c>
      <c r="C709" s="31" t="s">
        <v>2248</v>
      </c>
      <c r="D709" s="31" t="s">
        <v>2876</v>
      </c>
      <c r="E709" s="31" t="s">
        <v>2030</v>
      </c>
      <c r="F709" s="31" t="s">
        <v>2213</v>
      </c>
      <c r="G709" s="31" t="str">
        <f>VLOOKUP(A709,'Active Employees'!$B$2:$B$498,1,false)</f>
        <v>#N/A</v>
      </c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>
      <c r="A710" s="31" t="s">
        <v>2241</v>
      </c>
      <c r="B710" s="31" t="s">
        <v>2027</v>
      </c>
      <c r="C710" s="31" t="s">
        <v>2877</v>
      </c>
      <c r="D710" s="31" t="s">
        <v>2878</v>
      </c>
      <c r="E710" s="31" t="s">
        <v>2030</v>
      </c>
      <c r="F710" s="31" t="s">
        <v>2213</v>
      </c>
      <c r="G710" s="31" t="str">
        <f>VLOOKUP(A710,'Active Employees'!$B$2:$B$498,1,false)</f>
        <v>#N/A</v>
      </c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>
      <c r="A711" s="31" t="s">
        <v>2241</v>
      </c>
      <c r="B711" s="31" t="s">
        <v>2027</v>
      </c>
      <c r="C711" s="31" t="s">
        <v>2879</v>
      </c>
      <c r="D711" s="31" t="s">
        <v>2880</v>
      </c>
      <c r="E711" s="31" t="s">
        <v>2030</v>
      </c>
      <c r="F711" s="31" t="s">
        <v>2213</v>
      </c>
      <c r="G711" s="31" t="str">
        <f>VLOOKUP(A711,'Active Employees'!$B$2:$B$498,1,false)</f>
        <v>#N/A</v>
      </c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>
      <c r="A712" s="31" t="s">
        <v>2241</v>
      </c>
      <c r="B712" s="31" t="s">
        <v>2027</v>
      </c>
      <c r="C712" s="31" t="s">
        <v>2851</v>
      </c>
      <c r="D712" s="31" t="s">
        <v>2881</v>
      </c>
      <c r="E712" s="31" t="s">
        <v>2030</v>
      </c>
      <c r="F712" s="31" t="s">
        <v>2213</v>
      </c>
      <c r="G712" s="31" t="str">
        <f>VLOOKUP(A712,'Active Employees'!$B$2:$B$498,1,false)</f>
        <v>#N/A</v>
      </c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>
      <c r="A713" s="31" t="s">
        <v>2241</v>
      </c>
      <c r="B713" s="31" t="s">
        <v>2027</v>
      </c>
      <c r="C713" s="31" t="s">
        <v>2851</v>
      </c>
      <c r="D713" s="31" t="s">
        <v>2882</v>
      </c>
      <c r="E713" s="31" t="s">
        <v>2030</v>
      </c>
      <c r="F713" s="31" t="s">
        <v>2213</v>
      </c>
      <c r="G713" s="31" t="str">
        <f>VLOOKUP(A713,'Active Employees'!$B$2:$B$498,1,false)</f>
        <v>#N/A</v>
      </c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>
      <c r="A714" s="31" t="s">
        <v>2241</v>
      </c>
      <c r="B714" s="31" t="s">
        <v>2027</v>
      </c>
      <c r="C714" s="31" t="s">
        <v>2883</v>
      </c>
      <c r="D714" s="31" t="s">
        <v>2884</v>
      </c>
      <c r="E714" s="31" t="s">
        <v>2030</v>
      </c>
      <c r="F714" s="31" t="s">
        <v>2213</v>
      </c>
      <c r="G714" s="31" t="str">
        <f>VLOOKUP(A714,'Active Employees'!$B$2:$B$498,1,false)</f>
        <v>#N/A</v>
      </c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>
      <c r="A715" s="31" t="s">
        <v>2241</v>
      </c>
      <c r="B715" s="31" t="s">
        <v>2027</v>
      </c>
      <c r="C715" s="31" t="s">
        <v>2851</v>
      </c>
      <c r="D715" s="31" t="s">
        <v>2885</v>
      </c>
      <c r="E715" s="31" t="s">
        <v>2030</v>
      </c>
      <c r="F715" s="31" t="s">
        <v>2213</v>
      </c>
      <c r="G715" s="31" t="str">
        <f>VLOOKUP(A715,'Active Employees'!$B$2:$B$498,1,false)</f>
        <v>#N/A</v>
      </c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>
      <c r="A716" s="31" t="s">
        <v>2241</v>
      </c>
      <c r="B716" s="31" t="s">
        <v>2027</v>
      </c>
      <c r="C716" s="31" t="s">
        <v>2851</v>
      </c>
      <c r="D716" s="31" t="s">
        <v>2886</v>
      </c>
      <c r="E716" s="31" t="s">
        <v>2030</v>
      </c>
      <c r="F716" s="31" t="s">
        <v>2213</v>
      </c>
      <c r="G716" s="31" t="str">
        <f>VLOOKUP(A716,'Active Employees'!$B$2:$B$498,1,false)</f>
        <v>#N/A</v>
      </c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>
      <c r="A717" s="31" t="s">
        <v>2241</v>
      </c>
      <c r="B717" s="31" t="s">
        <v>2027</v>
      </c>
      <c r="C717" s="31" t="s">
        <v>2851</v>
      </c>
      <c r="D717" s="31" t="s">
        <v>2887</v>
      </c>
      <c r="E717" s="31" t="s">
        <v>2030</v>
      </c>
      <c r="F717" s="31" t="s">
        <v>2213</v>
      </c>
      <c r="G717" s="31" t="str">
        <f>VLOOKUP(A717,'Active Employees'!$B$2:$B$498,1,false)</f>
        <v>#N/A</v>
      </c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>
      <c r="A718" s="31" t="s">
        <v>2241</v>
      </c>
      <c r="B718" s="31" t="s">
        <v>2027</v>
      </c>
      <c r="C718" s="31" t="s">
        <v>2851</v>
      </c>
      <c r="D718" s="31" t="s">
        <v>2888</v>
      </c>
      <c r="E718" s="31" t="s">
        <v>2030</v>
      </c>
      <c r="F718" s="31" t="s">
        <v>2213</v>
      </c>
      <c r="G718" s="31" t="str">
        <f>VLOOKUP(A718,'Active Employees'!$B$2:$B$498,1,false)</f>
        <v>#N/A</v>
      </c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>
      <c r="A719" s="31" t="s">
        <v>2241</v>
      </c>
      <c r="B719" s="31" t="s">
        <v>2027</v>
      </c>
      <c r="C719" s="31" t="s">
        <v>2860</v>
      </c>
      <c r="D719" s="31" t="s">
        <v>2889</v>
      </c>
      <c r="E719" s="31" t="s">
        <v>2030</v>
      </c>
      <c r="F719" s="31" t="s">
        <v>2213</v>
      </c>
      <c r="G719" s="31" t="str">
        <f>VLOOKUP(A719,'Active Employees'!$B$2:$B$498,1,false)</f>
        <v>#N/A</v>
      </c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>
      <c r="A720" s="31" t="s">
        <v>2241</v>
      </c>
      <c r="B720" s="31" t="s">
        <v>2027</v>
      </c>
      <c r="C720" s="31" t="s">
        <v>2890</v>
      </c>
      <c r="D720" s="31" t="s">
        <v>2891</v>
      </c>
      <c r="E720" s="31" t="s">
        <v>2030</v>
      </c>
      <c r="F720" s="31" t="s">
        <v>2213</v>
      </c>
      <c r="G720" s="31" t="str">
        <f>VLOOKUP(A720,'Active Employees'!$B$2:$B$498,1,false)</f>
        <v>#N/A</v>
      </c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>
      <c r="A721" s="31" t="s">
        <v>2241</v>
      </c>
      <c r="B721" s="31" t="s">
        <v>2027</v>
      </c>
      <c r="C721" s="31" t="s">
        <v>2851</v>
      </c>
      <c r="D721" s="31" t="s">
        <v>2892</v>
      </c>
      <c r="E721" s="31" t="s">
        <v>2030</v>
      </c>
      <c r="F721" s="31" t="s">
        <v>2213</v>
      </c>
      <c r="G721" s="31" t="str">
        <f>VLOOKUP(A721,'Active Employees'!$B$2:$B$498,1,false)</f>
        <v>#N/A</v>
      </c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>
      <c r="A722" s="31" t="s">
        <v>2241</v>
      </c>
      <c r="B722" s="31" t="s">
        <v>2027</v>
      </c>
      <c r="C722" s="31" t="s">
        <v>2860</v>
      </c>
      <c r="D722" s="31" t="s">
        <v>2893</v>
      </c>
      <c r="E722" s="31" t="s">
        <v>2030</v>
      </c>
      <c r="F722" s="31" t="s">
        <v>2213</v>
      </c>
      <c r="G722" s="31" t="str">
        <f>VLOOKUP(A722,'Active Employees'!$B$2:$B$498,1,false)</f>
        <v>#N/A</v>
      </c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>
      <c r="A723" s="31" t="s">
        <v>2241</v>
      </c>
      <c r="B723" s="31" t="s">
        <v>2027</v>
      </c>
      <c r="C723" s="31" t="s">
        <v>2860</v>
      </c>
      <c r="D723" s="31" t="s">
        <v>2894</v>
      </c>
      <c r="E723" s="31" t="s">
        <v>2030</v>
      </c>
      <c r="F723" s="31" t="s">
        <v>2213</v>
      </c>
      <c r="G723" s="31" t="str">
        <f>VLOOKUP(A723,'Active Employees'!$B$2:$B$498,1,false)</f>
        <v>#N/A</v>
      </c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>
      <c r="A724" s="31" t="s">
        <v>2241</v>
      </c>
      <c r="B724" s="31" t="s">
        <v>2027</v>
      </c>
      <c r="C724" s="31" t="s">
        <v>2851</v>
      </c>
      <c r="D724" s="31" t="s">
        <v>2895</v>
      </c>
      <c r="E724" s="31" t="s">
        <v>2030</v>
      </c>
      <c r="F724" s="31" t="s">
        <v>2213</v>
      </c>
      <c r="G724" s="31" t="str">
        <f>VLOOKUP(A724,'Active Employees'!$B$2:$B$498,1,false)</f>
        <v>#N/A</v>
      </c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>
      <c r="A725" s="31" t="s">
        <v>2241</v>
      </c>
      <c r="B725" s="31" t="s">
        <v>2027</v>
      </c>
      <c r="C725" s="31" t="s">
        <v>2896</v>
      </c>
      <c r="D725" s="31" t="s">
        <v>2897</v>
      </c>
      <c r="E725" s="31" t="s">
        <v>2030</v>
      </c>
      <c r="F725" s="31" t="s">
        <v>2213</v>
      </c>
      <c r="G725" s="31" t="str">
        <f>VLOOKUP(A725,'Active Employees'!$B$2:$B$498,1,false)</f>
        <v>#N/A</v>
      </c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>
      <c r="A726" s="31" t="s">
        <v>2241</v>
      </c>
      <c r="B726" s="31" t="s">
        <v>2027</v>
      </c>
      <c r="C726" s="31" t="s">
        <v>2898</v>
      </c>
      <c r="D726" s="31" t="s">
        <v>2899</v>
      </c>
      <c r="E726" s="31" t="s">
        <v>2030</v>
      </c>
      <c r="F726" s="31" t="s">
        <v>2213</v>
      </c>
      <c r="G726" s="31" t="str">
        <f>VLOOKUP(A726,'Active Employees'!$B$2:$B$498,1,false)</f>
        <v>#N/A</v>
      </c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>
      <c r="A727" s="31" t="s">
        <v>2241</v>
      </c>
      <c r="B727" s="31" t="s">
        <v>2027</v>
      </c>
      <c r="C727" s="31" t="s">
        <v>2860</v>
      </c>
      <c r="D727" s="31" t="s">
        <v>2900</v>
      </c>
      <c r="E727" s="31" t="s">
        <v>2030</v>
      </c>
      <c r="F727" s="31" t="s">
        <v>2213</v>
      </c>
      <c r="G727" s="31" t="str">
        <f>VLOOKUP(A727,'Active Employees'!$B$2:$B$498,1,false)</f>
        <v>#N/A</v>
      </c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>
      <c r="A728" s="31" t="s">
        <v>2241</v>
      </c>
      <c r="B728" s="31" t="s">
        <v>2027</v>
      </c>
      <c r="C728" s="31" t="s">
        <v>2248</v>
      </c>
      <c r="D728" s="31" t="s">
        <v>2901</v>
      </c>
      <c r="E728" s="31" t="s">
        <v>2030</v>
      </c>
      <c r="F728" s="31" t="s">
        <v>2213</v>
      </c>
      <c r="G728" s="31" t="str">
        <f>VLOOKUP(A728,'Active Employees'!$B$2:$B$498,1,false)</f>
        <v>#N/A</v>
      </c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>
      <c r="A729" s="31" t="s">
        <v>2241</v>
      </c>
      <c r="B729" s="31" t="s">
        <v>2027</v>
      </c>
      <c r="C729" s="31" t="s">
        <v>2851</v>
      </c>
      <c r="D729" s="31" t="s">
        <v>2902</v>
      </c>
      <c r="E729" s="31" t="s">
        <v>2030</v>
      </c>
      <c r="F729" s="31" t="s">
        <v>2213</v>
      </c>
      <c r="G729" s="31" t="str">
        <f>VLOOKUP(A729,'Active Employees'!$B$2:$B$498,1,false)</f>
        <v>#N/A</v>
      </c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>
      <c r="A730" s="31" t="s">
        <v>2241</v>
      </c>
      <c r="B730" s="31" t="s">
        <v>2027</v>
      </c>
      <c r="C730" s="31" t="s">
        <v>2860</v>
      </c>
      <c r="D730" s="31" t="s">
        <v>2903</v>
      </c>
      <c r="E730" s="31" t="s">
        <v>2030</v>
      </c>
      <c r="F730" s="31" t="s">
        <v>2213</v>
      </c>
      <c r="G730" s="31" t="str">
        <f>VLOOKUP(A730,'Active Employees'!$B$2:$B$498,1,false)</f>
        <v>#N/A</v>
      </c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>
      <c r="A731" s="31" t="s">
        <v>2241</v>
      </c>
      <c r="B731" s="31" t="s">
        <v>2027</v>
      </c>
      <c r="C731" s="31" t="s">
        <v>2860</v>
      </c>
      <c r="D731" s="31" t="s">
        <v>2904</v>
      </c>
      <c r="E731" s="31" t="s">
        <v>2030</v>
      </c>
      <c r="F731" s="31" t="s">
        <v>2213</v>
      </c>
      <c r="G731" s="31" t="str">
        <f>VLOOKUP(A731,'Active Employees'!$B$2:$B$498,1,false)</f>
        <v>#N/A</v>
      </c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>
      <c r="A732" s="31" t="s">
        <v>2241</v>
      </c>
      <c r="B732" s="31" t="s">
        <v>2027</v>
      </c>
      <c r="C732" s="31" t="s">
        <v>2905</v>
      </c>
      <c r="D732" s="31" t="s">
        <v>2906</v>
      </c>
      <c r="E732" s="31" t="s">
        <v>2030</v>
      </c>
      <c r="F732" s="31" t="s">
        <v>2213</v>
      </c>
      <c r="G732" s="31" t="str">
        <f>VLOOKUP(A732,'Active Employees'!$B$2:$B$498,1,false)</f>
        <v>#N/A</v>
      </c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>
      <c r="A733" s="31" t="s">
        <v>2241</v>
      </c>
      <c r="B733" s="31" t="s">
        <v>2027</v>
      </c>
      <c r="C733" s="31" t="s">
        <v>2907</v>
      </c>
      <c r="D733" s="31" t="s">
        <v>2908</v>
      </c>
      <c r="E733" s="31" t="s">
        <v>2030</v>
      </c>
      <c r="F733" s="31" t="s">
        <v>2213</v>
      </c>
      <c r="G733" s="31" t="str">
        <f>VLOOKUP(A733,'Active Employees'!$B$2:$B$498,1,false)</f>
        <v>#N/A</v>
      </c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>
      <c r="A734" s="31" t="s">
        <v>2241</v>
      </c>
      <c r="B734" s="31" t="s">
        <v>2027</v>
      </c>
      <c r="C734" s="31" t="s">
        <v>2909</v>
      </c>
      <c r="D734" s="31" t="s">
        <v>2910</v>
      </c>
      <c r="E734" s="31" t="s">
        <v>2030</v>
      </c>
      <c r="F734" s="31" t="s">
        <v>2213</v>
      </c>
      <c r="G734" s="31" t="str">
        <f>VLOOKUP(A734,'Active Employees'!$B$2:$B$498,1,false)</f>
        <v>#N/A</v>
      </c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>
      <c r="A735" s="31" t="s">
        <v>2241</v>
      </c>
      <c r="B735" s="31" t="s">
        <v>2027</v>
      </c>
      <c r="C735" s="31" t="s">
        <v>2643</v>
      </c>
      <c r="D735" s="31" t="s">
        <v>2911</v>
      </c>
      <c r="E735" s="31" t="s">
        <v>2030</v>
      </c>
      <c r="F735" s="31" t="s">
        <v>2213</v>
      </c>
      <c r="G735" s="31" t="str">
        <f>VLOOKUP(A735,'Active Employees'!$B$2:$B$498,1,false)</f>
        <v>#N/A</v>
      </c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>
      <c r="A736" s="31" t="s">
        <v>2241</v>
      </c>
      <c r="B736" s="31" t="s">
        <v>2027</v>
      </c>
      <c r="C736" s="31" t="s">
        <v>2248</v>
      </c>
      <c r="D736" s="31" t="s">
        <v>2912</v>
      </c>
      <c r="E736" s="31" t="s">
        <v>2030</v>
      </c>
      <c r="F736" s="31" t="s">
        <v>2213</v>
      </c>
      <c r="G736" s="31" t="str">
        <f>VLOOKUP(A736,'Active Employees'!$B$2:$B$498,1,false)</f>
        <v>#N/A</v>
      </c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>
      <c r="A737" s="31" t="s">
        <v>2913</v>
      </c>
      <c r="B737" s="31" t="s">
        <v>2027</v>
      </c>
      <c r="C737" s="31" t="s">
        <v>2072</v>
      </c>
      <c r="D737" s="31" t="s">
        <v>2073</v>
      </c>
      <c r="E737" s="31" t="s">
        <v>2914</v>
      </c>
      <c r="F737" s="31" t="s">
        <v>2213</v>
      </c>
      <c r="G737" s="31" t="str">
        <f>VLOOKUP(A737,'Active Employees'!$B$2:$B$498,1,false)</f>
        <v>#N/A</v>
      </c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>
      <c r="A738" s="31" t="s">
        <v>2915</v>
      </c>
      <c r="B738" s="31" t="s">
        <v>2027</v>
      </c>
      <c r="C738" s="31" t="s">
        <v>2102</v>
      </c>
      <c r="D738" s="31" t="s">
        <v>2103</v>
      </c>
      <c r="E738" s="31" t="s">
        <v>2030</v>
      </c>
      <c r="F738" s="31" t="s">
        <v>2213</v>
      </c>
      <c r="G738" s="31" t="str">
        <f>VLOOKUP(A738,'Active Employees'!$B$2:$B$498,1,false)</f>
        <v>#N/A</v>
      </c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>
      <c r="A739" s="31" t="s">
        <v>2916</v>
      </c>
      <c r="B739" s="31" t="s">
        <v>2027</v>
      </c>
      <c r="C739" s="31" t="s">
        <v>2047</v>
      </c>
      <c r="D739" s="31" t="s">
        <v>2047</v>
      </c>
      <c r="E739" s="31" t="s">
        <v>2074</v>
      </c>
      <c r="F739" s="31" t="s">
        <v>2213</v>
      </c>
      <c r="G739" s="31" t="str">
        <f>VLOOKUP(A739,'Active Employees'!$B$2:$B$498,1,false)</f>
        <v>#N/A</v>
      </c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>
      <c r="A740" s="31" t="s">
        <v>2917</v>
      </c>
      <c r="B740" s="31" t="s">
        <v>2027</v>
      </c>
      <c r="C740" s="31" t="s">
        <v>2065</v>
      </c>
      <c r="D740" s="31" t="s">
        <v>2066</v>
      </c>
      <c r="E740" s="31" t="s">
        <v>2030</v>
      </c>
      <c r="F740" s="31" t="s">
        <v>2213</v>
      </c>
      <c r="G740" s="31" t="str">
        <f>VLOOKUP(A740,'Active Employees'!$B$2:$B$498,1,false)</f>
        <v>#N/A</v>
      </c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>
      <c r="A741" s="31" t="s">
        <v>2918</v>
      </c>
      <c r="B741" s="31" t="s">
        <v>2027</v>
      </c>
      <c r="C741" s="31" t="s">
        <v>2108</v>
      </c>
      <c r="D741" s="31" t="s">
        <v>2109</v>
      </c>
      <c r="E741" s="31" t="s">
        <v>2030</v>
      </c>
      <c r="F741" s="31" t="s">
        <v>2213</v>
      </c>
      <c r="G741" s="31" t="str">
        <f>VLOOKUP(A741,'Active Employees'!$B$2:$B$498,1,false)</f>
        <v>#N/A</v>
      </c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>
      <c r="A742" s="31" t="s">
        <v>2919</v>
      </c>
      <c r="B742" s="31" t="s">
        <v>2027</v>
      </c>
      <c r="C742" s="31" t="s">
        <v>2044</v>
      </c>
      <c r="D742" s="31" t="s">
        <v>2045</v>
      </c>
      <c r="E742" s="31" t="s">
        <v>2074</v>
      </c>
      <c r="F742" s="31" t="s">
        <v>2213</v>
      </c>
      <c r="G742" s="31" t="str">
        <f>VLOOKUP(A742,'Active Employees'!$B$2:$B$498,1,false)</f>
        <v>#N/A</v>
      </c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>
      <c r="A743" s="31" t="s">
        <v>2920</v>
      </c>
      <c r="B743" s="31" t="s">
        <v>2027</v>
      </c>
      <c r="C743" s="31" t="s">
        <v>2090</v>
      </c>
      <c r="D743" s="31" t="s">
        <v>2091</v>
      </c>
      <c r="E743" s="31" t="s">
        <v>2914</v>
      </c>
      <c r="F743" s="31" t="s">
        <v>2213</v>
      </c>
      <c r="G743" s="31" t="str">
        <f>VLOOKUP(A743,'Active Employees'!$B$2:$B$498,1,false)</f>
        <v>#N/A</v>
      </c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>
      <c r="A744" s="31" t="s">
        <v>2921</v>
      </c>
      <c r="B744" s="31" t="s">
        <v>2027</v>
      </c>
      <c r="C744" s="31" t="s">
        <v>2145</v>
      </c>
      <c r="D744" s="31" t="s">
        <v>2146</v>
      </c>
      <c r="E744" s="31" t="s">
        <v>2074</v>
      </c>
      <c r="F744" s="31" t="s">
        <v>2213</v>
      </c>
      <c r="G744" s="31" t="str">
        <f>VLOOKUP(A744,'Active Employees'!$B$2:$B$498,1,false)</f>
        <v>#N/A</v>
      </c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>
      <c r="A745" s="31" t="s">
        <v>2922</v>
      </c>
      <c r="B745" s="31" t="s">
        <v>2027</v>
      </c>
      <c r="C745" s="31" t="s">
        <v>2189</v>
      </c>
      <c r="D745" s="31" t="s">
        <v>2190</v>
      </c>
      <c r="E745" s="31" t="s">
        <v>2030</v>
      </c>
      <c r="F745" s="31" t="s">
        <v>2213</v>
      </c>
      <c r="G745" s="31" t="str">
        <f>VLOOKUP(A745,'Active Employees'!$B$2:$B$498,1,false)</f>
        <v>#N/A</v>
      </c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>
      <c r="A746" s="31" t="s">
        <v>2923</v>
      </c>
      <c r="B746" s="31" t="s">
        <v>2027</v>
      </c>
      <c r="C746" s="31" t="s">
        <v>2072</v>
      </c>
      <c r="D746" s="31" t="s">
        <v>2073</v>
      </c>
      <c r="E746" s="31" t="s">
        <v>2030</v>
      </c>
      <c r="F746" s="31" t="s">
        <v>2213</v>
      </c>
      <c r="G746" s="31" t="str">
        <f>VLOOKUP(A746,'Active Employees'!$B$2:$B$498,1,false)</f>
        <v>#N/A</v>
      </c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>
      <c r="A747" s="31" t="s">
        <v>2924</v>
      </c>
      <c r="B747" s="31" t="s">
        <v>2027</v>
      </c>
      <c r="C747" s="31" t="s">
        <v>2090</v>
      </c>
      <c r="D747" s="31" t="s">
        <v>2091</v>
      </c>
      <c r="E747" s="31" t="s">
        <v>2074</v>
      </c>
      <c r="F747" s="31" t="s">
        <v>2213</v>
      </c>
      <c r="G747" s="31" t="str">
        <f>VLOOKUP(A747,'Active Employees'!$B$2:$B$498,1,false)</f>
        <v>#N/A</v>
      </c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>
      <c r="A748" s="31" t="s">
        <v>2925</v>
      </c>
      <c r="B748" s="31" t="s">
        <v>2027</v>
      </c>
      <c r="C748" s="31" t="s">
        <v>2137</v>
      </c>
      <c r="D748" s="31" t="s">
        <v>2138</v>
      </c>
      <c r="E748" s="31" t="s">
        <v>2030</v>
      </c>
      <c r="F748" s="31" t="s">
        <v>2213</v>
      </c>
      <c r="G748" s="31" t="str">
        <f>VLOOKUP(A748,'Active Employees'!$B$2:$B$498,1,false)</f>
        <v>#N/A</v>
      </c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>
      <c r="A749" s="31" t="s">
        <v>2926</v>
      </c>
      <c r="B749" s="31" t="s">
        <v>2027</v>
      </c>
      <c r="C749" s="31" t="s">
        <v>2072</v>
      </c>
      <c r="D749" s="31" t="s">
        <v>2073</v>
      </c>
      <c r="E749" s="31" t="s">
        <v>2124</v>
      </c>
      <c r="F749" s="31" t="s">
        <v>2213</v>
      </c>
      <c r="G749" s="31" t="str">
        <f>VLOOKUP(A749,'Active Employees'!$B$2:$B$498,1,false)</f>
        <v>#N/A</v>
      </c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>
      <c r="A750" s="31" t="s">
        <v>2927</v>
      </c>
      <c r="B750" s="31" t="s">
        <v>2027</v>
      </c>
      <c r="C750" s="31" t="s">
        <v>2104</v>
      </c>
      <c r="D750" s="31" t="s">
        <v>2106</v>
      </c>
      <c r="E750" s="31" t="s">
        <v>2074</v>
      </c>
      <c r="F750" s="31" t="s">
        <v>2213</v>
      </c>
      <c r="G750" s="31" t="str">
        <f>VLOOKUP(A750,'Active Employees'!$B$2:$B$498,1,false)</f>
        <v>#N/A</v>
      </c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1.75"/>
    <col customWidth="1" min="2" max="2" width="37.88"/>
    <col customWidth="1" min="3" max="3" width="25.75"/>
    <col customWidth="1" min="4" max="5" width="19.63"/>
    <col customWidth="1" min="6" max="6" width="19.38"/>
    <col customWidth="1" min="7" max="7" width="72.5"/>
    <col customWidth="1" min="8" max="8" width="34.75"/>
  </cols>
  <sheetData>
    <row r="1">
      <c r="A1" s="45" t="s">
        <v>2928</v>
      </c>
      <c r="B1" s="45" t="s">
        <v>2929</v>
      </c>
      <c r="C1" s="45" t="s">
        <v>2930</v>
      </c>
      <c r="D1" s="45" t="s">
        <v>2931</v>
      </c>
      <c r="E1" s="45" t="s">
        <v>2932</v>
      </c>
      <c r="F1" s="45" t="s">
        <v>2933</v>
      </c>
      <c r="G1" s="45" t="s">
        <v>2934</v>
      </c>
      <c r="H1" s="8" t="s">
        <v>1461</v>
      </c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</row>
    <row r="2">
      <c r="A2" s="47" t="s">
        <v>2935</v>
      </c>
      <c r="B2" s="47" t="s">
        <v>2936</v>
      </c>
      <c r="C2" s="47" t="s">
        <v>1466</v>
      </c>
      <c r="D2" s="48" t="b">
        <f>COUNTIF('Active Employees'!B:B, B2) &gt; 0</f>
        <v>0</v>
      </c>
      <c r="E2" s="48">
        <v>44888.0</v>
      </c>
      <c r="F2" s="48">
        <v>1.0</v>
      </c>
      <c r="G2" s="47" t="s">
        <v>2937</v>
      </c>
      <c r="H2" s="49" t="s">
        <v>2938</v>
      </c>
    </row>
    <row r="3">
      <c r="A3" s="47" t="s">
        <v>2939</v>
      </c>
      <c r="B3" s="47" t="s">
        <v>2940</v>
      </c>
      <c r="C3" s="47" t="s">
        <v>1466</v>
      </c>
      <c r="D3" s="48" t="b">
        <f>COUNTIF('Active Employees'!B:B, B3) &gt; 0</f>
        <v>0</v>
      </c>
      <c r="E3" s="48">
        <v>45113.0</v>
      </c>
      <c r="F3" s="48">
        <v>1.0</v>
      </c>
      <c r="G3" s="47" t="s">
        <v>2941</v>
      </c>
      <c r="H3" s="49" t="s">
        <v>2938</v>
      </c>
    </row>
    <row r="4">
      <c r="A4" s="47">
        <v>0.0</v>
      </c>
      <c r="B4" s="47" t="s">
        <v>2942</v>
      </c>
      <c r="C4" s="47" t="s">
        <v>1466</v>
      </c>
      <c r="D4" s="48" t="b">
        <f>COUNTIF('Active Employees'!B:B, B4) &gt; 0</f>
        <v>0</v>
      </c>
      <c r="E4" s="48">
        <v>45187.0</v>
      </c>
      <c r="F4" s="48">
        <v>1.0</v>
      </c>
      <c r="G4" s="47" t="s">
        <v>2943</v>
      </c>
      <c r="H4" s="49" t="s">
        <v>2938</v>
      </c>
      <c r="I4" s="49" t="s">
        <v>2944</v>
      </c>
    </row>
    <row r="5">
      <c r="A5" s="47" t="s">
        <v>2945</v>
      </c>
      <c r="B5" s="47" t="s">
        <v>2946</v>
      </c>
      <c r="C5" s="47" t="s">
        <v>1466</v>
      </c>
      <c r="D5" s="48" t="b">
        <f>COUNTIF('Active Employees'!B:B, B5) &gt; 0</f>
        <v>0</v>
      </c>
      <c r="E5" s="48">
        <v>45173.0</v>
      </c>
      <c r="F5" s="48">
        <v>1.0</v>
      </c>
      <c r="G5" s="47" t="s">
        <v>2947</v>
      </c>
      <c r="H5" s="49" t="s">
        <v>2938</v>
      </c>
    </row>
    <row r="6">
      <c r="A6" s="47" t="s">
        <v>2948</v>
      </c>
      <c r="B6" s="47" t="s">
        <v>2949</v>
      </c>
      <c r="C6" s="47" t="s">
        <v>1466</v>
      </c>
      <c r="D6" s="48" t="b">
        <f>COUNTIF('Active Employees'!B:B, B6) &gt; 0</f>
        <v>0</v>
      </c>
      <c r="E6" s="48">
        <v>45036.0</v>
      </c>
      <c r="F6" s="48">
        <v>1.0</v>
      </c>
      <c r="G6" s="47" t="s">
        <v>2950</v>
      </c>
      <c r="H6" s="49" t="s">
        <v>2938</v>
      </c>
    </row>
    <row r="7">
      <c r="A7" s="50"/>
      <c r="B7" s="47" t="s">
        <v>2951</v>
      </c>
      <c r="C7" s="47" t="s">
        <v>1466</v>
      </c>
      <c r="D7" s="48" t="b">
        <f>COUNTIF('Active Employees'!B:B, B7) &gt; 0</f>
        <v>0</v>
      </c>
      <c r="E7" s="48">
        <v>45258.0</v>
      </c>
      <c r="F7" s="48">
        <v>1.0</v>
      </c>
      <c r="G7" s="47" t="s">
        <v>2952</v>
      </c>
      <c r="H7" s="49" t="s">
        <v>2938</v>
      </c>
    </row>
    <row r="8">
      <c r="A8" s="47" t="s">
        <v>2953</v>
      </c>
      <c r="B8" s="47" t="s">
        <v>1571</v>
      </c>
      <c r="C8" s="47" t="s">
        <v>1466</v>
      </c>
      <c r="D8" s="48" t="b">
        <f>COUNTIF('Active Employees'!B:B, B8) &gt; 0</f>
        <v>0</v>
      </c>
      <c r="E8" s="48">
        <v>44782.0</v>
      </c>
      <c r="F8" s="48">
        <v>44797.0</v>
      </c>
      <c r="G8" s="47" t="s">
        <v>2954</v>
      </c>
    </row>
    <row r="9">
      <c r="A9" s="47" t="s">
        <v>2953</v>
      </c>
      <c r="B9" s="47" t="s">
        <v>1571</v>
      </c>
      <c r="C9" s="47" t="s">
        <v>1466</v>
      </c>
      <c r="D9" s="48" t="b">
        <f>COUNTIF('Active Employees'!B:B, B9) &gt; 0</f>
        <v>0</v>
      </c>
      <c r="E9" s="48">
        <v>44707.0</v>
      </c>
      <c r="F9" s="48">
        <v>45463.0</v>
      </c>
      <c r="G9" s="47" t="s">
        <v>2954</v>
      </c>
    </row>
    <row r="10">
      <c r="A10" s="47" t="s">
        <v>2955</v>
      </c>
      <c r="B10" s="47" t="s">
        <v>2956</v>
      </c>
      <c r="C10" s="47" t="s">
        <v>1466</v>
      </c>
      <c r="D10" s="48" t="b">
        <f>COUNTIF('Active Employees'!B:B, B10) &gt; 0</f>
        <v>0</v>
      </c>
      <c r="E10" s="48">
        <v>45027.0</v>
      </c>
      <c r="F10" s="48">
        <v>45480.0</v>
      </c>
      <c r="G10" s="47" t="s">
        <v>2957</v>
      </c>
    </row>
    <row r="11">
      <c r="A11" s="47" t="s">
        <v>2958</v>
      </c>
      <c r="B11" s="47" t="s">
        <v>1145</v>
      </c>
      <c r="C11" s="47" t="s">
        <v>1466</v>
      </c>
      <c r="D11" s="48" t="b">
        <f>COUNTIF('Active Employees'!B:B, B11) &gt; 0</f>
        <v>1</v>
      </c>
      <c r="E11" s="48">
        <v>43032.0</v>
      </c>
      <c r="F11" s="48">
        <v>45488.0</v>
      </c>
      <c r="G11" s="47" t="s">
        <v>2959</v>
      </c>
    </row>
    <row r="12">
      <c r="A12" s="47" t="s">
        <v>2960</v>
      </c>
      <c r="B12" s="47" t="s">
        <v>1289</v>
      </c>
      <c r="C12" s="47" t="s">
        <v>1466</v>
      </c>
      <c r="D12" s="48" t="b">
        <f>COUNTIF('Active Employees'!B:B, B12) &gt; 0</f>
        <v>1</v>
      </c>
      <c r="E12" s="48">
        <v>45519.0</v>
      </c>
      <c r="F12" s="48">
        <v>45520.0</v>
      </c>
      <c r="G12" s="47" t="s">
        <v>2957</v>
      </c>
    </row>
    <row r="13">
      <c r="A13" s="47" t="s">
        <v>2961</v>
      </c>
      <c r="B13" s="47" t="s">
        <v>669</v>
      </c>
      <c r="C13" s="47" t="s">
        <v>1466</v>
      </c>
      <c r="D13" s="48" t="b">
        <f>COUNTIF('Active Employees'!B:B, B13) &gt; 0</f>
        <v>1</v>
      </c>
      <c r="E13" s="48">
        <v>45538.0</v>
      </c>
      <c r="F13" s="48">
        <v>45538.0</v>
      </c>
      <c r="G13" s="47" t="s">
        <v>2962</v>
      </c>
    </row>
    <row r="14">
      <c r="A14" s="47" t="s">
        <v>2963</v>
      </c>
      <c r="B14" s="47" t="s">
        <v>2110</v>
      </c>
      <c r="C14" s="47" t="s">
        <v>1466</v>
      </c>
      <c r="D14" s="48" t="b">
        <f>COUNTIF('Active Employees'!B:B, B14) &gt; 0</f>
        <v>0</v>
      </c>
      <c r="E14" s="48">
        <v>45544.0</v>
      </c>
      <c r="F14" s="48">
        <v>45544.0</v>
      </c>
      <c r="G14" s="47" t="s">
        <v>2957</v>
      </c>
    </row>
    <row r="15">
      <c r="A15" s="47" t="s">
        <v>2964</v>
      </c>
      <c r="B15" s="47" t="s">
        <v>630</v>
      </c>
      <c r="C15" s="47" t="s">
        <v>1466</v>
      </c>
      <c r="D15" s="48" t="b">
        <f>COUNTIF('Active Employees'!B:B, B15) &gt; 0</f>
        <v>1</v>
      </c>
      <c r="E15" s="48">
        <v>45182.0</v>
      </c>
      <c r="F15" s="48">
        <v>45554.0</v>
      </c>
      <c r="G15" s="47" t="s">
        <v>2957</v>
      </c>
    </row>
    <row r="16">
      <c r="A16" s="47" t="s">
        <v>2965</v>
      </c>
      <c r="B16" s="47" t="s">
        <v>961</v>
      </c>
      <c r="C16" s="47" t="s">
        <v>1466</v>
      </c>
      <c r="D16" s="48" t="b">
        <f>COUNTIF('Active Employees'!B:B, B16) &gt; 0</f>
        <v>1</v>
      </c>
      <c r="E16" s="48">
        <v>41962.0</v>
      </c>
      <c r="F16" s="48">
        <v>45575.0</v>
      </c>
      <c r="G16" s="47" t="s">
        <v>2966</v>
      </c>
    </row>
    <row r="17">
      <c r="A17" s="47" t="s">
        <v>2967</v>
      </c>
      <c r="B17" s="47" t="s">
        <v>2968</v>
      </c>
      <c r="C17" s="47" t="s">
        <v>1466</v>
      </c>
      <c r="D17" s="48" t="b">
        <f>COUNTIF('Active Employees'!B:B, B17) &gt; 0</f>
        <v>0</v>
      </c>
      <c r="E17" s="48">
        <v>45600.0</v>
      </c>
      <c r="F17" s="48">
        <v>45600.0</v>
      </c>
      <c r="G17" s="47" t="s">
        <v>2957</v>
      </c>
    </row>
    <row r="18">
      <c r="A18" s="47" t="s">
        <v>2969</v>
      </c>
      <c r="B18" s="47" t="s">
        <v>2970</v>
      </c>
      <c r="C18" s="47" t="s">
        <v>1466</v>
      </c>
      <c r="D18" s="48" t="b">
        <f>COUNTIF('Active Employees'!B:B, B18) &gt; 0</f>
        <v>0</v>
      </c>
      <c r="E18" s="48">
        <v>45600.0</v>
      </c>
      <c r="F18" s="48">
        <v>45601.0</v>
      </c>
      <c r="G18" s="47" t="s">
        <v>2957</v>
      </c>
    </row>
    <row r="19">
      <c r="A19" s="47" t="s">
        <v>2971</v>
      </c>
      <c r="B19" s="47" t="s">
        <v>484</v>
      </c>
      <c r="C19" s="47" t="s">
        <v>1466</v>
      </c>
      <c r="D19" s="48" t="b">
        <f>COUNTIF('Active Employees'!B:B, B19) &gt; 0</f>
        <v>1</v>
      </c>
      <c r="E19" s="48">
        <v>45300.0</v>
      </c>
      <c r="F19" s="48">
        <v>45617.0</v>
      </c>
      <c r="G19" s="47" t="s">
        <v>2957</v>
      </c>
    </row>
    <row r="20">
      <c r="A20" s="47" t="s">
        <v>2972</v>
      </c>
      <c r="B20" s="47" t="s">
        <v>1447</v>
      </c>
      <c r="C20" s="47" t="s">
        <v>1466</v>
      </c>
      <c r="D20" s="48" t="b">
        <f>COUNTIF('Active Employees'!B:B, B20) &gt; 0</f>
        <v>1</v>
      </c>
      <c r="E20" s="48">
        <v>45149.0</v>
      </c>
      <c r="F20" s="48">
        <v>45621.0</v>
      </c>
      <c r="G20" s="47" t="s">
        <v>2957</v>
      </c>
    </row>
    <row r="21">
      <c r="A21" s="47" t="s">
        <v>2973</v>
      </c>
      <c r="B21" s="47" t="s">
        <v>495</v>
      </c>
      <c r="C21" s="47" t="s">
        <v>1466</v>
      </c>
      <c r="D21" s="48" t="b">
        <f>COUNTIF('Active Employees'!B:B, B21) &gt; 0</f>
        <v>1</v>
      </c>
      <c r="E21" s="48">
        <v>44763.0</v>
      </c>
      <c r="F21" s="48">
        <v>45629.0</v>
      </c>
      <c r="G21" s="47" t="s">
        <v>2957</v>
      </c>
    </row>
    <row r="22">
      <c r="A22" s="47" t="s">
        <v>271</v>
      </c>
      <c r="B22" s="47" t="s">
        <v>131</v>
      </c>
      <c r="C22" s="47" t="s">
        <v>1466</v>
      </c>
      <c r="D22" s="48" t="b">
        <f>COUNTIF('Active Employees'!B:B, B22) &gt; 0</f>
        <v>1</v>
      </c>
      <c r="E22" s="48">
        <v>44791.0</v>
      </c>
      <c r="F22" s="48">
        <v>45636.0</v>
      </c>
      <c r="G22" s="47" t="s">
        <v>2962</v>
      </c>
    </row>
    <row r="23">
      <c r="A23" s="47" t="s">
        <v>114</v>
      </c>
      <c r="B23" s="47" t="s">
        <v>955</v>
      </c>
      <c r="C23" s="47" t="s">
        <v>1466</v>
      </c>
      <c r="D23" s="48" t="b">
        <f>COUNTIF('Active Employees'!B:B, B23) &gt; 0</f>
        <v>1</v>
      </c>
      <c r="E23" s="48">
        <v>45006.0</v>
      </c>
      <c r="F23" s="48">
        <v>45636.0</v>
      </c>
      <c r="G23" s="47" t="s">
        <v>2957</v>
      </c>
    </row>
    <row r="24">
      <c r="A24" s="47" t="s">
        <v>2974</v>
      </c>
      <c r="B24" s="47" t="s">
        <v>714</v>
      </c>
      <c r="C24" s="47" t="s">
        <v>1466</v>
      </c>
      <c r="D24" s="48" t="b">
        <f>COUNTIF('Active Employees'!B:B, B24) &gt; 0</f>
        <v>1</v>
      </c>
      <c r="E24" s="48">
        <v>44116.0</v>
      </c>
      <c r="F24" s="48">
        <v>45638.0</v>
      </c>
      <c r="G24" s="47" t="s">
        <v>2957</v>
      </c>
    </row>
    <row r="25">
      <c r="A25" s="47" t="s">
        <v>2975</v>
      </c>
      <c r="B25" s="47" t="s">
        <v>1337</v>
      </c>
      <c r="C25" s="47" t="s">
        <v>1466</v>
      </c>
      <c r="D25" s="48" t="b">
        <f>COUNTIF('Active Employees'!B:B, B25) &gt; 0</f>
        <v>1</v>
      </c>
      <c r="E25" s="48">
        <v>45400.0</v>
      </c>
      <c r="F25" s="48">
        <v>45663.0</v>
      </c>
      <c r="G25" s="47" t="s">
        <v>2957</v>
      </c>
    </row>
    <row r="26">
      <c r="A26" s="47" t="s">
        <v>2976</v>
      </c>
      <c r="B26" s="47" t="s">
        <v>2977</v>
      </c>
      <c r="C26" s="47" t="s">
        <v>1466</v>
      </c>
      <c r="D26" s="48" t="b">
        <f>COUNTIF('Active Employees'!B:B, B26) &gt; 0</f>
        <v>0</v>
      </c>
      <c r="E26" s="48">
        <v>44652.0</v>
      </c>
      <c r="F26" s="48">
        <v>45665.0</v>
      </c>
      <c r="G26" s="47" t="s">
        <v>2957</v>
      </c>
    </row>
    <row r="27">
      <c r="A27" s="47" t="s">
        <v>882</v>
      </c>
      <c r="B27" s="47" t="s">
        <v>1220</v>
      </c>
      <c r="C27" s="47" t="s">
        <v>1466</v>
      </c>
      <c r="D27" s="48" t="b">
        <f>COUNTIF('Active Employees'!B:B, B27) &gt; 0</f>
        <v>1</v>
      </c>
      <c r="E27" s="48">
        <v>45475.0</v>
      </c>
      <c r="F27" s="48">
        <v>45670.0</v>
      </c>
      <c r="G27" s="47" t="s">
        <v>2957</v>
      </c>
    </row>
    <row r="28">
      <c r="A28" s="47" t="s">
        <v>2978</v>
      </c>
      <c r="B28" s="47" t="s">
        <v>1253</v>
      </c>
      <c r="C28" s="47" t="s">
        <v>1466</v>
      </c>
      <c r="D28" s="48" t="b">
        <f>COUNTIF('Active Employees'!B:B, B28) &gt; 0</f>
        <v>1</v>
      </c>
      <c r="E28" s="48">
        <v>44650.0</v>
      </c>
      <c r="F28" s="48">
        <v>45672.0</v>
      </c>
      <c r="G28" s="47" t="s">
        <v>2962</v>
      </c>
    </row>
    <row r="29">
      <c r="A29" s="47" t="s">
        <v>448</v>
      </c>
      <c r="B29" s="47" t="s">
        <v>684</v>
      </c>
      <c r="C29" s="47" t="s">
        <v>1466</v>
      </c>
      <c r="D29" s="48" t="b">
        <f>COUNTIF('Active Employees'!B:B, B29) &gt; 0</f>
        <v>1</v>
      </c>
      <c r="E29" s="48">
        <v>44369.0</v>
      </c>
      <c r="F29" s="48">
        <v>45672.0</v>
      </c>
      <c r="G29" s="47" t="s">
        <v>2957</v>
      </c>
    </row>
    <row r="30">
      <c r="A30" s="47" t="s">
        <v>2979</v>
      </c>
      <c r="B30" s="47" t="s">
        <v>1251</v>
      </c>
      <c r="C30" s="47" t="s">
        <v>1466</v>
      </c>
      <c r="D30" s="48" t="b">
        <f>COUNTIF('Active Employees'!B:B, B30) &gt; 0</f>
        <v>1</v>
      </c>
      <c r="E30" s="48">
        <v>45296.0</v>
      </c>
      <c r="F30" s="48">
        <v>45684.0</v>
      </c>
      <c r="G30" s="47" t="s">
        <v>2957</v>
      </c>
    </row>
    <row r="31">
      <c r="A31" s="47" t="s">
        <v>2980</v>
      </c>
      <c r="B31" s="47" t="s">
        <v>362</v>
      </c>
      <c r="C31" s="47" t="s">
        <v>1466</v>
      </c>
      <c r="D31" s="48" t="b">
        <f>COUNTIF('Active Employees'!B:B, B31) &gt; 0</f>
        <v>1</v>
      </c>
      <c r="E31" s="48">
        <v>45295.0</v>
      </c>
      <c r="F31" s="48">
        <v>45686.0</v>
      </c>
      <c r="G31" s="47" t="s">
        <v>2957</v>
      </c>
    </row>
    <row r="32">
      <c r="A32" s="47" t="s">
        <v>2981</v>
      </c>
      <c r="B32" s="47" t="s">
        <v>233</v>
      </c>
      <c r="C32" s="47" t="s">
        <v>1466</v>
      </c>
      <c r="D32" s="48" t="b">
        <f>COUNTIF('Active Employees'!B:B, B32) &gt; 0</f>
        <v>1</v>
      </c>
      <c r="E32" s="48">
        <v>45091.0</v>
      </c>
      <c r="F32" s="48">
        <v>45706.0</v>
      </c>
      <c r="G32" s="47" t="s">
        <v>2957</v>
      </c>
    </row>
    <row r="33">
      <c r="A33" s="47" t="s">
        <v>2982</v>
      </c>
      <c r="B33" s="47" t="s">
        <v>564</v>
      </c>
      <c r="C33" s="47" t="s">
        <v>1466</v>
      </c>
      <c r="D33" s="48" t="b">
        <f>COUNTIF('Active Employees'!B:B, B33) &gt; 0</f>
        <v>1</v>
      </c>
      <c r="E33" s="48">
        <v>44811.0</v>
      </c>
      <c r="F33" s="48">
        <v>45707.0</v>
      </c>
      <c r="G33" s="47" t="s">
        <v>2962</v>
      </c>
    </row>
    <row r="34">
      <c r="A34" s="47" t="s">
        <v>2983</v>
      </c>
      <c r="B34" s="47" t="s">
        <v>996</v>
      </c>
      <c r="C34" s="47" t="s">
        <v>1466</v>
      </c>
      <c r="D34" s="48" t="b">
        <f>COUNTIF('Active Employees'!B:B, B34) &gt; 0</f>
        <v>1</v>
      </c>
      <c r="E34" s="48">
        <v>45440.0</v>
      </c>
      <c r="F34" s="48">
        <v>45708.0</v>
      </c>
      <c r="G34" s="47" t="s">
        <v>2957</v>
      </c>
    </row>
    <row r="35">
      <c r="A35" s="47" t="s">
        <v>2984</v>
      </c>
      <c r="B35" s="47" t="s">
        <v>1064</v>
      </c>
      <c r="C35" s="47" t="s">
        <v>1466</v>
      </c>
      <c r="D35" s="48" t="b">
        <f>COUNTIF('Active Employees'!B:B, B35) &gt; 0</f>
        <v>1</v>
      </c>
      <c r="E35" s="48">
        <v>45435.0</v>
      </c>
      <c r="F35" s="48">
        <v>45723.0</v>
      </c>
      <c r="G35" s="47" t="s">
        <v>2957</v>
      </c>
    </row>
    <row r="36">
      <c r="A36" s="47" t="s">
        <v>2985</v>
      </c>
      <c r="B36" s="47" t="s">
        <v>356</v>
      </c>
      <c r="C36" s="47" t="s">
        <v>1466</v>
      </c>
      <c r="D36" s="48" t="b">
        <f>COUNTIF('Active Employees'!B:B, B36) &gt; 0</f>
        <v>1</v>
      </c>
      <c r="E36" s="48">
        <v>45324.0</v>
      </c>
      <c r="F36" s="48">
        <v>45727.0</v>
      </c>
      <c r="G36" s="47" t="s">
        <v>2957</v>
      </c>
    </row>
    <row r="37">
      <c r="A37" s="47" t="s">
        <v>207</v>
      </c>
      <c r="B37" s="47" t="s">
        <v>267</v>
      </c>
      <c r="C37" s="47" t="s">
        <v>1466</v>
      </c>
      <c r="D37" s="48" t="b">
        <f>COUNTIF('Active Employees'!B:B, B37) &gt; 0</f>
        <v>1</v>
      </c>
      <c r="E37" s="48">
        <v>45139.0</v>
      </c>
      <c r="F37" s="48">
        <v>45729.0</v>
      </c>
      <c r="G37" s="47" t="s">
        <v>2962</v>
      </c>
    </row>
    <row r="38">
      <c r="A38" s="47" t="s">
        <v>1886</v>
      </c>
      <c r="B38" s="47" t="s">
        <v>1351</v>
      </c>
      <c r="C38" s="47" t="s">
        <v>1466</v>
      </c>
      <c r="D38" s="48" t="b">
        <f>COUNTIF('Active Employees'!B:B, B38) &gt; 0</f>
        <v>1</v>
      </c>
      <c r="E38" s="48">
        <v>44775.0</v>
      </c>
      <c r="F38" s="48">
        <v>45729.0</v>
      </c>
      <c r="G38" s="47" t="s">
        <v>2962</v>
      </c>
    </row>
    <row r="39">
      <c r="A39" s="47" t="s">
        <v>2986</v>
      </c>
      <c r="B39" s="47" t="s">
        <v>990</v>
      </c>
      <c r="C39" s="47" t="s">
        <v>1466</v>
      </c>
      <c r="D39" s="48" t="b">
        <f>COUNTIF('Active Employees'!B:B, B39) &gt; 0</f>
        <v>1</v>
      </c>
      <c r="E39" s="48">
        <v>45533.0</v>
      </c>
      <c r="F39" s="48">
        <v>45736.0</v>
      </c>
      <c r="G39" s="47" t="s">
        <v>2957</v>
      </c>
    </row>
    <row r="40">
      <c r="A40" s="47" t="s">
        <v>1324</v>
      </c>
      <c r="B40" s="47" t="s">
        <v>839</v>
      </c>
      <c r="C40" s="47" t="s">
        <v>1466</v>
      </c>
      <c r="D40" s="48" t="b">
        <f>COUNTIF('Active Employees'!B:B, B40) &gt; 0</f>
        <v>1</v>
      </c>
      <c r="E40" s="48">
        <v>45180.0</v>
      </c>
      <c r="F40" s="48">
        <v>45736.0</v>
      </c>
      <c r="G40" s="47" t="s">
        <v>2957</v>
      </c>
    </row>
    <row r="41">
      <c r="A41" s="47" t="s">
        <v>2987</v>
      </c>
      <c r="B41" s="47" t="s">
        <v>1330</v>
      </c>
      <c r="C41" s="47" t="s">
        <v>1466</v>
      </c>
      <c r="D41" s="48" t="b">
        <f>COUNTIF('Active Employees'!B:B, B41) &gt; 0</f>
        <v>1</v>
      </c>
      <c r="E41" s="48">
        <v>45747.0</v>
      </c>
      <c r="F41" s="48">
        <v>45747.0</v>
      </c>
      <c r="G41" s="47" t="s">
        <v>2957</v>
      </c>
    </row>
    <row r="42">
      <c r="A42" s="47" t="s">
        <v>2988</v>
      </c>
      <c r="B42" s="47" t="s">
        <v>1185</v>
      </c>
      <c r="C42" s="47" t="s">
        <v>1466</v>
      </c>
      <c r="D42" s="48" t="b">
        <f>COUNTIF('Active Employees'!B:B, B42) &gt; 0</f>
        <v>1</v>
      </c>
      <c r="E42" s="48">
        <v>45568.0</v>
      </c>
      <c r="F42" s="48">
        <v>45749.0</v>
      </c>
      <c r="G42" s="47" t="s">
        <v>2989</v>
      </c>
    </row>
    <row r="43">
      <c r="A43" s="47" t="s">
        <v>1962</v>
      </c>
      <c r="B43" s="47" t="s">
        <v>1060</v>
      </c>
      <c r="C43" s="47" t="s">
        <v>1466</v>
      </c>
      <c r="D43" s="48" t="b">
        <f>COUNTIF('Active Employees'!B:B, B43) &gt; 0</f>
        <v>1</v>
      </c>
      <c r="E43" s="48">
        <v>43746.0</v>
      </c>
      <c r="F43" s="48">
        <v>45749.0</v>
      </c>
      <c r="G43" s="47" t="s">
        <v>2962</v>
      </c>
    </row>
    <row r="44">
      <c r="A44" s="47" t="s">
        <v>2990</v>
      </c>
      <c r="B44" s="47" t="s">
        <v>726</v>
      </c>
      <c r="C44" s="47" t="s">
        <v>1466</v>
      </c>
      <c r="D44" s="48" t="b">
        <f>COUNTIF('Active Employees'!B:B, B44) &gt; 0</f>
        <v>1</v>
      </c>
      <c r="E44" s="48">
        <v>45015.0</v>
      </c>
      <c r="F44" s="48">
        <v>45756.0</v>
      </c>
      <c r="G44" s="47" t="s">
        <v>2991</v>
      </c>
    </row>
    <row r="45">
      <c r="A45" s="47" t="s">
        <v>2992</v>
      </c>
      <c r="B45" s="47" t="s">
        <v>998</v>
      </c>
      <c r="C45" s="47" t="s">
        <v>1466</v>
      </c>
      <c r="D45" s="48" t="b">
        <f>COUNTIF('Active Employees'!B:B, B45) &gt; 0</f>
        <v>1</v>
      </c>
      <c r="E45" s="48">
        <v>44734.0</v>
      </c>
      <c r="F45" s="48">
        <v>45758.0</v>
      </c>
      <c r="G45" s="47" t="s">
        <v>2957</v>
      </c>
    </row>
    <row r="46">
      <c r="A46" s="47" t="s">
        <v>755</v>
      </c>
      <c r="B46" s="47" t="s">
        <v>1205</v>
      </c>
      <c r="C46" s="47" t="s">
        <v>1466</v>
      </c>
      <c r="D46" s="48" t="b">
        <f>COUNTIF('Active Employees'!B:B, B46) &gt; 0</f>
        <v>1</v>
      </c>
      <c r="E46" s="48">
        <v>44935.0</v>
      </c>
      <c r="F46" s="48">
        <v>45763.0</v>
      </c>
      <c r="G46" s="47" t="s">
        <v>2957</v>
      </c>
    </row>
    <row r="47">
      <c r="A47" s="47" t="s">
        <v>2993</v>
      </c>
      <c r="B47" s="47" t="s">
        <v>413</v>
      </c>
      <c r="C47" s="47" t="s">
        <v>1466</v>
      </c>
      <c r="D47" s="48" t="b">
        <f>COUNTIF('Active Employees'!B:B, B47) &gt; 0</f>
        <v>1</v>
      </c>
      <c r="E47" s="48">
        <v>45442.0</v>
      </c>
      <c r="F47" s="48">
        <v>45764.0</v>
      </c>
      <c r="G47" s="47" t="s">
        <v>2962</v>
      </c>
    </row>
    <row r="48">
      <c r="A48" s="47" t="s">
        <v>2994</v>
      </c>
      <c r="B48" s="47" t="s">
        <v>535</v>
      </c>
      <c r="C48" s="47" t="s">
        <v>1466</v>
      </c>
      <c r="D48" s="48" t="b">
        <f>COUNTIF('Active Employees'!B:B, B48) &gt; 0</f>
        <v>1</v>
      </c>
      <c r="E48" s="48">
        <v>45197.0</v>
      </c>
      <c r="F48" s="48">
        <v>45778.0</v>
      </c>
      <c r="G48" s="47" t="s">
        <v>2957</v>
      </c>
    </row>
    <row r="49">
      <c r="A49" s="47" t="s">
        <v>1512</v>
      </c>
      <c r="B49" s="47" t="s">
        <v>1353</v>
      </c>
      <c r="C49" s="47" t="s">
        <v>1466</v>
      </c>
      <c r="D49" s="48" t="b">
        <f>COUNTIF('Active Employees'!B:B, B49) &gt; 0</f>
        <v>1</v>
      </c>
      <c r="E49" s="48">
        <v>45216.0</v>
      </c>
      <c r="F49" s="48">
        <v>45784.0</v>
      </c>
      <c r="G49" s="47" t="s">
        <v>2995</v>
      </c>
    </row>
    <row r="50">
      <c r="A50" s="47" t="s">
        <v>1934</v>
      </c>
      <c r="B50" s="47" t="s">
        <v>1328</v>
      </c>
      <c r="C50" s="47" t="s">
        <v>1466</v>
      </c>
      <c r="D50" s="48" t="b">
        <f>COUNTIF('Active Employees'!B:B, B50) &gt; 0</f>
        <v>1</v>
      </c>
      <c r="E50" s="48">
        <v>45559.0</v>
      </c>
      <c r="F50" s="48">
        <v>45790.0</v>
      </c>
      <c r="G50" s="47" t="s">
        <v>2957</v>
      </c>
    </row>
    <row r="51">
      <c r="A51" s="47" t="s">
        <v>1951</v>
      </c>
      <c r="B51" s="47" t="s">
        <v>688</v>
      </c>
      <c r="C51" s="47" t="s">
        <v>1466</v>
      </c>
      <c r="D51" s="48" t="b">
        <f>COUNTIF('Active Employees'!B:B, B51) &gt; 0</f>
        <v>1</v>
      </c>
      <c r="E51" s="48">
        <v>45224.0</v>
      </c>
      <c r="F51" s="48">
        <v>45790.0</v>
      </c>
      <c r="G51" s="47" t="s">
        <v>2962</v>
      </c>
    </row>
    <row r="52">
      <c r="A52" s="47" t="s">
        <v>1011</v>
      </c>
      <c r="B52" s="47" t="s">
        <v>866</v>
      </c>
      <c r="C52" s="47" t="s">
        <v>1466</v>
      </c>
      <c r="D52" s="48" t="b">
        <f>COUNTIF('Active Employees'!B:B, B52) &gt; 0</f>
        <v>1</v>
      </c>
      <c r="E52" s="48">
        <v>45337.0</v>
      </c>
      <c r="F52" s="48">
        <v>45796.0</v>
      </c>
      <c r="G52" s="47" t="s">
        <v>2957</v>
      </c>
    </row>
    <row r="53">
      <c r="A53" s="47" t="s">
        <v>2996</v>
      </c>
      <c r="B53" s="47" t="s">
        <v>469</v>
      </c>
      <c r="C53" s="47" t="s">
        <v>1466</v>
      </c>
      <c r="D53" s="48" t="b">
        <f>COUNTIF('Active Employees'!B:B, B53) &gt; 0</f>
        <v>1</v>
      </c>
      <c r="E53" s="48">
        <v>43713.0</v>
      </c>
      <c r="F53" s="48">
        <v>45796.0</v>
      </c>
      <c r="G53" s="47" t="s">
        <v>2962</v>
      </c>
    </row>
    <row r="54">
      <c r="A54" s="47" t="s">
        <v>1485</v>
      </c>
      <c r="B54" s="47" t="s">
        <v>532</v>
      </c>
      <c r="C54" s="47" t="s">
        <v>1466</v>
      </c>
      <c r="D54" s="48" t="b">
        <f>COUNTIF('Active Employees'!B:B, B54) &gt; 0</f>
        <v>1</v>
      </c>
      <c r="E54" s="48">
        <v>44852.0</v>
      </c>
      <c r="F54" s="48">
        <v>45797.0</v>
      </c>
      <c r="G54" s="47" t="s">
        <v>2962</v>
      </c>
    </row>
    <row r="55">
      <c r="A55" s="47" t="s">
        <v>742</v>
      </c>
      <c r="B55" s="47" t="s">
        <v>1377</v>
      </c>
      <c r="C55" s="47" t="s">
        <v>1466</v>
      </c>
      <c r="D55" s="48" t="b">
        <f>COUNTIF('Active Employees'!B:B, B55) &gt; 0</f>
        <v>1</v>
      </c>
      <c r="E55" s="48">
        <v>45322.0</v>
      </c>
      <c r="F55" s="48">
        <v>45797.0</v>
      </c>
      <c r="G55" s="47" t="s">
        <v>2957</v>
      </c>
    </row>
    <row r="56">
      <c r="A56" s="47" t="s">
        <v>1924</v>
      </c>
      <c r="B56" s="47" t="s">
        <v>1301</v>
      </c>
      <c r="C56" s="47" t="s">
        <v>1466</v>
      </c>
      <c r="D56" s="48" t="b">
        <f>COUNTIF('Active Employees'!B:B, B56) &gt; 0</f>
        <v>1</v>
      </c>
      <c r="E56" s="48">
        <v>44593.0</v>
      </c>
      <c r="F56" s="48">
        <v>45799.0</v>
      </c>
      <c r="G56" s="47" t="s">
        <v>2997</v>
      </c>
    </row>
    <row r="57">
      <c r="A57" s="47" t="s">
        <v>2998</v>
      </c>
      <c r="B57" s="47" t="s">
        <v>1139</v>
      </c>
      <c r="C57" s="47" t="s">
        <v>1466</v>
      </c>
      <c r="D57" s="48" t="b">
        <f>COUNTIF('Active Employees'!B:B, B57) &gt; 0</f>
        <v>1</v>
      </c>
      <c r="E57" s="48">
        <v>45723.0</v>
      </c>
      <c r="F57" s="48">
        <v>45803.0</v>
      </c>
      <c r="G57" s="47" t="s">
        <v>2999</v>
      </c>
    </row>
    <row r="58">
      <c r="A58" s="47" t="s">
        <v>188</v>
      </c>
      <c r="B58" s="47" t="s">
        <v>781</v>
      </c>
      <c r="C58" s="47" t="s">
        <v>1466</v>
      </c>
      <c r="D58" s="48" t="b">
        <f>COUNTIF('Active Employees'!B:B, B58) &gt; 0</f>
        <v>1</v>
      </c>
      <c r="E58" s="48">
        <v>45708.0</v>
      </c>
      <c r="F58" s="48">
        <v>45804.0</v>
      </c>
      <c r="G58" s="47" t="s">
        <v>3000</v>
      </c>
    </row>
    <row r="59">
      <c r="A59" s="47" t="s">
        <v>1837</v>
      </c>
      <c r="B59" s="47" t="s">
        <v>897</v>
      </c>
      <c r="C59" s="47" t="s">
        <v>1466</v>
      </c>
      <c r="D59" s="48" t="b">
        <f>COUNTIF('Active Employees'!B:B, B59) &gt; 0</f>
        <v>1</v>
      </c>
      <c r="E59" s="48">
        <v>45280.0</v>
      </c>
      <c r="F59" s="48">
        <v>45804.0</v>
      </c>
      <c r="G59" s="47" t="s">
        <v>2962</v>
      </c>
    </row>
    <row r="60">
      <c r="A60" s="47" t="s">
        <v>1897</v>
      </c>
      <c r="B60" s="47" t="s">
        <v>809</v>
      </c>
      <c r="C60" s="47" t="s">
        <v>1466</v>
      </c>
      <c r="D60" s="48" t="b">
        <f>COUNTIF('Active Employees'!B:B, B60) &gt; 0</f>
        <v>1</v>
      </c>
      <c r="E60" s="48">
        <v>44776.0</v>
      </c>
      <c r="F60" s="48">
        <v>45804.0</v>
      </c>
      <c r="G60" s="47" t="s">
        <v>2962</v>
      </c>
    </row>
    <row r="61">
      <c r="A61" s="47" t="s">
        <v>595</v>
      </c>
      <c r="B61" s="47" t="s">
        <v>3001</v>
      </c>
      <c r="C61" s="47" t="s">
        <v>1466</v>
      </c>
      <c r="D61" s="48" t="b">
        <f>COUNTIF('Active Employees'!B:B, B61) &gt; 0</f>
        <v>0</v>
      </c>
      <c r="E61" s="48">
        <v>45315.0</v>
      </c>
      <c r="F61" s="48">
        <v>45805.0</v>
      </c>
      <c r="G61" s="47" t="s">
        <v>3002</v>
      </c>
    </row>
    <row r="62">
      <c r="A62" s="47" t="s">
        <v>3003</v>
      </c>
      <c r="B62" s="47" t="s">
        <v>1422</v>
      </c>
      <c r="C62" s="47" t="s">
        <v>1466</v>
      </c>
      <c r="D62" s="48" t="b">
        <f>COUNTIF('Active Employees'!B:B, B62) &gt; 0</f>
        <v>1</v>
      </c>
      <c r="E62" s="48">
        <v>45429.0</v>
      </c>
      <c r="F62" s="48">
        <v>45805.0</v>
      </c>
      <c r="G62" s="47" t="s">
        <v>2957</v>
      </c>
    </row>
    <row r="63">
      <c r="A63" s="47" t="s">
        <v>686</v>
      </c>
      <c r="B63" s="47" t="s">
        <v>1094</v>
      </c>
      <c r="C63" s="47" t="s">
        <v>1466</v>
      </c>
      <c r="D63" s="48" t="b">
        <f>COUNTIF('Active Employees'!B:B, B63) &gt; 0</f>
        <v>1</v>
      </c>
      <c r="E63" s="48">
        <v>44971.0</v>
      </c>
      <c r="F63" s="48">
        <v>45805.0</v>
      </c>
      <c r="G63" s="47" t="s">
        <v>3004</v>
      </c>
    </row>
    <row r="64">
      <c r="A64" s="47" t="s">
        <v>52</v>
      </c>
      <c r="B64" s="47" t="s">
        <v>712</v>
      </c>
      <c r="C64" s="47" t="s">
        <v>1466</v>
      </c>
      <c r="D64" s="48" t="b">
        <f>COUNTIF('Active Employees'!B:B, B64) &gt; 0</f>
        <v>1</v>
      </c>
      <c r="E64" s="48">
        <v>45217.0</v>
      </c>
      <c r="F64" s="48">
        <v>45805.0</v>
      </c>
      <c r="G64" s="47" t="s">
        <v>2962</v>
      </c>
    </row>
    <row r="65">
      <c r="A65" s="47" t="s">
        <v>3005</v>
      </c>
      <c r="B65" s="47" t="s">
        <v>952</v>
      </c>
      <c r="C65" s="47" t="s">
        <v>1466</v>
      </c>
      <c r="D65" s="48" t="b">
        <f>COUNTIF('Active Employees'!B:B, B65) &gt; 0</f>
        <v>1</v>
      </c>
      <c r="E65" s="48">
        <v>45183.0</v>
      </c>
      <c r="F65" s="48">
        <v>45810.0</v>
      </c>
      <c r="G65" s="47" t="s">
        <v>2957</v>
      </c>
    </row>
    <row r="66">
      <c r="A66" s="47" t="s">
        <v>1284</v>
      </c>
      <c r="B66" s="47" t="s">
        <v>210</v>
      </c>
      <c r="C66" s="47" t="s">
        <v>1466</v>
      </c>
      <c r="D66" s="48" t="b">
        <f>COUNTIF('Active Employees'!B:B, B66) &gt; 0</f>
        <v>1</v>
      </c>
      <c r="E66" s="48">
        <v>45097.0</v>
      </c>
      <c r="F66" s="48">
        <v>45813.0</v>
      </c>
      <c r="G66" s="47" t="s">
        <v>2957</v>
      </c>
    </row>
    <row r="67">
      <c r="A67" s="47" t="s">
        <v>3006</v>
      </c>
      <c r="B67" s="47" t="s">
        <v>444</v>
      </c>
      <c r="C67" s="47" t="s">
        <v>1466</v>
      </c>
      <c r="D67" s="48" t="b">
        <f>COUNTIF('Active Employees'!B:B, B67) &gt; 0</f>
        <v>1</v>
      </c>
      <c r="E67" s="48">
        <v>45306.0</v>
      </c>
      <c r="F67" s="48">
        <v>45813.0</v>
      </c>
      <c r="G67" s="47" t="s">
        <v>2957</v>
      </c>
    </row>
    <row r="68">
      <c r="A68" s="47" t="s">
        <v>3007</v>
      </c>
      <c r="B68" s="47" t="s">
        <v>486</v>
      </c>
      <c r="C68" s="47" t="s">
        <v>1466</v>
      </c>
      <c r="D68" s="48" t="b">
        <f>COUNTIF('Active Employees'!B:B, B68) &gt; 0</f>
        <v>1</v>
      </c>
      <c r="E68" s="48">
        <v>44932.0</v>
      </c>
      <c r="F68" s="48">
        <v>45814.0</v>
      </c>
      <c r="G68" s="47" t="s">
        <v>2962</v>
      </c>
    </row>
    <row r="69">
      <c r="A69" s="47" t="s">
        <v>3008</v>
      </c>
      <c r="B69" s="47" t="s">
        <v>846</v>
      </c>
      <c r="C69" s="47" t="s">
        <v>1466</v>
      </c>
      <c r="D69" s="48" t="b">
        <f>COUNTIF('Active Employees'!B:B, B69) &gt; 0</f>
        <v>1</v>
      </c>
      <c r="E69" s="48">
        <v>44642.0</v>
      </c>
      <c r="F69" s="48">
        <v>45817.0</v>
      </c>
      <c r="G69" s="47" t="s">
        <v>3009</v>
      </c>
    </row>
    <row r="70">
      <c r="A70" s="47" t="s">
        <v>1865</v>
      </c>
      <c r="B70" s="47" t="s">
        <v>632</v>
      </c>
      <c r="C70" s="47" t="s">
        <v>1466</v>
      </c>
      <c r="D70" s="48" t="b">
        <f>COUNTIF('Active Employees'!B:B, B70) &gt; 0</f>
        <v>1</v>
      </c>
      <c r="E70" s="48">
        <v>44935.0</v>
      </c>
      <c r="F70" s="48">
        <v>45817.0</v>
      </c>
      <c r="G70" s="47" t="s">
        <v>2957</v>
      </c>
    </row>
    <row r="71">
      <c r="A71" s="47" t="s">
        <v>3010</v>
      </c>
      <c r="B71" s="47" t="s">
        <v>901</v>
      </c>
      <c r="C71" s="47" t="s">
        <v>1466</v>
      </c>
      <c r="D71" s="48" t="b">
        <f>COUNTIF('Active Employees'!B:B, B71) &gt; 0</f>
        <v>1</v>
      </c>
      <c r="E71" s="48">
        <v>45294.0</v>
      </c>
      <c r="F71" s="48">
        <v>45819.0</v>
      </c>
      <c r="G71" s="47" t="s">
        <v>2957</v>
      </c>
    </row>
    <row r="72">
      <c r="A72" s="47" t="s">
        <v>3011</v>
      </c>
      <c r="B72" s="47" t="s">
        <v>1340</v>
      </c>
      <c r="C72" s="47" t="s">
        <v>1466</v>
      </c>
      <c r="D72" s="48" t="b">
        <f>COUNTIF('Active Employees'!B:B, B72) &gt; 0</f>
        <v>1</v>
      </c>
      <c r="E72" s="48">
        <v>44734.0</v>
      </c>
      <c r="F72" s="48">
        <v>45821.0</v>
      </c>
      <c r="G72" s="47" t="s">
        <v>2962</v>
      </c>
    </row>
    <row r="73">
      <c r="A73" s="47" t="s">
        <v>3012</v>
      </c>
      <c r="B73" s="47" t="s">
        <v>1373</v>
      </c>
      <c r="C73" s="47" t="s">
        <v>1466</v>
      </c>
      <c r="D73" s="48" t="b">
        <f>COUNTIF('Active Employees'!B:B, B73) &gt; 0</f>
        <v>1</v>
      </c>
      <c r="E73" s="48">
        <v>45104.0</v>
      </c>
      <c r="F73" s="48">
        <v>45826.0</v>
      </c>
      <c r="G73" s="47" t="s">
        <v>2957</v>
      </c>
    </row>
    <row r="74">
      <c r="A74" s="47" t="s">
        <v>3013</v>
      </c>
      <c r="B74" s="47" t="s">
        <v>820</v>
      </c>
      <c r="C74" s="47" t="s">
        <v>1466</v>
      </c>
      <c r="D74" s="48" t="b">
        <f>COUNTIF('Active Employees'!B:B, B74) &gt; 0</f>
        <v>1</v>
      </c>
      <c r="E74" s="48">
        <v>45826.0</v>
      </c>
      <c r="F74" s="48">
        <v>45826.0</v>
      </c>
      <c r="G74" s="47" t="s">
        <v>2957</v>
      </c>
    </row>
    <row r="75">
      <c r="A75" s="47" t="s">
        <v>1804</v>
      </c>
      <c r="B75" s="47" t="s">
        <v>624</v>
      </c>
      <c r="C75" s="47" t="s">
        <v>1466</v>
      </c>
      <c r="D75" s="48" t="b">
        <f>COUNTIF('Active Employees'!B:B, B75) &gt; 0</f>
        <v>1</v>
      </c>
      <c r="E75" s="48">
        <v>44670.0</v>
      </c>
      <c r="F75" s="48">
        <v>45826.0</v>
      </c>
      <c r="G75" s="47" t="s">
        <v>2962</v>
      </c>
    </row>
    <row r="76">
      <c r="A76" s="47" t="s">
        <v>3014</v>
      </c>
      <c r="B76" s="47" t="s">
        <v>3015</v>
      </c>
      <c r="C76" s="47" t="s">
        <v>1466</v>
      </c>
      <c r="D76" s="48" t="b">
        <f>COUNTIF('Active Employees'!B:B, B76) &gt; 0</f>
        <v>0</v>
      </c>
      <c r="E76" s="48">
        <v>45828.0</v>
      </c>
      <c r="F76" s="48">
        <v>45828.0</v>
      </c>
      <c r="G76" s="47" t="s">
        <v>2957</v>
      </c>
    </row>
    <row r="77">
      <c r="A77" s="47" t="s">
        <v>1494</v>
      </c>
      <c r="B77" s="47" t="s">
        <v>460</v>
      </c>
      <c r="C77" s="47" t="s">
        <v>1466</v>
      </c>
      <c r="D77" s="48" t="b">
        <f>COUNTIF('Active Employees'!B:B, B77) &gt; 0</f>
        <v>1</v>
      </c>
      <c r="E77" s="48">
        <v>42474.0</v>
      </c>
      <c r="F77" s="48">
        <v>45830.0</v>
      </c>
      <c r="G77" s="47" t="s">
        <v>2962</v>
      </c>
    </row>
    <row r="78">
      <c r="A78" s="47" t="s">
        <v>261</v>
      </c>
      <c r="B78" s="47" t="s">
        <v>859</v>
      </c>
      <c r="C78" s="47" t="s">
        <v>1466</v>
      </c>
      <c r="D78" s="48" t="b">
        <f>COUNTIF('Active Employees'!B:B, B78) &gt; 0</f>
        <v>1</v>
      </c>
      <c r="E78" s="48">
        <v>45087.0</v>
      </c>
      <c r="F78" s="48">
        <v>45830.0</v>
      </c>
      <c r="G78" s="47" t="s">
        <v>2957</v>
      </c>
    </row>
    <row r="79">
      <c r="A79" s="47" t="s">
        <v>3016</v>
      </c>
      <c r="B79" s="47" t="s">
        <v>3017</v>
      </c>
      <c r="C79" s="47" t="s">
        <v>1466</v>
      </c>
      <c r="D79" s="48" t="b">
        <f>COUNTIF('Active Employees'!B:B, B79) &gt; 0</f>
        <v>0</v>
      </c>
      <c r="E79" s="48">
        <v>44851.0</v>
      </c>
      <c r="F79" s="48">
        <v>45831.0</v>
      </c>
      <c r="G79" s="47" t="s">
        <v>2957</v>
      </c>
    </row>
    <row r="80">
      <c r="A80" s="47" t="s">
        <v>3018</v>
      </c>
      <c r="B80" s="47" t="s">
        <v>561</v>
      </c>
      <c r="C80" s="47" t="s">
        <v>1466</v>
      </c>
      <c r="D80" s="48" t="b">
        <f>COUNTIF('Active Employees'!B:B, B80) &gt; 0</f>
        <v>1</v>
      </c>
      <c r="E80" s="48">
        <v>44771.0</v>
      </c>
      <c r="F80" s="48">
        <v>45832.0</v>
      </c>
      <c r="G80" s="47" t="s">
        <v>3019</v>
      </c>
    </row>
    <row r="81">
      <c r="A81" s="47" t="s">
        <v>3020</v>
      </c>
      <c r="B81" s="47" t="s">
        <v>818</v>
      </c>
      <c r="C81" s="47" t="s">
        <v>1466</v>
      </c>
      <c r="D81" s="48" t="b">
        <f>COUNTIF('Active Employees'!B:B, B81) &gt; 0</f>
        <v>1</v>
      </c>
      <c r="E81" s="48">
        <v>44623.0</v>
      </c>
      <c r="F81" s="48">
        <v>45833.0</v>
      </c>
      <c r="G81" s="47" t="s">
        <v>2957</v>
      </c>
    </row>
    <row r="82">
      <c r="A82" s="47" t="s">
        <v>384</v>
      </c>
      <c r="B82" s="47" t="s">
        <v>602</v>
      </c>
      <c r="C82" s="47" t="s">
        <v>1466</v>
      </c>
      <c r="D82" s="48" t="b">
        <f>COUNTIF('Active Employees'!B:B, B82) &gt; 0</f>
        <v>1</v>
      </c>
      <c r="E82" s="48">
        <v>45097.0</v>
      </c>
      <c r="F82" s="48">
        <v>45834.0</v>
      </c>
      <c r="G82" s="47" t="s">
        <v>2962</v>
      </c>
    </row>
    <row r="83">
      <c r="A83" s="47" t="s">
        <v>3021</v>
      </c>
      <c r="B83" s="47" t="s">
        <v>522</v>
      </c>
      <c r="C83" s="47" t="s">
        <v>1466</v>
      </c>
      <c r="D83" s="48" t="b">
        <f>COUNTIF('Active Employees'!B:B, B83) &gt; 0</f>
        <v>1</v>
      </c>
      <c r="E83" s="48">
        <v>45160.0</v>
      </c>
      <c r="F83" s="48">
        <v>45834.0</v>
      </c>
      <c r="G83" s="47" t="s">
        <v>2957</v>
      </c>
    </row>
    <row r="84">
      <c r="A84" s="47" t="s">
        <v>3022</v>
      </c>
      <c r="B84" s="47" t="s">
        <v>1211</v>
      </c>
      <c r="C84" s="47" t="s">
        <v>1466</v>
      </c>
      <c r="D84" s="48" t="b">
        <f>COUNTIF('Active Employees'!B:B, B84) &gt; 0</f>
        <v>1</v>
      </c>
      <c r="E84" s="48">
        <v>45817.0</v>
      </c>
      <c r="F84" s="48">
        <v>45834.0</v>
      </c>
      <c r="G84" s="47" t="s">
        <v>2957</v>
      </c>
    </row>
    <row r="85">
      <c r="A85" s="47" t="s">
        <v>3023</v>
      </c>
      <c r="B85" s="47" t="s">
        <v>1401</v>
      </c>
      <c r="C85" s="47" t="s">
        <v>1466</v>
      </c>
      <c r="D85" s="48" t="b">
        <f>COUNTIF('Active Employees'!B:B, B85) &gt; 0</f>
        <v>1</v>
      </c>
      <c r="E85" s="48">
        <v>42283.0</v>
      </c>
      <c r="F85" s="48">
        <v>45834.0</v>
      </c>
      <c r="G85" s="47" t="s">
        <v>2962</v>
      </c>
    </row>
    <row r="86">
      <c r="A86" s="47" t="s">
        <v>1953</v>
      </c>
      <c r="B86" s="47" t="s">
        <v>1225</v>
      </c>
      <c r="C86" s="47" t="s">
        <v>1466</v>
      </c>
      <c r="D86" s="48" t="b">
        <f>COUNTIF('Active Employees'!B:B, B86) &gt; 0</f>
        <v>1</v>
      </c>
      <c r="E86" s="48">
        <v>43565.0</v>
      </c>
      <c r="F86" s="48">
        <v>45838.0</v>
      </c>
      <c r="G86" s="47" t="s">
        <v>2962</v>
      </c>
    </row>
    <row r="87">
      <c r="A87" s="47" t="s">
        <v>3024</v>
      </c>
      <c r="B87" s="47" t="s">
        <v>1041</v>
      </c>
      <c r="C87" s="47" t="s">
        <v>1466</v>
      </c>
      <c r="D87" s="48" t="b">
        <f>COUNTIF('Active Employees'!B:B, B87) &gt; 0</f>
        <v>1</v>
      </c>
      <c r="E87" s="48">
        <v>45063.0</v>
      </c>
      <c r="F87" s="48">
        <v>45839.0</v>
      </c>
      <c r="G87" s="47" t="s">
        <v>2957</v>
      </c>
    </row>
    <row r="88">
      <c r="A88" s="47" t="s">
        <v>192</v>
      </c>
      <c r="B88" s="47" t="s">
        <v>186</v>
      </c>
      <c r="C88" s="47" t="s">
        <v>1466</v>
      </c>
      <c r="D88" s="48" t="b">
        <f>COUNTIF('Active Employees'!B:B, B88) &gt; 0</f>
        <v>1</v>
      </c>
      <c r="E88" s="48">
        <v>43924.0</v>
      </c>
      <c r="F88" s="48">
        <v>45839.0</v>
      </c>
      <c r="G88" s="47" t="s">
        <v>2991</v>
      </c>
    </row>
    <row r="89">
      <c r="A89" s="47" t="s">
        <v>3025</v>
      </c>
      <c r="B89" s="47" t="s">
        <v>608</v>
      </c>
      <c r="C89" s="47" t="s">
        <v>1466</v>
      </c>
      <c r="D89" s="48" t="b">
        <f>COUNTIF('Active Employees'!B:B, B89) &gt; 0</f>
        <v>1</v>
      </c>
      <c r="E89" s="48">
        <v>44740.0</v>
      </c>
      <c r="F89" s="48">
        <v>45845.0</v>
      </c>
      <c r="G89" s="47" t="s">
        <v>2962</v>
      </c>
    </row>
    <row r="90">
      <c r="A90" s="47" t="s">
        <v>3026</v>
      </c>
      <c r="B90" s="47" t="s">
        <v>1452</v>
      </c>
      <c r="C90" s="47" t="s">
        <v>1466</v>
      </c>
      <c r="D90" s="48" t="b">
        <f>COUNTIF('Active Employees'!B:B, B90) &gt; 0</f>
        <v>1</v>
      </c>
      <c r="E90" s="48">
        <v>45637.0</v>
      </c>
      <c r="F90" s="48">
        <v>45845.0</v>
      </c>
      <c r="G90" s="47" t="s">
        <v>3019</v>
      </c>
    </row>
    <row r="91">
      <c r="A91" s="47" t="s">
        <v>3027</v>
      </c>
      <c r="B91" s="47" t="s">
        <v>850</v>
      </c>
      <c r="C91" s="47" t="s">
        <v>1466</v>
      </c>
      <c r="D91" s="48" t="b">
        <f>COUNTIF('Active Employees'!B:B, B91) &gt; 0</f>
        <v>1</v>
      </c>
      <c r="E91" s="48">
        <v>45208.0</v>
      </c>
      <c r="F91" s="48">
        <v>45845.0</v>
      </c>
      <c r="G91" s="47" t="s">
        <v>2957</v>
      </c>
    </row>
    <row r="92">
      <c r="A92" s="47" t="s">
        <v>3028</v>
      </c>
      <c r="B92" s="47" t="s">
        <v>263</v>
      </c>
      <c r="C92" s="47" t="s">
        <v>1466</v>
      </c>
      <c r="D92" s="48" t="b">
        <f>COUNTIF('Active Employees'!B:B, B92) &gt; 0</f>
        <v>1</v>
      </c>
      <c r="E92" s="48">
        <v>45193.0</v>
      </c>
      <c r="F92" s="48">
        <v>45846.0</v>
      </c>
      <c r="G92" s="47" t="s">
        <v>2957</v>
      </c>
    </row>
    <row r="93">
      <c r="A93" s="47" t="s">
        <v>3029</v>
      </c>
      <c r="B93" s="47" t="s">
        <v>802</v>
      </c>
      <c r="C93" s="47" t="s">
        <v>1466</v>
      </c>
      <c r="D93" s="48" t="b">
        <f>COUNTIF('Active Employees'!B:B, B93) &gt; 0</f>
        <v>1</v>
      </c>
      <c r="E93" s="48">
        <v>44623.0</v>
      </c>
      <c r="F93" s="48">
        <v>45846.0</v>
      </c>
      <c r="G93" s="47" t="s">
        <v>2957</v>
      </c>
    </row>
    <row r="94">
      <c r="A94" s="47" t="s">
        <v>3030</v>
      </c>
      <c r="B94" s="47" t="s">
        <v>311</v>
      </c>
      <c r="C94" s="47" t="s">
        <v>1466</v>
      </c>
      <c r="D94" s="48" t="b">
        <f>COUNTIF('Active Employees'!B:B, B94) &gt; 0</f>
        <v>1</v>
      </c>
      <c r="E94" s="48">
        <v>45006.0</v>
      </c>
      <c r="F94" s="48">
        <v>45846.0</v>
      </c>
      <c r="G94" s="47" t="s">
        <v>3031</v>
      </c>
    </row>
    <row r="95">
      <c r="A95" s="47" t="s">
        <v>3032</v>
      </c>
      <c r="B95" s="47" t="s">
        <v>732</v>
      </c>
      <c r="C95" s="47" t="s">
        <v>1466</v>
      </c>
      <c r="D95" s="48" t="b">
        <f>COUNTIF('Active Employees'!B:B, B95) &gt; 0</f>
        <v>1</v>
      </c>
      <c r="E95" s="48">
        <v>45567.0</v>
      </c>
      <c r="F95" s="48">
        <v>45846.0</v>
      </c>
      <c r="G95" s="47" t="s">
        <v>3033</v>
      </c>
    </row>
    <row r="96">
      <c r="A96" s="47" t="s">
        <v>3034</v>
      </c>
      <c r="B96" s="47" t="s">
        <v>1192</v>
      </c>
      <c r="C96" s="47" t="s">
        <v>1466</v>
      </c>
      <c r="D96" s="48" t="b">
        <f>COUNTIF('Active Employees'!B:B, B96) &gt; 0</f>
        <v>1</v>
      </c>
      <c r="E96" s="48">
        <v>44593.0</v>
      </c>
      <c r="F96" s="48">
        <v>45847.0</v>
      </c>
      <c r="G96" s="47" t="s">
        <v>2957</v>
      </c>
    </row>
    <row r="97">
      <c r="A97" s="47" t="s">
        <v>3035</v>
      </c>
      <c r="B97" s="47" t="s">
        <v>1299</v>
      </c>
      <c r="C97" s="47" t="s">
        <v>1466</v>
      </c>
      <c r="D97" s="48" t="b">
        <f>COUNTIF('Active Employees'!B:B, B97) &gt; 0</f>
        <v>1</v>
      </c>
      <c r="E97" s="48">
        <v>44875.0</v>
      </c>
      <c r="F97" s="48">
        <v>45847.0</v>
      </c>
      <c r="G97" s="47" t="s">
        <v>3036</v>
      </c>
    </row>
    <row r="98">
      <c r="A98" s="47" t="s">
        <v>3037</v>
      </c>
      <c r="B98" s="47" t="s">
        <v>96</v>
      </c>
      <c r="C98" s="47" t="s">
        <v>1466</v>
      </c>
      <c r="D98" s="48" t="b">
        <f>COUNTIF('Active Employees'!B:B, B98) &gt; 0</f>
        <v>1</v>
      </c>
      <c r="E98" s="48">
        <v>44952.0</v>
      </c>
      <c r="F98" s="48">
        <v>45847.0</v>
      </c>
      <c r="G98" s="47" t="s">
        <v>2962</v>
      </c>
    </row>
    <row r="99">
      <c r="A99" s="47" t="s">
        <v>3038</v>
      </c>
      <c r="B99" s="47" t="s">
        <v>1262</v>
      </c>
      <c r="C99" s="47" t="s">
        <v>1466</v>
      </c>
      <c r="D99" s="48" t="b">
        <f>COUNTIF('Active Employees'!B:B, B99) &gt; 0</f>
        <v>1</v>
      </c>
      <c r="E99" s="48">
        <v>44708.0</v>
      </c>
      <c r="F99" s="48">
        <v>45847.0</v>
      </c>
      <c r="G99" s="47" t="s">
        <v>2962</v>
      </c>
    </row>
    <row r="100">
      <c r="A100" s="47" t="s">
        <v>3039</v>
      </c>
      <c r="B100" s="47" t="s">
        <v>921</v>
      </c>
      <c r="C100" s="47" t="s">
        <v>1466</v>
      </c>
      <c r="D100" s="48" t="b">
        <f>COUNTIF('Active Employees'!B:B, B100) &gt; 0</f>
        <v>1</v>
      </c>
      <c r="E100" s="48">
        <v>44714.0</v>
      </c>
      <c r="F100" s="48">
        <v>45848.0</v>
      </c>
      <c r="G100" s="47" t="s">
        <v>3040</v>
      </c>
    </row>
    <row r="101">
      <c r="A101" s="47" t="s">
        <v>1776</v>
      </c>
      <c r="B101" s="47" t="s">
        <v>1169</v>
      </c>
      <c r="C101" s="47" t="s">
        <v>1466</v>
      </c>
      <c r="D101" s="48" t="b">
        <f>COUNTIF('Active Employees'!B:B, B101) &gt; 0</f>
        <v>1</v>
      </c>
      <c r="E101" s="48">
        <v>44357.0</v>
      </c>
      <c r="F101" s="48">
        <v>45848.0</v>
      </c>
      <c r="G101" s="47" t="s">
        <v>2962</v>
      </c>
    </row>
    <row r="102">
      <c r="A102" s="47" t="s">
        <v>1492</v>
      </c>
      <c r="B102" s="47" t="s">
        <v>1100</v>
      </c>
      <c r="C102" s="47" t="s">
        <v>1466</v>
      </c>
      <c r="D102" s="48" t="b">
        <f>COUNTIF('Active Employees'!B:B, B102) &gt; 0</f>
        <v>1</v>
      </c>
      <c r="E102" s="48">
        <v>44811.0</v>
      </c>
      <c r="F102" s="48">
        <v>45848.0</v>
      </c>
      <c r="G102" s="47" t="s">
        <v>2962</v>
      </c>
    </row>
    <row r="103">
      <c r="A103" s="47" t="s">
        <v>3041</v>
      </c>
      <c r="B103" s="47" t="s">
        <v>1230</v>
      </c>
      <c r="C103" s="47" t="s">
        <v>1466</v>
      </c>
      <c r="D103" s="48" t="b">
        <f>COUNTIF('Active Employees'!B:B, B103) &gt; 0</f>
        <v>1</v>
      </c>
      <c r="E103" s="48">
        <v>45516.0</v>
      </c>
      <c r="F103" s="48">
        <v>45852.0</v>
      </c>
      <c r="G103" s="47" t="s">
        <v>2957</v>
      </c>
    </row>
    <row r="104">
      <c r="A104" s="47" t="s">
        <v>1887</v>
      </c>
      <c r="B104" s="47" t="s">
        <v>1153</v>
      </c>
      <c r="C104" s="47" t="s">
        <v>1466</v>
      </c>
      <c r="D104" s="48" t="b">
        <f>COUNTIF('Active Employees'!B:B, B104) &gt; 0</f>
        <v>1</v>
      </c>
      <c r="E104" s="48">
        <v>43360.0</v>
      </c>
      <c r="F104" s="48">
        <v>45853.0</v>
      </c>
      <c r="G104" s="47" t="s">
        <v>2962</v>
      </c>
    </row>
    <row r="105">
      <c r="A105" s="47" t="s">
        <v>875</v>
      </c>
      <c r="B105" s="47" t="s">
        <v>1031</v>
      </c>
      <c r="C105" s="47" t="s">
        <v>1466</v>
      </c>
      <c r="D105" s="48" t="b">
        <f>COUNTIF('Active Employees'!B:B, B105) &gt; 0</f>
        <v>1</v>
      </c>
      <c r="E105" s="48">
        <v>44224.0</v>
      </c>
      <c r="F105" s="48">
        <v>45853.0</v>
      </c>
      <c r="G105" s="47" t="s">
        <v>2991</v>
      </c>
    </row>
    <row r="106">
      <c r="A106" s="47" t="s">
        <v>3042</v>
      </c>
      <c r="B106" s="47" t="s">
        <v>1312</v>
      </c>
      <c r="C106" s="47" t="s">
        <v>1466</v>
      </c>
      <c r="D106" s="48" t="b">
        <f>COUNTIF('Active Employees'!B:B, B106) &gt; 0</f>
        <v>1</v>
      </c>
      <c r="E106" s="48">
        <v>45029.0</v>
      </c>
      <c r="F106" s="48">
        <v>45854.0</v>
      </c>
      <c r="G106" s="47" t="s">
        <v>3043</v>
      </c>
    </row>
    <row r="107">
      <c r="A107" s="47" t="s">
        <v>1831</v>
      </c>
      <c r="B107" s="47" t="s">
        <v>903</v>
      </c>
      <c r="C107" s="47" t="s">
        <v>1466</v>
      </c>
      <c r="D107" s="48" t="b">
        <f>COUNTIF('Active Employees'!B:B, B107) &gt; 0</f>
        <v>1</v>
      </c>
      <c r="E107" s="48">
        <v>43676.0</v>
      </c>
      <c r="F107" s="48">
        <v>45854.0</v>
      </c>
      <c r="G107" s="47" t="s">
        <v>2962</v>
      </c>
    </row>
    <row r="108">
      <c r="A108" s="47" t="s">
        <v>3044</v>
      </c>
      <c r="B108" s="47" t="s">
        <v>270</v>
      </c>
      <c r="C108" s="47" t="s">
        <v>1466</v>
      </c>
      <c r="D108" s="48" t="b">
        <f>COUNTIF('Active Employees'!B:B, B108) &gt; 0</f>
        <v>1</v>
      </c>
      <c r="E108" s="48">
        <v>44894.0</v>
      </c>
      <c r="F108" s="48">
        <v>45854.0</v>
      </c>
      <c r="G108" s="47" t="s">
        <v>2957</v>
      </c>
    </row>
    <row r="109">
      <c r="A109" s="47" t="s">
        <v>3045</v>
      </c>
      <c r="B109" s="47" t="s">
        <v>139</v>
      </c>
      <c r="C109" s="47" t="s">
        <v>1466</v>
      </c>
      <c r="D109" s="48" t="b">
        <f>COUNTIF('Active Employees'!B:B, B109) &gt; 0</f>
        <v>1</v>
      </c>
      <c r="E109" s="48">
        <v>45231.0</v>
      </c>
      <c r="F109" s="48">
        <v>45855.0</v>
      </c>
      <c r="G109" s="47" t="s">
        <v>2957</v>
      </c>
    </row>
    <row r="110">
      <c r="A110" s="47" t="s">
        <v>3046</v>
      </c>
      <c r="B110" s="47" t="s">
        <v>1282</v>
      </c>
      <c r="C110" s="47" t="s">
        <v>1466</v>
      </c>
      <c r="D110" s="48" t="b">
        <f>COUNTIF('Active Employees'!B:B, B110) &gt; 0</f>
        <v>1</v>
      </c>
      <c r="E110" s="48">
        <v>45385.0</v>
      </c>
      <c r="F110" s="48">
        <v>45855.0</v>
      </c>
      <c r="G110" s="47" t="s">
        <v>2957</v>
      </c>
    </row>
    <row r="111">
      <c r="A111" s="47" t="s">
        <v>3047</v>
      </c>
      <c r="B111" s="47" t="s">
        <v>769</v>
      </c>
      <c r="C111" s="47" t="s">
        <v>1466</v>
      </c>
      <c r="D111" s="48" t="b">
        <f>COUNTIF('Active Employees'!B:B, B111) &gt; 0</f>
        <v>1</v>
      </c>
      <c r="E111" s="48">
        <v>45371.0</v>
      </c>
      <c r="F111" s="48">
        <v>45856.0</v>
      </c>
      <c r="G111" s="47" t="s">
        <v>2957</v>
      </c>
    </row>
    <row r="112">
      <c r="A112" s="47" t="s">
        <v>3048</v>
      </c>
      <c r="B112" s="47" t="s">
        <v>1455</v>
      </c>
      <c r="C112" s="47" t="s">
        <v>1466</v>
      </c>
      <c r="D112" s="48" t="b">
        <f>COUNTIF('Active Employees'!B:B, B112) &gt; 0</f>
        <v>1</v>
      </c>
      <c r="E112" s="48">
        <v>44818.0</v>
      </c>
      <c r="F112" s="48">
        <v>45856.0</v>
      </c>
      <c r="G112" s="47" t="s">
        <v>2957</v>
      </c>
    </row>
    <row r="113">
      <c r="A113" s="47" t="s">
        <v>3049</v>
      </c>
      <c r="B113" s="47" t="s">
        <v>622</v>
      </c>
      <c r="C113" s="47" t="s">
        <v>1466</v>
      </c>
      <c r="D113" s="48" t="b">
        <f>COUNTIF('Active Employees'!B:B, B113) &gt; 0</f>
        <v>1</v>
      </c>
      <c r="E113" s="48">
        <v>45295.0</v>
      </c>
      <c r="F113" s="48">
        <v>45856.0</v>
      </c>
      <c r="G113" s="47" t="s">
        <v>3040</v>
      </c>
    </row>
    <row r="114">
      <c r="A114" s="47" t="s">
        <v>661</v>
      </c>
      <c r="B114" s="47" t="s">
        <v>1364</v>
      </c>
      <c r="C114" s="47" t="s">
        <v>1466</v>
      </c>
      <c r="D114" s="48" t="b">
        <f>COUNTIF('Active Employees'!B:B, B114) &gt; 0</f>
        <v>1</v>
      </c>
      <c r="E114" s="48">
        <v>45420.0</v>
      </c>
      <c r="F114" s="48">
        <v>45856.0</v>
      </c>
      <c r="G114" s="47" t="s">
        <v>3050</v>
      </c>
    </row>
    <row r="115">
      <c r="A115" s="47" t="s">
        <v>3051</v>
      </c>
      <c r="B115" s="47" t="s">
        <v>230</v>
      </c>
      <c r="C115" s="47" t="s">
        <v>1466</v>
      </c>
      <c r="D115" s="48" t="b">
        <f>COUNTIF('Active Employees'!B:B, B115) &gt; 0</f>
        <v>1</v>
      </c>
      <c r="E115" s="48">
        <v>44720.0</v>
      </c>
      <c r="F115" s="48">
        <v>45858.0</v>
      </c>
      <c r="G115" s="47" t="s">
        <v>3052</v>
      </c>
    </row>
    <row r="116">
      <c r="A116" s="47" t="s">
        <v>125</v>
      </c>
      <c r="B116" s="47" t="s">
        <v>815</v>
      </c>
      <c r="C116" s="47" t="s">
        <v>1466</v>
      </c>
      <c r="D116" s="48" t="b">
        <f>COUNTIF('Active Employees'!B:B, B116) &gt; 0</f>
        <v>1</v>
      </c>
      <c r="E116" s="48">
        <v>45723.0</v>
      </c>
      <c r="F116" s="48">
        <v>45860.0</v>
      </c>
      <c r="G116" s="47" t="s">
        <v>3019</v>
      </c>
    </row>
    <row r="117">
      <c r="A117" s="47" t="s">
        <v>3053</v>
      </c>
      <c r="B117" s="47" t="s">
        <v>729</v>
      </c>
      <c r="C117" s="47" t="s">
        <v>1466</v>
      </c>
      <c r="D117" s="48" t="b">
        <f>COUNTIF('Active Employees'!B:B, B117) &gt; 0</f>
        <v>1</v>
      </c>
      <c r="E117" s="48">
        <v>44820.0</v>
      </c>
      <c r="F117" s="48">
        <v>45860.0</v>
      </c>
      <c r="G117" s="47" t="s">
        <v>2957</v>
      </c>
    </row>
    <row r="118">
      <c r="A118" s="47" t="s">
        <v>3054</v>
      </c>
      <c r="B118" s="47" t="s">
        <v>914</v>
      </c>
      <c r="C118" s="47" t="s">
        <v>1466</v>
      </c>
      <c r="D118" s="48" t="b">
        <f>COUNTIF('Active Employees'!B:B, B118) &gt; 0</f>
        <v>1</v>
      </c>
      <c r="E118" s="48">
        <v>44312.0</v>
      </c>
      <c r="F118" s="48">
        <v>45861.0</v>
      </c>
      <c r="G118" s="47" t="s">
        <v>2957</v>
      </c>
    </row>
    <row r="119">
      <c r="A119" s="47" t="s">
        <v>3055</v>
      </c>
      <c r="B119" s="47" t="s">
        <v>1028</v>
      </c>
      <c r="C119" s="47" t="s">
        <v>1466</v>
      </c>
      <c r="D119" s="48" t="b">
        <f>COUNTIF('Active Employees'!B:B, B119) &gt; 0</f>
        <v>1</v>
      </c>
      <c r="E119" s="48">
        <v>45777.0</v>
      </c>
      <c r="F119" s="48">
        <v>45861.0</v>
      </c>
      <c r="G119" s="47" t="s">
        <v>2957</v>
      </c>
    </row>
    <row r="120">
      <c r="A120" s="47" t="s">
        <v>3056</v>
      </c>
      <c r="B120" s="47" t="s">
        <v>3057</v>
      </c>
      <c r="C120" s="47" t="s">
        <v>1466</v>
      </c>
      <c r="D120" s="48" t="b">
        <f>COUNTIF('Active Employees'!B:B, B120) &gt; 0</f>
        <v>0</v>
      </c>
      <c r="E120" s="48">
        <v>45862.0</v>
      </c>
      <c r="F120" s="48">
        <v>45862.0</v>
      </c>
      <c r="G120" s="47" t="s">
        <v>2957</v>
      </c>
    </row>
    <row r="121">
      <c r="A121" s="47" t="s">
        <v>3058</v>
      </c>
      <c r="B121" s="47" t="s">
        <v>639</v>
      </c>
      <c r="C121" s="47" t="s">
        <v>1466</v>
      </c>
      <c r="D121" s="48" t="b">
        <f>COUNTIF('Active Employees'!B:B, B121) &gt; 0</f>
        <v>1</v>
      </c>
      <c r="E121" s="48">
        <v>45862.0</v>
      </c>
      <c r="F121" s="48">
        <v>45862.0</v>
      </c>
      <c r="G121" s="47" t="s">
        <v>2957</v>
      </c>
    </row>
    <row r="122">
      <c r="A122" s="47" t="s">
        <v>3059</v>
      </c>
      <c r="B122" s="47" t="s">
        <v>383</v>
      </c>
      <c r="C122" s="47" t="s">
        <v>1466</v>
      </c>
      <c r="D122" s="48" t="b">
        <f>COUNTIF('Active Employees'!B:B, B122) &gt; 0</f>
        <v>1</v>
      </c>
      <c r="E122" s="48">
        <v>45204.0</v>
      </c>
      <c r="F122" s="48">
        <v>45863.0</v>
      </c>
      <c r="G122" s="47" t="s">
        <v>2962</v>
      </c>
    </row>
    <row r="123">
      <c r="A123" s="47" t="s">
        <v>1843</v>
      </c>
      <c r="B123" s="47" t="s">
        <v>736</v>
      </c>
      <c r="C123" s="47" t="s">
        <v>1466</v>
      </c>
      <c r="D123" s="48" t="b">
        <f>COUNTIF('Active Employees'!B:B, B123) &gt; 0</f>
        <v>1</v>
      </c>
      <c r="E123" s="48">
        <v>45083.0</v>
      </c>
      <c r="F123" s="48">
        <v>45866.0</v>
      </c>
      <c r="G123" s="47" t="s">
        <v>2957</v>
      </c>
    </row>
    <row r="124">
      <c r="A124" s="47" t="s">
        <v>3060</v>
      </c>
      <c r="B124" s="47" t="s">
        <v>567</v>
      </c>
      <c r="C124" s="47" t="s">
        <v>1466</v>
      </c>
      <c r="D124" s="48" t="b">
        <f>COUNTIF('Active Employees'!B:B, B124) &gt; 0</f>
        <v>1</v>
      </c>
      <c r="E124" s="48">
        <v>44657.0</v>
      </c>
      <c r="F124" s="48">
        <v>45866.0</v>
      </c>
      <c r="G124" s="47" t="s">
        <v>3009</v>
      </c>
    </row>
    <row r="125">
      <c r="A125" s="47" t="s">
        <v>746</v>
      </c>
      <c r="B125" s="47" t="s">
        <v>1442</v>
      </c>
      <c r="C125" s="47" t="s">
        <v>1466</v>
      </c>
      <c r="D125" s="48" t="b">
        <f>COUNTIF('Active Employees'!B:B, B125) &gt; 0</f>
        <v>1</v>
      </c>
      <c r="E125" s="48">
        <v>45496.0</v>
      </c>
      <c r="F125" s="48">
        <v>45867.0</v>
      </c>
      <c r="G125" s="47" t="s">
        <v>2957</v>
      </c>
    </row>
    <row r="126">
      <c r="A126" s="47" t="s">
        <v>452</v>
      </c>
      <c r="B126" s="47" t="s">
        <v>1407</v>
      </c>
      <c r="C126" s="47" t="s">
        <v>1466</v>
      </c>
      <c r="D126" s="48" t="b">
        <f>COUNTIF('Active Employees'!B:B, B126) &gt; 0</f>
        <v>1</v>
      </c>
      <c r="E126" s="48">
        <v>45736.0</v>
      </c>
      <c r="F126" s="48">
        <v>45868.0</v>
      </c>
      <c r="G126" s="47" t="s">
        <v>2957</v>
      </c>
    </row>
    <row r="127">
      <c r="A127" s="47" t="s">
        <v>1335</v>
      </c>
      <c r="B127" s="47" t="s">
        <v>916</v>
      </c>
      <c r="C127" s="47" t="s">
        <v>1466</v>
      </c>
      <c r="D127" s="48" t="b">
        <f>COUNTIF('Active Employees'!B:B, B127) &gt; 0</f>
        <v>1</v>
      </c>
      <c r="E127" s="48">
        <v>45448.0</v>
      </c>
      <c r="F127" s="48">
        <v>45869.0</v>
      </c>
      <c r="G127" s="47" t="s">
        <v>2957</v>
      </c>
    </row>
    <row r="128">
      <c r="A128" s="47" t="s">
        <v>119</v>
      </c>
      <c r="B128" s="47" t="s">
        <v>135</v>
      </c>
      <c r="C128" s="47" t="s">
        <v>1466</v>
      </c>
      <c r="D128" s="48" t="b">
        <f>COUNTIF('Active Employees'!B:B, B128) &gt; 0</f>
        <v>1</v>
      </c>
      <c r="E128" s="48">
        <v>44979.0</v>
      </c>
      <c r="F128" s="48">
        <v>45869.0</v>
      </c>
      <c r="G128" s="47" t="s">
        <v>2957</v>
      </c>
    </row>
    <row r="129">
      <c r="A129" s="47" t="s">
        <v>831</v>
      </c>
      <c r="B129" s="47" t="s">
        <v>577</v>
      </c>
      <c r="C129" s="47" t="s">
        <v>1466</v>
      </c>
      <c r="D129" s="48" t="b">
        <f>COUNTIF('Active Employees'!B:B, B129) &gt; 0</f>
        <v>1</v>
      </c>
      <c r="E129" s="48">
        <v>45034.0</v>
      </c>
      <c r="F129" s="48">
        <v>45869.0</v>
      </c>
      <c r="G129" s="47" t="s">
        <v>2957</v>
      </c>
    </row>
    <row r="130">
      <c r="A130" s="47" t="s">
        <v>3061</v>
      </c>
      <c r="B130" s="47" t="s">
        <v>677</v>
      </c>
      <c r="C130" s="47" t="s">
        <v>1466</v>
      </c>
      <c r="D130" s="48" t="b">
        <f>COUNTIF('Active Employees'!B:B, B130) &gt; 0</f>
        <v>1</v>
      </c>
      <c r="E130" s="48">
        <v>45118.0</v>
      </c>
      <c r="F130" s="48">
        <v>45873.0</v>
      </c>
      <c r="G130" s="47" t="s">
        <v>2962</v>
      </c>
    </row>
    <row r="131">
      <c r="A131" s="47" t="s">
        <v>3062</v>
      </c>
      <c r="B131" s="47" t="s">
        <v>258</v>
      </c>
      <c r="C131" s="47" t="s">
        <v>1466</v>
      </c>
      <c r="D131" s="48" t="b">
        <f>COUNTIF('Active Employees'!B:B, B131) &gt; 0</f>
        <v>1</v>
      </c>
      <c r="E131" s="48">
        <v>44468.0</v>
      </c>
      <c r="F131" s="48">
        <v>45873.0</v>
      </c>
      <c r="G131" s="47" t="s">
        <v>3004</v>
      </c>
    </row>
    <row r="132">
      <c r="A132" s="47" t="s">
        <v>474</v>
      </c>
      <c r="B132" s="47" t="s">
        <v>799</v>
      </c>
      <c r="C132" s="47" t="s">
        <v>1466</v>
      </c>
      <c r="D132" s="48" t="b">
        <f>COUNTIF('Active Employees'!B:B, B132) &gt; 0</f>
        <v>1</v>
      </c>
      <c r="E132" s="48">
        <v>44956.0</v>
      </c>
      <c r="F132" s="48">
        <v>45873.0</v>
      </c>
      <c r="G132" s="47" t="s">
        <v>2957</v>
      </c>
    </row>
    <row r="133">
      <c r="A133" s="47" t="s">
        <v>3063</v>
      </c>
      <c r="B133" s="47" t="s">
        <v>807</v>
      </c>
      <c r="C133" s="47" t="s">
        <v>1466</v>
      </c>
      <c r="D133" s="48" t="b">
        <f>COUNTIF('Active Employees'!B:B, B133) &gt; 0</f>
        <v>1</v>
      </c>
      <c r="E133" s="48">
        <v>45308.0</v>
      </c>
      <c r="F133" s="48">
        <v>45874.0</v>
      </c>
      <c r="G133" s="47" t="s">
        <v>2957</v>
      </c>
    </row>
    <row r="134">
      <c r="A134" s="47" t="s">
        <v>3064</v>
      </c>
      <c r="B134" s="47" t="s">
        <v>587</v>
      </c>
      <c r="C134" s="47" t="s">
        <v>1466</v>
      </c>
      <c r="D134" s="48" t="b">
        <f>COUNTIF('Active Employees'!B:B, B134) &gt; 0</f>
        <v>1</v>
      </c>
      <c r="E134" s="48">
        <v>45309.0</v>
      </c>
      <c r="F134" s="48">
        <v>45876.0</v>
      </c>
      <c r="G134" s="47" t="s">
        <v>3009</v>
      </c>
    </row>
    <row r="135">
      <c r="A135" s="47" t="s">
        <v>3065</v>
      </c>
      <c r="B135" s="47" t="s">
        <v>701</v>
      </c>
      <c r="C135" s="47" t="s">
        <v>1466</v>
      </c>
      <c r="D135" s="48" t="b">
        <f>COUNTIF('Active Employees'!B:B, B135) &gt; 0</f>
        <v>1</v>
      </c>
      <c r="E135" s="48">
        <v>45299.0</v>
      </c>
      <c r="F135" s="48">
        <v>45880.0</v>
      </c>
      <c r="G135" s="47" t="s">
        <v>2962</v>
      </c>
    </row>
    <row r="136">
      <c r="A136" s="47" t="s">
        <v>3066</v>
      </c>
      <c r="B136" s="47" t="s">
        <v>3067</v>
      </c>
      <c r="C136" s="47" t="s">
        <v>1466</v>
      </c>
      <c r="D136" s="48" t="b">
        <f>COUNTIF('Active Employees'!B:B, B136) &gt; 0</f>
        <v>1</v>
      </c>
      <c r="E136" s="48">
        <v>45294.0</v>
      </c>
      <c r="F136" s="48">
        <v>45880.0</v>
      </c>
      <c r="G136" s="47" t="s">
        <v>2962</v>
      </c>
    </row>
    <row r="137">
      <c r="A137" s="47" t="s">
        <v>3068</v>
      </c>
      <c r="B137" s="47" t="s">
        <v>1369</v>
      </c>
      <c r="C137" s="47" t="s">
        <v>1466</v>
      </c>
      <c r="D137" s="48" t="b">
        <f>COUNTIF('Active Employees'!B:B, B137) &gt; 0</f>
        <v>1</v>
      </c>
      <c r="E137" s="48">
        <v>44673.0</v>
      </c>
      <c r="F137" s="48">
        <v>45880.0</v>
      </c>
      <c r="G137" s="47" t="s">
        <v>2962</v>
      </c>
    </row>
    <row r="138">
      <c r="A138" s="47" t="s">
        <v>3069</v>
      </c>
      <c r="B138" s="47" t="s">
        <v>940</v>
      </c>
      <c r="C138" s="47" t="s">
        <v>1466</v>
      </c>
      <c r="D138" s="48" t="b">
        <f>COUNTIF('Active Employees'!B:B, B138) &gt; 0</f>
        <v>1</v>
      </c>
      <c r="E138" s="48">
        <v>45587.0</v>
      </c>
      <c r="F138" s="48">
        <v>45880.0</v>
      </c>
      <c r="G138" s="47" t="s">
        <v>2957</v>
      </c>
    </row>
    <row r="139">
      <c r="A139" s="47" t="s">
        <v>1756</v>
      </c>
      <c r="B139" s="47" t="s">
        <v>1264</v>
      </c>
      <c r="C139" s="47" t="s">
        <v>1466</v>
      </c>
      <c r="D139" s="48" t="b">
        <f>COUNTIF('Active Employees'!B:B, B139) &gt; 0</f>
        <v>1</v>
      </c>
      <c r="E139" s="48">
        <v>44673.0</v>
      </c>
      <c r="F139" s="48">
        <v>45881.0</v>
      </c>
      <c r="G139" s="47" t="s">
        <v>2962</v>
      </c>
    </row>
    <row r="140">
      <c r="A140" s="47" t="s">
        <v>3070</v>
      </c>
      <c r="B140" s="47" t="s">
        <v>1403</v>
      </c>
      <c r="C140" s="47" t="s">
        <v>1466</v>
      </c>
      <c r="D140" s="48" t="b">
        <f>COUNTIF('Active Employees'!B:B, B140) &gt; 0</f>
        <v>1</v>
      </c>
      <c r="E140" s="48">
        <v>44680.0</v>
      </c>
      <c r="F140" s="48">
        <v>45881.0</v>
      </c>
      <c r="G140" s="47" t="s">
        <v>2957</v>
      </c>
    </row>
    <row r="141">
      <c r="A141" s="47" t="s">
        <v>3071</v>
      </c>
      <c r="B141" s="47" t="s">
        <v>1076</v>
      </c>
      <c r="C141" s="47" t="s">
        <v>1466</v>
      </c>
      <c r="D141" s="48" t="b">
        <f>COUNTIF('Active Employees'!B:B, B141) &gt; 0</f>
        <v>1</v>
      </c>
      <c r="E141" s="48">
        <v>44678.0</v>
      </c>
      <c r="F141" s="48">
        <v>45881.0</v>
      </c>
      <c r="G141" s="47" t="s">
        <v>2957</v>
      </c>
    </row>
    <row r="142">
      <c r="A142" s="47" t="s">
        <v>3072</v>
      </c>
      <c r="B142" s="47" t="s">
        <v>3073</v>
      </c>
      <c r="C142" s="47" t="s">
        <v>1466</v>
      </c>
      <c r="D142" s="48" t="b">
        <f>COUNTIF('Active Employees'!B:B, B142) &gt; 0</f>
        <v>1</v>
      </c>
      <c r="E142" s="48">
        <v>44956.0</v>
      </c>
      <c r="F142" s="48">
        <v>45881.0</v>
      </c>
      <c r="G142" s="47" t="s">
        <v>2957</v>
      </c>
    </row>
    <row r="143">
      <c r="A143" s="47" t="s">
        <v>1853</v>
      </c>
      <c r="B143" s="47" t="s">
        <v>500</v>
      </c>
      <c r="C143" s="47" t="s">
        <v>1466</v>
      </c>
      <c r="D143" s="48" t="b">
        <f>COUNTIF('Active Employees'!B:B, B143) &gt; 0</f>
        <v>1</v>
      </c>
      <c r="E143" s="48">
        <v>45518.0</v>
      </c>
      <c r="F143" s="48">
        <v>45881.0</v>
      </c>
      <c r="G143" s="47" t="s">
        <v>2962</v>
      </c>
    </row>
    <row r="144">
      <c r="A144" s="47" t="s">
        <v>3074</v>
      </c>
      <c r="B144" s="47" t="s">
        <v>695</v>
      </c>
      <c r="C144" s="47" t="s">
        <v>1466</v>
      </c>
      <c r="D144" s="48" t="b">
        <f>COUNTIF('Active Employees'!B:B, B144) &gt; 0</f>
        <v>1</v>
      </c>
      <c r="E144" s="48">
        <v>45078.0</v>
      </c>
      <c r="F144" s="48">
        <v>45883.0</v>
      </c>
      <c r="G144" s="47" t="s">
        <v>3075</v>
      </c>
    </row>
    <row r="145">
      <c r="A145" s="47" t="s">
        <v>3076</v>
      </c>
      <c r="B145" s="47" t="s">
        <v>150</v>
      </c>
      <c r="C145" s="47" t="s">
        <v>1466</v>
      </c>
      <c r="D145" s="48" t="b">
        <f>COUNTIF('Active Employees'!B:B, B145) &gt; 0</f>
        <v>1</v>
      </c>
      <c r="E145" s="48">
        <v>45461.0</v>
      </c>
      <c r="F145" s="48">
        <v>45883.0</v>
      </c>
      <c r="G145" s="47" t="s">
        <v>2957</v>
      </c>
    </row>
    <row r="146">
      <c r="A146" s="47" t="s">
        <v>3077</v>
      </c>
      <c r="B146" s="47" t="s">
        <v>703</v>
      </c>
      <c r="C146" s="47" t="s">
        <v>1466</v>
      </c>
      <c r="D146" s="48" t="b">
        <f>COUNTIF('Active Employees'!B:B, B146) &gt; 0</f>
        <v>1</v>
      </c>
      <c r="E146" s="48">
        <v>44545.0</v>
      </c>
      <c r="F146" s="48">
        <v>45883.0</v>
      </c>
      <c r="G146" s="47" t="s">
        <v>2957</v>
      </c>
    </row>
    <row r="147">
      <c r="A147" s="47" t="s">
        <v>1614</v>
      </c>
      <c r="B147" s="47" t="s">
        <v>3078</v>
      </c>
      <c r="C147" s="47" t="s">
        <v>1466</v>
      </c>
      <c r="D147" s="48" t="b">
        <f>COUNTIF('Active Employees'!B:B, B147) &gt; 0</f>
        <v>0</v>
      </c>
      <c r="E147" s="48">
        <v>45603.0</v>
      </c>
      <c r="F147" s="48">
        <v>45883.0</v>
      </c>
      <c r="G147" s="47" t="s">
        <v>2957</v>
      </c>
    </row>
    <row r="148">
      <c r="A148" s="47" t="s">
        <v>170</v>
      </c>
      <c r="B148" s="47" t="s">
        <v>654</v>
      </c>
      <c r="C148" s="47" t="s">
        <v>1466</v>
      </c>
      <c r="D148" s="48" t="b">
        <f>COUNTIF('Active Employees'!B:B, B148) &gt; 0</f>
        <v>1</v>
      </c>
      <c r="E148" s="48">
        <v>45811.0</v>
      </c>
      <c r="F148" s="48">
        <v>45884.0</v>
      </c>
      <c r="G148" s="47" t="s">
        <v>2957</v>
      </c>
    </row>
    <row r="149">
      <c r="A149" s="47" t="s">
        <v>1829</v>
      </c>
      <c r="B149" s="47" t="s">
        <v>604</v>
      </c>
      <c r="C149" s="47" t="s">
        <v>1466</v>
      </c>
      <c r="D149" s="48" t="b">
        <f>COUNTIF('Active Employees'!B:B, B149) &gt; 0</f>
        <v>1</v>
      </c>
      <c r="E149" s="48">
        <v>45666.0</v>
      </c>
      <c r="F149" s="48">
        <v>45884.0</v>
      </c>
      <c r="G149" s="47" t="s">
        <v>2957</v>
      </c>
    </row>
    <row r="150">
      <c r="A150" s="47" t="s">
        <v>3079</v>
      </c>
      <c r="B150" s="47" t="s">
        <v>350</v>
      </c>
      <c r="C150" s="47" t="s">
        <v>1466</v>
      </c>
      <c r="D150" s="48" t="b">
        <f>COUNTIF('Active Employees'!B:B, B150) &gt; 0</f>
        <v>1</v>
      </c>
      <c r="E150" s="48">
        <v>44993.0</v>
      </c>
      <c r="F150" s="48">
        <v>45887.0</v>
      </c>
      <c r="G150" s="47" t="s">
        <v>2957</v>
      </c>
    </row>
    <row r="151">
      <c r="A151" s="47" t="s">
        <v>3080</v>
      </c>
      <c r="B151" s="47" t="s">
        <v>979</v>
      </c>
      <c r="C151" s="47" t="s">
        <v>1466</v>
      </c>
      <c r="D151" s="48" t="b">
        <f>COUNTIF('Active Employees'!B:B, B151) &gt; 0</f>
        <v>1</v>
      </c>
      <c r="E151" s="48">
        <v>45315.0</v>
      </c>
      <c r="F151" s="48">
        <v>45887.0</v>
      </c>
      <c r="G151" s="47" t="s">
        <v>2962</v>
      </c>
    </row>
    <row r="152">
      <c r="A152" s="47" t="s">
        <v>3081</v>
      </c>
      <c r="B152" s="47" t="s">
        <v>194</v>
      </c>
      <c r="C152" s="47" t="s">
        <v>1466</v>
      </c>
      <c r="D152" s="48" t="b">
        <f>COUNTIF('Active Employees'!B:B, B152) &gt; 0</f>
        <v>1</v>
      </c>
      <c r="E152" s="48">
        <v>44886.0</v>
      </c>
      <c r="F152" s="48">
        <v>45887.0</v>
      </c>
      <c r="G152" s="47" t="s">
        <v>2962</v>
      </c>
    </row>
    <row r="153">
      <c r="A153" s="47" t="s">
        <v>3082</v>
      </c>
      <c r="B153" s="47" t="s">
        <v>3083</v>
      </c>
      <c r="C153" s="47" t="s">
        <v>1466</v>
      </c>
      <c r="D153" s="48" t="b">
        <f>COUNTIF('Active Employees'!B:B, B153) &gt; 0</f>
        <v>0</v>
      </c>
      <c r="E153" s="48">
        <v>45728.0</v>
      </c>
      <c r="F153" s="48">
        <v>45887.0</v>
      </c>
      <c r="G153" s="47" t="s">
        <v>2957</v>
      </c>
    </row>
    <row r="154">
      <c r="A154" s="47" t="s">
        <v>3084</v>
      </c>
      <c r="B154" s="47" t="s">
        <v>1391</v>
      </c>
      <c r="C154" s="47" t="s">
        <v>1466</v>
      </c>
      <c r="D154" s="48" t="b">
        <f>COUNTIF('Active Employees'!B:B, B154) &gt; 0</f>
        <v>1</v>
      </c>
      <c r="E154" s="48">
        <v>45245.0</v>
      </c>
      <c r="F154" s="48">
        <v>45888.0</v>
      </c>
      <c r="G154" s="47" t="s">
        <v>2962</v>
      </c>
    </row>
    <row r="155">
      <c r="A155" s="47" t="s">
        <v>3085</v>
      </c>
      <c r="B155" s="47" t="s">
        <v>975</v>
      </c>
      <c r="C155" s="47" t="s">
        <v>1466</v>
      </c>
      <c r="D155" s="48" t="b">
        <f>COUNTIF('Active Employees'!B:B, B155) &gt; 0</f>
        <v>1</v>
      </c>
      <c r="E155" s="48">
        <v>45282.0</v>
      </c>
      <c r="F155" s="48">
        <v>45888.0</v>
      </c>
      <c r="G155" s="47" t="s">
        <v>2962</v>
      </c>
    </row>
    <row r="156">
      <c r="A156" s="47" t="s">
        <v>489</v>
      </c>
      <c r="B156" s="47" t="s">
        <v>1208</v>
      </c>
      <c r="C156" s="47" t="s">
        <v>1466</v>
      </c>
      <c r="D156" s="48" t="b">
        <f>COUNTIF('Active Employees'!B:B, B156) &gt; 0</f>
        <v>1</v>
      </c>
      <c r="E156" s="48">
        <v>45258.0</v>
      </c>
      <c r="F156" s="48">
        <v>45888.0</v>
      </c>
      <c r="G156" s="47" t="s">
        <v>3040</v>
      </c>
    </row>
    <row r="157">
      <c r="A157" s="47" t="s">
        <v>3086</v>
      </c>
      <c r="B157" s="47" t="s">
        <v>1286</v>
      </c>
      <c r="C157" s="47" t="s">
        <v>1466</v>
      </c>
      <c r="D157" s="48" t="b">
        <f>COUNTIF('Active Employees'!B:B, B157) &gt; 0</f>
        <v>1</v>
      </c>
      <c r="E157" s="48">
        <v>45497.0</v>
      </c>
      <c r="F157" s="48">
        <v>45889.0</v>
      </c>
      <c r="G157" s="47" t="s">
        <v>2957</v>
      </c>
    </row>
    <row r="158">
      <c r="A158" s="47" t="s">
        <v>3087</v>
      </c>
      <c r="B158" s="47" t="s">
        <v>822</v>
      </c>
      <c r="C158" s="47" t="s">
        <v>1466</v>
      </c>
      <c r="D158" s="48" t="b">
        <f>COUNTIF('Active Employees'!B:B, B158) &gt; 0</f>
        <v>1</v>
      </c>
      <c r="E158" s="48">
        <v>45048.0</v>
      </c>
      <c r="F158" s="48">
        <v>45890.0</v>
      </c>
      <c r="G158" s="47" t="s">
        <v>2957</v>
      </c>
    </row>
    <row r="159">
      <c r="A159" s="47" t="s">
        <v>3088</v>
      </c>
      <c r="B159" s="47" t="s">
        <v>173</v>
      </c>
      <c r="C159" s="47" t="s">
        <v>1466</v>
      </c>
      <c r="D159" s="48" t="b">
        <f>COUNTIF('Active Employees'!B:B, B159) &gt; 0</f>
        <v>1</v>
      </c>
      <c r="E159" s="48">
        <v>45798.0</v>
      </c>
      <c r="F159" s="48">
        <v>45891.0</v>
      </c>
      <c r="G159" s="47" t="s">
        <v>2957</v>
      </c>
    </row>
    <row r="160">
      <c r="A160" s="47" t="s">
        <v>1803</v>
      </c>
      <c r="B160" s="47" t="s">
        <v>907</v>
      </c>
      <c r="C160" s="47" t="s">
        <v>1466</v>
      </c>
      <c r="D160" s="48" t="b">
        <f>COUNTIF('Active Employees'!B:B, B160) &gt; 0</f>
        <v>1</v>
      </c>
      <c r="E160" s="48">
        <v>43677.0</v>
      </c>
      <c r="F160" s="48">
        <v>45893.0</v>
      </c>
      <c r="G160" s="47" t="s">
        <v>3031</v>
      </c>
    </row>
    <row r="161">
      <c r="A161" s="47" t="s">
        <v>3089</v>
      </c>
      <c r="B161" s="47" t="s">
        <v>1111</v>
      </c>
      <c r="C161" s="47" t="s">
        <v>1466</v>
      </c>
      <c r="D161" s="48" t="b">
        <f>COUNTIF('Active Employees'!B:B, B161) &gt; 0</f>
        <v>1</v>
      </c>
      <c r="E161" s="48">
        <v>45313.0</v>
      </c>
      <c r="F161" s="48">
        <v>45894.0</v>
      </c>
      <c r="G161" s="47" t="s">
        <v>2962</v>
      </c>
    </row>
    <row r="162">
      <c r="A162" s="47" t="s">
        <v>1824</v>
      </c>
      <c r="B162" s="47" t="s">
        <v>1039</v>
      </c>
      <c r="C162" s="47" t="s">
        <v>1466</v>
      </c>
      <c r="D162" s="48" t="b">
        <f>COUNTIF('Active Employees'!B:B, B162) &gt; 0</f>
        <v>1</v>
      </c>
      <c r="E162" s="48">
        <v>44853.0</v>
      </c>
      <c r="F162" s="48">
        <v>45894.0</v>
      </c>
      <c r="G162" s="47" t="s">
        <v>2962</v>
      </c>
    </row>
    <row r="163">
      <c r="A163" s="47" t="s">
        <v>3090</v>
      </c>
      <c r="B163" s="47" t="s">
        <v>3091</v>
      </c>
      <c r="C163" s="47" t="s">
        <v>1466</v>
      </c>
      <c r="D163" s="48" t="b">
        <f>COUNTIF('Active Employees'!B:B, B163) &gt; 0</f>
        <v>0</v>
      </c>
      <c r="E163" s="48">
        <v>44887.0</v>
      </c>
      <c r="F163" s="48">
        <v>45894.0</v>
      </c>
      <c r="G163" s="47" t="s">
        <v>2957</v>
      </c>
    </row>
    <row r="164">
      <c r="A164" s="47" t="s">
        <v>3092</v>
      </c>
      <c r="B164" s="47" t="s">
        <v>1349</v>
      </c>
      <c r="C164" s="47" t="s">
        <v>1466</v>
      </c>
      <c r="D164" s="48" t="b">
        <f>COUNTIF('Active Employees'!B:B, B164) &gt; 0</f>
        <v>1</v>
      </c>
      <c r="E164" s="48">
        <v>45425.0</v>
      </c>
      <c r="F164" s="48">
        <v>45895.0</v>
      </c>
      <c r="G164" s="47" t="s">
        <v>2962</v>
      </c>
    </row>
    <row r="165">
      <c r="A165" s="47" t="s">
        <v>3093</v>
      </c>
      <c r="B165" s="47" t="s">
        <v>117</v>
      </c>
      <c r="C165" s="47" t="s">
        <v>1466</v>
      </c>
      <c r="D165" s="48" t="b">
        <f>COUNTIF('Active Employees'!B:B, B165) &gt; 0</f>
        <v>1</v>
      </c>
      <c r="E165" s="48">
        <v>45100.0</v>
      </c>
      <c r="F165" s="48">
        <v>45895.0</v>
      </c>
      <c r="G165" s="47" t="s">
        <v>2957</v>
      </c>
    </row>
    <row r="166">
      <c r="A166" s="47" t="s">
        <v>1002</v>
      </c>
      <c r="B166" s="47" t="s">
        <v>833</v>
      </c>
      <c r="C166" s="47" t="s">
        <v>1466</v>
      </c>
      <c r="D166" s="48" t="b">
        <f>COUNTIF('Active Employees'!B:B, B166) &gt; 0</f>
        <v>1</v>
      </c>
      <c r="E166" s="48">
        <v>45378.0</v>
      </c>
      <c r="F166" s="48">
        <v>45895.0</v>
      </c>
      <c r="G166" s="47" t="s">
        <v>2957</v>
      </c>
    </row>
    <row r="167">
      <c r="A167" s="47" t="s">
        <v>3094</v>
      </c>
      <c r="B167" s="47" t="s">
        <v>3095</v>
      </c>
      <c r="C167" s="47" t="s">
        <v>1466</v>
      </c>
      <c r="D167" s="48" t="b">
        <f>COUNTIF('Active Employees'!B:B, B167) &gt; 0</f>
        <v>0</v>
      </c>
      <c r="E167" s="48">
        <v>45674.0</v>
      </c>
      <c r="F167" s="48">
        <v>45896.0</v>
      </c>
      <c r="G167" s="47" t="s">
        <v>2957</v>
      </c>
    </row>
    <row r="168">
      <c r="A168" s="47" t="s">
        <v>3096</v>
      </c>
      <c r="B168" s="47" t="s">
        <v>971</v>
      </c>
      <c r="C168" s="47" t="s">
        <v>1466</v>
      </c>
      <c r="D168" s="48" t="b">
        <f>COUNTIF('Active Employees'!B:B, B168) &gt; 0</f>
        <v>1</v>
      </c>
      <c r="E168" s="48">
        <v>45317.0</v>
      </c>
      <c r="F168" s="48">
        <v>45896.0</v>
      </c>
      <c r="G168" s="47" t="s">
        <v>2962</v>
      </c>
    </row>
    <row r="169">
      <c r="A169" s="47" t="s">
        <v>1936</v>
      </c>
      <c r="B169" s="47" t="s">
        <v>2117</v>
      </c>
      <c r="C169" s="47" t="s">
        <v>1466</v>
      </c>
      <c r="D169" s="48" t="b">
        <f>COUNTIF('Active Employees'!B:B, B169) &gt; 0</f>
        <v>1</v>
      </c>
      <c r="E169" s="48">
        <v>45296.0</v>
      </c>
      <c r="F169" s="48">
        <v>45896.0</v>
      </c>
      <c r="G169" s="47" t="s">
        <v>2962</v>
      </c>
    </row>
    <row r="170">
      <c r="A170" s="47" t="s">
        <v>3097</v>
      </c>
      <c r="B170" s="47" t="s">
        <v>1189</v>
      </c>
      <c r="C170" s="47" t="s">
        <v>1466</v>
      </c>
      <c r="D170" s="48" t="b">
        <f>COUNTIF('Active Employees'!B:B, B170) &gt; 0</f>
        <v>1</v>
      </c>
      <c r="E170" s="48">
        <v>44593.0</v>
      </c>
      <c r="F170" s="48">
        <v>45897.0</v>
      </c>
      <c r="G170" s="47" t="s">
        <v>3004</v>
      </c>
    </row>
    <row r="171">
      <c r="A171" s="47" t="s">
        <v>455</v>
      </c>
      <c r="B171" s="47" t="s">
        <v>652</v>
      </c>
      <c r="C171" s="47" t="s">
        <v>1466</v>
      </c>
      <c r="D171" s="48" t="b">
        <f>COUNTIF('Active Employees'!B:B, B171) &gt; 0</f>
        <v>1</v>
      </c>
      <c r="E171" s="48">
        <v>45887.0</v>
      </c>
      <c r="F171" s="48">
        <v>45897.0</v>
      </c>
      <c r="G171" s="47" t="s">
        <v>2957</v>
      </c>
    </row>
    <row r="172">
      <c r="A172" s="47" t="s">
        <v>3098</v>
      </c>
      <c r="B172" s="47" t="s">
        <v>1367</v>
      </c>
      <c r="C172" s="47" t="s">
        <v>1466</v>
      </c>
      <c r="D172" s="48" t="b">
        <f>COUNTIF('Active Employees'!B:B, B172) &gt; 0</f>
        <v>1</v>
      </c>
      <c r="E172" s="48">
        <v>43221.0</v>
      </c>
      <c r="F172" s="48">
        <v>45897.0</v>
      </c>
      <c r="G172" s="47" t="s">
        <v>2962</v>
      </c>
    </row>
    <row r="173">
      <c r="A173" s="47" t="s">
        <v>3099</v>
      </c>
      <c r="B173" s="47" t="s">
        <v>864</v>
      </c>
      <c r="C173" s="47" t="s">
        <v>1466</v>
      </c>
      <c r="D173" s="48" t="b">
        <f>COUNTIF('Active Employees'!B:B, B173) &gt; 0</f>
        <v>1</v>
      </c>
      <c r="E173" s="48">
        <v>44753.0</v>
      </c>
      <c r="F173" s="48">
        <v>45897.0</v>
      </c>
      <c r="G173" s="47" t="s">
        <v>2957</v>
      </c>
    </row>
    <row r="174">
      <c r="A174" s="47" t="s">
        <v>3100</v>
      </c>
      <c r="B174" s="47" t="s">
        <v>214</v>
      </c>
      <c r="C174" s="47" t="s">
        <v>1466</v>
      </c>
      <c r="D174" s="48" t="b">
        <f>COUNTIF('Active Employees'!B:B, B174) &gt; 0</f>
        <v>1</v>
      </c>
      <c r="E174" s="48">
        <v>45847.0</v>
      </c>
      <c r="F174" s="48">
        <v>45898.0</v>
      </c>
      <c r="G174" s="47" t="s">
        <v>3101</v>
      </c>
    </row>
    <row r="175">
      <c r="A175" s="47" t="s">
        <v>3102</v>
      </c>
      <c r="B175" s="47" t="s">
        <v>1227</v>
      </c>
      <c r="C175" s="47" t="s">
        <v>1466</v>
      </c>
      <c r="D175" s="48" t="b">
        <f>COUNTIF('Active Employees'!B:B, B175) &gt; 0</f>
        <v>1</v>
      </c>
      <c r="E175" s="48">
        <v>45580.0</v>
      </c>
      <c r="F175" s="48">
        <v>45898.0</v>
      </c>
      <c r="G175" s="47" t="s">
        <v>2957</v>
      </c>
    </row>
    <row r="176">
      <c r="A176" s="47" t="s">
        <v>3103</v>
      </c>
      <c r="B176" s="47" t="s">
        <v>457</v>
      </c>
      <c r="C176" s="47" t="s">
        <v>1466</v>
      </c>
      <c r="D176" s="48" t="b">
        <f>COUNTIF('Active Employees'!B:B, B176) &gt; 0</f>
        <v>1</v>
      </c>
      <c r="E176" s="48">
        <v>45385.0</v>
      </c>
      <c r="F176" s="48">
        <v>45898.0</v>
      </c>
      <c r="G176" s="47" t="s">
        <v>2957</v>
      </c>
    </row>
    <row r="177">
      <c r="A177" s="47" t="s">
        <v>3104</v>
      </c>
      <c r="B177" s="47" t="s">
        <v>617</v>
      </c>
      <c r="C177" s="47" t="s">
        <v>1466</v>
      </c>
      <c r="D177" s="48" t="b">
        <f>COUNTIF('Active Employees'!B:B, B177) &gt; 0</f>
        <v>1</v>
      </c>
      <c r="E177" s="48">
        <v>44964.0</v>
      </c>
      <c r="F177" s="48">
        <v>45901.0</v>
      </c>
      <c r="G177" s="47" t="s">
        <v>2962</v>
      </c>
    </row>
    <row r="178">
      <c r="A178" s="47" t="s">
        <v>380</v>
      </c>
      <c r="B178" s="47" t="s">
        <v>273</v>
      </c>
      <c r="C178" s="47" t="s">
        <v>1466</v>
      </c>
      <c r="D178" s="48" t="b">
        <f>COUNTIF('Active Employees'!B:B, B178) &gt; 0</f>
        <v>1</v>
      </c>
      <c r="E178" s="48">
        <v>45804.0</v>
      </c>
      <c r="F178" s="48">
        <v>45902.0</v>
      </c>
      <c r="G178" s="47" t="s">
        <v>3040</v>
      </c>
    </row>
    <row r="179">
      <c r="A179" s="47" t="s">
        <v>435</v>
      </c>
      <c r="B179" s="47" t="s">
        <v>497</v>
      </c>
      <c r="C179" s="47" t="s">
        <v>1466</v>
      </c>
      <c r="D179" s="48" t="b">
        <f>COUNTIF('Active Employees'!B:B, B179) &gt; 0</f>
        <v>1</v>
      </c>
      <c r="E179" s="48">
        <v>45086.0</v>
      </c>
      <c r="F179" s="48">
        <v>45902.0</v>
      </c>
      <c r="G179" s="47" t="s">
        <v>2957</v>
      </c>
    </row>
    <row r="180">
      <c r="A180" s="47" t="s">
        <v>613</v>
      </c>
      <c r="B180" s="47" t="s">
        <v>763</v>
      </c>
      <c r="C180" s="47" t="s">
        <v>1466</v>
      </c>
      <c r="D180" s="48" t="b">
        <f>COUNTIF('Active Employees'!B:B, B180) &gt; 0</f>
        <v>1</v>
      </c>
      <c r="E180" s="48">
        <v>45427.0</v>
      </c>
      <c r="F180" s="48">
        <v>45903.0</v>
      </c>
      <c r="G180" s="47" t="s">
        <v>2957</v>
      </c>
    </row>
    <row r="181">
      <c r="A181" s="47" t="s">
        <v>3105</v>
      </c>
      <c r="B181" s="47" t="s">
        <v>471</v>
      </c>
      <c r="C181" s="47" t="s">
        <v>1466</v>
      </c>
      <c r="D181" s="48" t="b">
        <f>COUNTIF('Active Employees'!B:B, B181) &gt; 0</f>
        <v>1</v>
      </c>
      <c r="E181" s="48">
        <v>44575.0</v>
      </c>
      <c r="F181" s="48">
        <v>45903.0</v>
      </c>
      <c r="G181" s="47" t="s">
        <v>3019</v>
      </c>
    </row>
    <row r="182">
      <c r="A182" s="47" t="s">
        <v>22</v>
      </c>
      <c r="B182" s="47" t="s">
        <v>168</v>
      </c>
      <c r="C182" s="47" t="s">
        <v>1466</v>
      </c>
      <c r="D182" s="48" t="b">
        <f>COUNTIF('Active Employees'!B:B, B182) &gt; 0</f>
        <v>1</v>
      </c>
      <c r="E182" s="48">
        <v>45029.0</v>
      </c>
      <c r="F182" s="48">
        <v>45903.0</v>
      </c>
      <c r="G182" s="47" t="s">
        <v>2962</v>
      </c>
    </row>
    <row r="183">
      <c r="A183" s="47" t="s">
        <v>3106</v>
      </c>
      <c r="B183" s="47" t="s">
        <v>1428</v>
      </c>
      <c r="C183" s="47" t="s">
        <v>1466</v>
      </c>
      <c r="D183" s="48" t="b">
        <f>COUNTIF('Active Employees'!B:B, B183) &gt; 0</f>
        <v>1</v>
      </c>
      <c r="E183" s="48">
        <v>44665.0</v>
      </c>
      <c r="F183" s="48">
        <v>45903.0</v>
      </c>
      <c r="G183" s="47" t="s">
        <v>3107</v>
      </c>
    </row>
    <row r="184">
      <c r="A184" s="47" t="s">
        <v>3108</v>
      </c>
      <c r="B184" s="47" t="s">
        <v>750</v>
      </c>
      <c r="C184" s="47" t="s">
        <v>1466</v>
      </c>
      <c r="D184" s="48" t="b">
        <f>COUNTIF('Active Employees'!B:B, B184) &gt; 0</f>
        <v>1</v>
      </c>
      <c r="E184" s="48">
        <v>45876.0</v>
      </c>
      <c r="F184" s="48">
        <v>45903.0</v>
      </c>
      <c r="G184" s="47" t="s">
        <v>2957</v>
      </c>
    </row>
    <row r="185">
      <c r="A185" s="47" t="s">
        <v>3109</v>
      </c>
      <c r="B185" s="47" t="s">
        <v>1034</v>
      </c>
      <c r="C185" s="47" t="s">
        <v>1466</v>
      </c>
      <c r="D185" s="48" t="b">
        <f>COUNTIF('Active Employees'!B:B, B185) &gt; 0</f>
        <v>1</v>
      </c>
      <c r="E185" s="48">
        <v>44726.0</v>
      </c>
      <c r="F185" s="48">
        <v>45903.0</v>
      </c>
      <c r="G185" s="47" t="s">
        <v>3110</v>
      </c>
    </row>
    <row r="186">
      <c r="A186" s="47" t="s">
        <v>3111</v>
      </c>
      <c r="B186" s="47" t="s">
        <v>1046</v>
      </c>
      <c r="C186" s="47" t="s">
        <v>1466</v>
      </c>
      <c r="D186" s="48" t="b">
        <f>COUNTIF('Active Employees'!B:B, B186) &gt; 0</f>
        <v>1</v>
      </c>
      <c r="E186" s="48">
        <v>45525.0</v>
      </c>
      <c r="F186" s="48">
        <v>45903.0</v>
      </c>
      <c r="G186" s="47" t="s">
        <v>2957</v>
      </c>
    </row>
    <row r="187">
      <c r="A187" s="47" t="s">
        <v>3112</v>
      </c>
      <c r="B187" s="47" t="s">
        <v>1405</v>
      </c>
      <c r="C187" s="47" t="s">
        <v>1466</v>
      </c>
      <c r="D187" s="48" t="b">
        <f>COUNTIF('Active Employees'!B:B, B187) &gt; 0</f>
        <v>1</v>
      </c>
      <c r="E187" s="48">
        <v>45904.0</v>
      </c>
      <c r="F187" s="48">
        <v>45904.0</v>
      </c>
      <c r="G187" s="47" t="s">
        <v>2957</v>
      </c>
    </row>
    <row r="188">
      <c r="A188" s="47" t="s">
        <v>160</v>
      </c>
      <c r="B188" s="47" t="s">
        <v>529</v>
      </c>
      <c r="C188" s="47" t="s">
        <v>1466</v>
      </c>
      <c r="D188" s="48" t="b">
        <f>COUNTIF('Active Employees'!B:B, B188) &gt; 0</f>
        <v>1</v>
      </c>
      <c r="E188" s="48">
        <v>44739.0</v>
      </c>
      <c r="F188" s="48">
        <v>45904.0</v>
      </c>
      <c r="G188" s="47" t="s">
        <v>3113</v>
      </c>
    </row>
    <row r="189">
      <c r="A189" s="47" t="s">
        <v>1859</v>
      </c>
      <c r="B189" s="47" t="s">
        <v>332</v>
      </c>
      <c r="C189" s="47" t="s">
        <v>1466</v>
      </c>
      <c r="D189" s="48" t="b">
        <f>COUNTIF('Active Employees'!B:B, B189) &gt; 0</f>
        <v>1</v>
      </c>
      <c r="E189" s="48">
        <v>44224.0</v>
      </c>
      <c r="F189" s="48">
        <v>45904.0</v>
      </c>
      <c r="G189" s="47" t="s">
        <v>2962</v>
      </c>
    </row>
    <row r="190">
      <c r="A190" s="47" t="s">
        <v>137</v>
      </c>
      <c r="B190" s="47" t="s">
        <v>158</v>
      </c>
      <c r="C190" s="47" t="s">
        <v>1466</v>
      </c>
      <c r="D190" s="48" t="b">
        <f>COUNTIF('Active Employees'!B:B, B190) &gt; 0</f>
        <v>1</v>
      </c>
      <c r="E190" s="48">
        <v>42063.0</v>
      </c>
      <c r="F190" s="48">
        <v>45904.0</v>
      </c>
      <c r="G190" s="47" t="s">
        <v>3114</v>
      </c>
    </row>
    <row r="191">
      <c r="A191" s="47" t="s">
        <v>3115</v>
      </c>
      <c r="B191" s="47" t="s">
        <v>3116</v>
      </c>
      <c r="C191" s="47" t="s">
        <v>1466</v>
      </c>
      <c r="D191" s="48" t="b">
        <f>COUNTIF('Active Employees'!B:B, B191) &gt; 0</f>
        <v>0</v>
      </c>
      <c r="E191" s="48">
        <v>45201.0</v>
      </c>
      <c r="F191" s="48">
        <v>45904.0</v>
      </c>
      <c r="G191" s="47" t="s">
        <v>2957</v>
      </c>
    </row>
    <row r="192">
      <c r="A192" s="47" t="s">
        <v>1875</v>
      </c>
      <c r="B192" s="47" t="s">
        <v>1052</v>
      </c>
      <c r="C192" s="47" t="s">
        <v>1466</v>
      </c>
      <c r="D192" s="48" t="b">
        <f>COUNTIF('Active Employees'!B:B, B192) &gt; 0</f>
        <v>1</v>
      </c>
      <c r="E192" s="48">
        <v>44201.0</v>
      </c>
      <c r="F192" s="48">
        <v>45904.0</v>
      </c>
      <c r="G192" s="47" t="s">
        <v>2962</v>
      </c>
    </row>
    <row r="193">
      <c r="A193" s="47" t="s">
        <v>3117</v>
      </c>
      <c r="B193" s="47" t="s">
        <v>106</v>
      </c>
      <c r="C193" s="47" t="s">
        <v>1466</v>
      </c>
      <c r="D193" s="48" t="b">
        <f>COUNTIF('Active Employees'!B:B, B193) &gt; 0</f>
        <v>1</v>
      </c>
      <c r="E193" s="48">
        <v>44375.0</v>
      </c>
      <c r="F193" s="48">
        <v>45904.0</v>
      </c>
      <c r="G193" s="47" t="s">
        <v>2962</v>
      </c>
    </row>
    <row r="194">
      <c r="A194" s="47" t="s">
        <v>3118</v>
      </c>
      <c r="B194" s="47" t="s">
        <v>285</v>
      </c>
      <c r="C194" s="47" t="s">
        <v>1466</v>
      </c>
      <c r="D194" s="48" t="b">
        <f>COUNTIF('Active Employees'!B:B, B194) &gt; 0</f>
        <v>1</v>
      </c>
      <c r="E194" s="48">
        <v>45349.0</v>
      </c>
      <c r="F194" s="48">
        <v>45905.0</v>
      </c>
      <c r="G194" s="47" t="s">
        <v>2962</v>
      </c>
    </row>
    <row r="195">
      <c r="A195" s="47" t="s">
        <v>265</v>
      </c>
      <c r="B195" s="47" t="s">
        <v>934</v>
      </c>
      <c r="C195" s="47" t="s">
        <v>1466</v>
      </c>
      <c r="D195" s="48" t="b">
        <f>COUNTIF('Active Employees'!B:B, B195) &gt; 0</f>
        <v>1</v>
      </c>
      <c r="E195" s="48">
        <v>44817.0</v>
      </c>
      <c r="F195" s="48">
        <v>45905.0</v>
      </c>
      <c r="G195" s="47" t="s">
        <v>2957</v>
      </c>
    </row>
    <row r="196">
      <c r="A196" s="47" t="s">
        <v>3119</v>
      </c>
      <c r="B196" s="47" t="s">
        <v>659</v>
      </c>
      <c r="C196" s="47" t="s">
        <v>1466</v>
      </c>
      <c r="D196" s="48" t="b">
        <f>COUNTIF('Active Employees'!B:B, B196) &gt; 0</f>
        <v>1</v>
      </c>
      <c r="E196" s="48">
        <v>45908.0</v>
      </c>
      <c r="F196" s="48">
        <v>45908.0</v>
      </c>
      <c r="G196" s="47" t="s">
        <v>2957</v>
      </c>
    </row>
    <row r="197">
      <c r="A197" s="47" t="s">
        <v>3120</v>
      </c>
      <c r="B197" s="47" t="s">
        <v>1388</v>
      </c>
      <c r="C197" s="47" t="s">
        <v>1466</v>
      </c>
      <c r="D197" s="48" t="b">
        <f>COUNTIF('Active Employees'!B:B, B197) &gt; 0</f>
        <v>1</v>
      </c>
      <c r="E197" s="48">
        <v>45879.0</v>
      </c>
      <c r="F197" s="48">
        <v>45909.0</v>
      </c>
      <c r="G197" s="47" t="s">
        <v>2957</v>
      </c>
    </row>
    <row r="198">
      <c r="A198" s="47" t="s">
        <v>3121</v>
      </c>
      <c r="B198" s="47" t="s">
        <v>1357</v>
      </c>
      <c r="C198" s="47" t="s">
        <v>1466</v>
      </c>
      <c r="D198" s="48" t="b">
        <f>COUNTIF('Active Employees'!B:B, B198) &gt; 0</f>
        <v>1</v>
      </c>
      <c r="E198" s="48">
        <v>44719.0</v>
      </c>
      <c r="F198" s="48">
        <v>45909.0</v>
      </c>
      <c r="G198" s="47" t="s">
        <v>3019</v>
      </c>
    </row>
    <row r="199">
      <c r="A199" s="47" t="s">
        <v>1906</v>
      </c>
      <c r="B199" s="47" t="s">
        <v>869</v>
      </c>
      <c r="C199" s="47" t="s">
        <v>1466</v>
      </c>
      <c r="D199" s="48" t="b">
        <f>COUNTIF('Active Employees'!B:B, B199) &gt; 0</f>
        <v>1</v>
      </c>
      <c r="E199" s="48">
        <v>44708.0</v>
      </c>
      <c r="F199" s="48">
        <v>45909.0</v>
      </c>
      <c r="G199" s="47" t="s">
        <v>2962</v>
      </c>
    </row>
    <row r="200">
      <c r="A200" s="47" t="s">
        <v>3122</v>
      </c>
      <c r="B200" s="47" t="s">
        <v>1062</v>
      </c>
      <c r="C200" s="47" t="s">
        <v>1466</v>
      </c>
      <c r="D200" s="48" t="b">
        <f>COUNTIF('Active Employees'!B:B, B200) &gt; 0</f>
        <v>1</v>
      </c>
      <c r="E200" s="48">
        <v>45197.0</v>
      </c>
      <c r="F200" s="48">
        <v>45909.0</v>
      </c>
      <c r="G200" s="47" t="s">
        <v>3123</v>
      </c>
    </row>
    <row r="201">
      <c r="A201" s="47" t="s">
        <v>458</v>
      </c>
      <c r="B201" s="47" t="s">
        <v>293</v>
      </c>
      <c r="C201" s="47" t="s">
        <v>1466</v>
      </c>
      <c r="D201" s="48" t="b">
        <f>COUNTIF('Active Employees'!B:B, B201) &gt; 0</f>
        <v>1</v>
      </c>
      <c r="E201" s="48">
        <v>45131.0</v>
      </c>
      <c r="F201" s="48">
        <v>45909.0</v>
      </c>
      <c r="G201" s="47" t="s">
        <v>2962</v>
      </c>
    </row>
    <row r="202">
      <c r="A202" s="47" t="s">
        <v>3124</v>
      </c>
      <c r="B202" s="47" t="s">
        <v>432</v>
      </c>
      <c r="C202" s="47" t="s">
        <v>1466</v>
      </c>
      <c r="D202" s="48" t="b">
        <f>COUNTIF('Active Employees'!B:B, B202) &gt; 0</f>
        <v>1</v>
      </c>
      <c r="E202" s="48">
        <v>45056.0</v>
      </c>
      <c r="F202" s="48">
        <v>45910.0</v>
      </c>
      <c r="G202" s="47" t="s">
        <v>2957</v>
      </c>
    </row>
    <row r="203">
      <c r="A203" s="47" t="s">
        <v>3125</v>
      </c>
      <c r="B203" s="47" t="s">
        <v>366</v>
      </c>
      <c r="C203" s="47" t="s">
        <v>1466</v>
      </c>
      <c r="D203" s="48" t="b">
        <f>COUNTIF('Active Employees'!B:B, B203) &gt; 0</f>
        <v>1</v>
      </c>
      <c r="E203" s="48">
        <v>45282.0</v>
      </c>
      <c r="F203" s="48">
        <v>45910.0</v>
      </c>
      <c r="G203" s="47" t="s">
        <v>3126</v>
      </c>
    </row>
    <row r="204">
      <c r="A204" s="47" t="s">
        <v>3127</v>
      </c>
      <c r="B204" s="47" t="s">
        <v>306</v>
      </c>
      <c r="C204" s="47" t="s">
        <v>1466</v>
      </c>
      <c r="D204" s="48" t="b">
        <f>COUNTIF('Active Employees'!B:B, B204) &gt; 0</f>
        <v>1</v>
      </c>
      <c r="E204" s="48">
        <v>44672.0</v>
      </c>
      <c r="F204" s="48">
        <v>45910.0</v>
      </c>
      <c r="G204" s="47" t="s">
        <v>2962</v>
      </c>
    </row>
    <row r="205">
      <c r="A205" s="47" t="s">
        <v>3128</v>
      </c>
      <c r="B205" s="47" t="s">
        <v>615</v>
      </c>
      <c r="C205" s="47" t="s">
        <v>1466</v>
      </c>
      <c r="D205" s="48" t="b">
        <f>COUNTIF('Active Employees'!B:B, B205) &gt; 0</f>
        <v>1</v>
      </c>
      <c r="E205" s="48">
        <v>45742.0</v>
      </c>
      <c r="F205" s="48">
        <v>45910.0</v>
      </c>
      <c r="G205" s="47" t="s">
        <v>3031</v>
      </c>
    </row>
    <row r="206">
      <c r="A206" s="47" t="s">
        <v>3129</v>
      </c>
      <c r="B206" s="47" t="s">
        <v>390</v>
      </c>
      <c r="C206" s="47" t="s">
        <v>1466</v>
      </c>
      <c r="D206" s="48" t="b">
        <f>COUNTIF('Active Employees'!B:B, B206) &gt; 0</f>
        <v>1</v>
      </c>
      <c r="E206" s="48">
        <v>44657.0</v>
      </c>
      <c r="F206" s="48">
        <v>45910.0</v>
      </c>
      <c r="G206" s="47" t="s">
        <v>2962</v>
      </c>
    </row>
    <row r="207">
      <c r="A207" s="47" t="s">
        <v>282</v>
      </c>
      <c r="B207" s="47" t="s">
        <v>1159</v>
      </c>
      <c r="C207" s="47" t="s">
        <v>1466</v>
      </c>
      <c r="D207" s="48" t="b">
        <f>COUNTIF('Active Employees'!B:B, B207) &gt; 0</f>
        <v>1</v>
      </c>
      <c r="E207" s="48">
        <v>45105.0</v>
      </c>
      <c r="F207" s="48">
        <v>45910.0</v>
      </c>
      <c r="G207" s="47" t="s">
        <v>2962</v>
      </c>
    </row>
    <row r="208">
      <c r="A208" s="47" t="s">
        <v>3130</v>
      </c>
      <c r="B208" s="47" t="s">
        <v>1022</v>
      </c>
      <c r="C208" s="47" t="s">
        <v>1466</v>
      </c>
      <c r="D208" s="48" t="b">
        <f>COUNTIF('Active Employees'!B:B, B208) &gt; 0</f>
        <v>1</v>
      </c>
      <c r="E208" s="48">
        <v>44682.0</v>
      </c>
      <c r="F208" s="48">
        <v>45911.0</v>
      </c>
      <c r="G208" s="47" t="s">
        <v>2957</v>
      </c>
    </row>
    <row r="209">
      <c r="A209" s="47" t="s">
        <v>3131</v>
      </c>
      <c r="B209" s="47" t="s">
        <v>1395</v>
      </c>
      <c r="C209" s="47" t="s">
        <v>1466</v>
      </c>
      <c r="D209" s="48" t="b">
        <f>COUNTIF('Active Employees'!B:B, B209) &gt; 0</f>
        <v>1</v>
      </c>
      <c r="E209" s="48">
        <v>44931.0</v>
      </c>
      <c r="F209" s="48">
        <v>45911.0</v>
      </c>
      <c r="G209" s="47" t="s">
        <v>2957</v>
      </c>
    </row>
    <row r="210">
      <c r="A210" s="47" t="s">
        <v>3132</v>
      </c>
      <c r="B210" s="47" t="s">
        <v>671</v>
      </c>
      <c r="C210" s="47" t="s">
        <v>1466</v>
      </c>
      <c r="D210" s="48" t="b">
        <f>COUNTIF('Active Employees'!B:B, B210) &gt; 0</f>
        <v>1</v>
      </c>
      <c r="E210" s="48">
        <v>44484.0</v>
      </c>
      <c r="F210" s="48">
        <v>45911.0</v>
      </c>
      <c r="G210" s="47" t="s">
        <v>2997</v>
      </c>
    </row>
    <row r="211">
      <c r="A211" s="47" t="s">
        <v>3133</v>
      </c>
      <c r="B211" s="47" t="s">
        <v>3134</v>
      </c>
      <c r="C211" s="47" t="s">
        <v>1466</v>
      </c>
      <c r="D211" s="48" t="b">
        <f>COUNTIF('Active Employees'!B:B, B211) &gt; 0</f>
        <v>0</v>
      </c>
      <c r="E211" s="48">
        <v>45600.0</v>
      </c>
      <c r="F211" s="48">
        <v>45911.0</v>
      </c>
      <c r="G211" s="47" t="s">
        <v>3135</v>
      </c>
    </row>
    <row r="212">
      <c r="A212" s="47" t="s">
        <v>75</v>
      </c>
      <c r="B212" s="47" t="s">
        <v>343</v>
      </c>
      <c r="C212" s="47" t="s">
        <v>1466</v>
      </c>
      <c r="D212" s="48" t="b">
        <f>COUNTIF('Active Employees'!B:B, B212) &gt; 0</f>
        <v>1</v>
      </c>
      <c r="E212" s="48">
        <v>45721.0</v>
      </c>
      <c r="F212" s="48">
        <v>45911.0</v>
      </c>
      <c r="G212" s="47" t="s">
        <v>2957</v>
      </c>
    </row>
    <row r="213">
      <c r="A213" s="47" t="s">
        <v>29</v>
      </c>
      <c r="B213" s="47" t="s">
        <v>1086</v>
      </c>
      <c r="C213" s="47" t="s">
        <v>1466</v>
      </c>
      <c r="D213" s="48" t="b">
        <f>COUNTIF('Active Employees'!B:B, B213) &gt; 0</f>
        <v>1</v>
      </c>
      <c r="E213" s="48">
        <v>44959.0</v>
      </c>
      <c r="F213" s="48">
        <v>45911.0</v>
      </c>
      <c r="G213" s="47" t="s">
        <v>2962</v>
      </c>
    </row>
    <row r="214">
      <c r="A214" s="47" t="s">
        <v>3136</v>
      </c>
      <c r="B214" s="47" t="s">
        <v>753</v>
      </c>
      <c r="C214" s="47" t="s">
        <v>1466</v>
      </c>
      <c r="D214" s="48" t="b">
        <f>COUNTIF('Active Employees'!B:B, B214) &gt; 0</f>
        <v>1</v>
      </c>
      <c r="E214" s="48">
        <v>44643.0</v>
      </c>
      <c r="F214" s="48">
        <v>45911.0</v>
      </c>
      <c r="G214" s="47" t="s">
        <v>3137</v>
      </c>
    </row>
    <row r="215">
      <c r="A215" s="47" t="s">
        <v>3138</v>
      </c>
      <c r="B215" s="47" t="s">
        <v>1123</v>
      </c>
      <c r="C215" s="47" t="s">
        <v>1466</v>
      </c>
      <c r="D215" s="48" t="b">
        <f>COUNTIF('Active Employees'!B:B, B215) &gt; 0</f>
        <v>1</v>
      </c>
      <c r="E215" s="48">
        <v>45819.0</v>
      </c>
      <c r="F215" s="48">
        <v>45911.0</v>
      </c>
      <c r="G215" s="47" t="s">
        <v>2957</v>
      </c>
    </row>
    <row r="216">
      <c r="A216" s="47" t="s">
        <v>562</v>
      </c>
      <c r="B216" s="47" t="s">
        <v>811</v>
      </c>
      <c r="C216" s="47" t="s">
        <v>1466</v>
      </c>
      <c r="D216" s="48" t="b">
        <f>COUNTIF('Active Employees'!B:B, B216) &gt; 0</f>
        <v>1</v>
      </c>
      <c r="E216" s="48">
        <v>43601.0</v>
      </c>
      <c r="F216" s="48">
        <v>45911.0</v>
      </c>
      <c r="G216" s="47" t="s">
        <v>2962</v>
      </c>
    </row>
    <row r="217">
      <c r="A217" s="47" t="s">
        <v>15</v>
      </c>
      <c r="B217" s="47" t="s">
        <v>1006</v>
      </c>
      <c r="C217" s="47" t="s">
        <v>1466</v>
      </c>
      <c r="D217" s="48" t="b">
        <f>COUNTIF('Active Employees'!B:B, B217) &gt; 0</f>
        <v>1</v>
      </c>
      <c r="E217" s="48">
        <v>45912.0</v>
      </c>
      <c r="F217" s="48">
        <v>45912.0</v>
      </c>
      <c r="G217" s="47" t="s">
        <v>3139</v>
      </c>
    </row>
    <row r="218">
      <c r="A218" s="47" t="s">
        <v>3140</v>
      </c>
      <c r="B218" s="47" t="s">
        <v>122</v>
      </c>
      <c r="C218" s="47" t="s">
        <v>1466</v>
      </c>
      <c r="D218" s="48" t="b">
        <f>COUNTIF('Active Employees'!B:B, B218) &gt; 0</f>
        <v>1</v>
      </c>
      <c r="E218" s="48">
        <v>45048.0</v>
      </c>
      <c r="F218" s="48">
        <v>45912.0</v>
      </c>
      <c r="G218" s="47" t="s">
        <v>2957</v>
      </c>
    </row>
    <row r="219">
      <c r="A219" s="47" t="s">
        <v>3141</v>
      </c>
      <c r="B219" s="47" t="s">
        <v>1105</v>
      </c>
      <c r="C219" s="47" t="s">
        <v>1466</v>
      </c>
      <c r="D219" s="48" t="b">
        <f>COUNTIF('Active Employees'!B:B, B219) &gt; 0</f>
        <v>1</v>
      </c>
      <c r="E219" s="48">
        <v>45913.0</v>
      </c>
      <c r="F219" s="48">
        <v>45913.0</v>
      </c>
      <c r="G219" s="47" t="s">
        <v>2957</v>
      </c>
    </row>
    <row r="220">
      <c r="A220" s="47" t="s">
        <v>429</v>
      </c>
      <c r="B220" s="47" t="s">
        <v>794</v>
      </c>
      <c r="C220" s="47" t="s">
        <v>1466</v>
      </c>
      <c r="D220" s="48" t="b">
        <f>COUNTIF('Active Employees'!B:B, B220) &gt; 0</f>
        <v>1</v>
      </c>
      <c r="E220" s="48">
        <v>45212.0</v>
      </c>
      <c r="F220" s="48">
        <v>45913.0</v>
      </c>
      <c r="G220" s="47" t="s">
        <v>3142</v>
      </c>
    </row>
    <row r="221">
      <c r="A221" s="47" t="s">
        <v>3143</v>
      </c>
      <c r="B221" s="47" t="s">
        <v>517</v>
      </c>
      <c r="C221" s="47" t="s">
        <v>1466</v>
      </c>
      <c r="D221" s="48" t="b">
        <f>COUNTIF('Active Employees'!B:B, B221) &gt; 0</f>
        <v>1</v>
      </c>
      <c r="E221" s="48">
        <v>45098.0</v>
      </c>
      <c r="F221" s="48">
        <v>45915.0</v>
      </c>
      <c r="G221" s="47" t="s">
        <v>2957</v>
      </c>
    </row>
    <row r="222">
      <c r="A222" s="47" t="s">
        <v>69</v>
      </c>
      <c r="B222" s="47" t="s">
        <v>690</v>
      </c>
      <c r="C222" s="47" t="s">
        <v>1466</v>
      </c>
      <c r="D222" s="48" t="b">
        <f>COUNTIF('Active Employees'!B:B, B222) &gt; 0</f>
        <v>1</v>
      </c>
      <c r="E222" s="48">
        <v>45330.0</v>
      </c>
      <c r="F222" s="48">
        <v>45915.0</v>
      </c>
      <c r="G222" s="47" t="s">
        <v>2957</v>
      </c>
    </row>
    <row r="223">
      <c r="A223" s="47" t="s">
        <v>720</v>
      </c>
      <c r="B223" s="47" t="s">
        <v>760</v>
      </c>
      <c r="C223" s="47" t="s">
        <v>1466</v>
      </c>
      <c r="D223" s="48" t="b">
        <f>COUNTIF('Active Employees'!B:B, B223) &gt; 0</f>
        <v>1</v>
      </c>
      <c r="E223" s="48">
        <v>45849.0</v>
      </c>
      <c r="F223" s="48">
        <v>45915.0</v>
      </c>
      <c r="G223" s="47" t="s">
        <v>2957</v>
      </c>
    </row>
    <row r="224">
      <c r="A224" s="47" t="s">
        <v>3144</v>
      </c>
      <c r="B224" s="47" t="s">
        <v>1437</v>
      </c>
      <c r="C224" s="47" t="s">
        <v>1466</v>
      </c>
      <c r="D224" s="48" t="b">
        <f>COUNTIF('Active Employees'!B:B, B224) &gt; 0</f>
        <v>1</v>
      </c>
      <c r="E224" s="48">
        <v>44586.0</v>
      </c>
      <c r="F224" s="48">
        <v>45915.0</v>
      </c>
      <c r="G224" s="47" t="s">
        <v>2957</v>
      </c>
    </row>
    <row r="225">
      <c r="A225" s="47" t="s">
        <v>3145</v>
      </c>
      <c r="B225" s="47" t="s">
        <v>25</v>
      </c>
      <c r="C225" s="47" t="s">
        <v>1466</v>
      </c>
      <c r="D225" s="48" t="b">
        <f>COUNTIF('Active Employees'!B:B, B225) &gt; 0</f>
        <v>1</v>
      </c>
      <c r="E225" s="48">
        <v>43959.0</v>
      </c>
      <c r="F225" s="48">
        <v>45915.0</v>
      </c>
      <c r="G225" s="47" t="s">
        <v>2962</v>
      </c>
    </row>
    <row r="226">
      <c r="A226" s="47" t="s">
        <v>637</v>
      </c>
      <c r="B226" s="47" t="s">
        <v>378</v>
      </c>
      <c r="C226" s="47" t="s">
        <v>1466</v>
      </c>
      <c r="D226" s="48" t="b">
        <f>COUNTIF('Active Employees'!B:B, B226) &gt; 0</f>
        <v>1</v>
      </c>
      <c r="E226" s="48">
        <v>45407.0</v>
      </c>
      <c r="F226" s="48">
        <v>45915.0</v>
      </c>
      <c r="G226" s="47" t="s">
        <v>2962</v>
      </c>
    </row>
    <row r="227">
      <c r="A227" s="47" t="s">
        <v>519</v>
      </c>
      <c r="B227" s="47" t="s">
        <v>973</v>
      </c>
      <c r="C227" s="47" t="s">
        <v>1466</v>
      </c>
      <c r="D227" s="48" t="b">
        <f>COUNTIF('Active Employees'!B:B, B227) &gt; 0</f>
        <v>1</v>
      </c>
      <c r="E227" s="48">
        <v>45800.0</v>
      </c>
      <c r="F227" s="48">
        <v>45915.0</v>
      </c>
      <c r="G227" s="47" t="s">
        <v>3146</v>
      </c>
    </row>
    <row r="228">
      <c r="A228" s="47" t="s">
        <v>3147</v>
      </c>
      <c r="B228" s="47" t="s">
        <v>877</v>
      </c>
      <c r="C228" s="47" t="s">
        <v>1466</v>
      </c>
      <c r="D228" s="48" t="b">
        <f>COUNTIF('Active Employees'!B:B, B228) &gt; 0</f>
        <v>1</v>
      </c>
      <c r="E228" s="48">
        <v>45915.0</v>
      </c>
      <c r="F228" s="48">
        <v>45915.0</v>
      </c>
      <c r="G228" s="47" t="s">
        <v>2957</v>
      </c>
    </row>
    <row r="229">
      <c r="A229" s="47" t="s">
        <v>399</v>
      </c>
      <c r="B229" s="47" t="s">
        <v>1148</v>
      </c>
      <c r="C229" s="47" t="s">
        <v>1466</v>
      </c>
      <c r="D229" s="48" t="b">
        <f>COUNTIF('Active Employees'!B:B, B229) &gt; 0</f>
        <v>1</v>
      </c>
      <c r="E229" s="48">
        <v>45189.0</v>
      </c>
      <c r="F229" s="48">
        <v>45916.0</v>
      </c>
      <c r="G229" s="47" t="s">
        <v>3148</v>
      </c>
    </row>
    <row r="230">
      <c r="A230" s="47" t="s">
        <v>3149</v>
      </c>
      <c r="B230" s="47" t="s">
        <v>542</v>
      </c>
      <c r="C230" s="47" t="s">
        <v>1466</v>
      </c>
      <c r="D230" s="48" t="b">
        <f>COUNTIF('Active Employees'!B:B, B230) &gt; 0</f>
        <v>1</v>
      </c>
      <c r="E230" s="48">
        <v>44993.0</v>
      </c>
      <c r="F230" s="48">
        <v>45916.0</v>
      </c>
      <c r="G230" s="47" t="s">
        <v>2957</v>
      </c>
    </row>
    <row r="231">
      <c r="A231" s="47" t="s">
        <v>3150</v>
      </c>
      <c r="B231" s="47" t="s">
        <v>947</v>
      </c>
      <c r="C231" s="47" t="s">
        <v>1466</v>
      </c>
      <c r="D231" s="48" t="b">
        <f>COUNTIF('Active Employees'!B:B, B231) &gt; 0</f>
        <v>1</v>
      </c>
      <c r="E231" s="48">
        <v>45825.0</v>
      </c>
      <c r="F231" s="48">
        <v>45916.0</v>
      </c>
      <c r="G231" s="47" t="s">
        <v>2957</v>
      </c>
    </row>
    <row r="232">
      <c r="A232" s="47" t="s">
        <v>3151</v>
      </c>
      <c r="B232" s="47" t="s">
        <v>1000</v>
      </c>
      <c r="C232" s="47" t="s">
        <v>1466</v>
      </c>
      <c r="D232" s="48" t="b">
        <f>COUNTIF('Active Employees'!B:B, B232) &gt; 0</f>
        <v>1</v>
      </c>
      <c r="E232" s="48">
        <v>45390.0</v>
      </c>
      <c r="F232" s="48">
        <v>45916.0</v>
      </c>
      <c r="G232" s="47" t="s">
        <v>2962</v>
      </c>
    </row>
    <row r="233">
      <c r="A233" s="47" t="s">
        <v>3152</v>
      </c>
      <c r="B233" s="47" t="s">
        <v>346</v>
      </c>
      <c r="C233" s="47" t="s">
        <v>1466</v>
      </c>
      <c r="D233" s="48" t="b">
        <f>COUNTIF('Active Employees'!B:B, B233) &gt; 0</f>
        <v>1</v>
      </c>
      <c r="E233" s="48">
        <v>45273.0</v>
      </c>
      <c r="F233" s="48">
        <v>45916.0</v>
      </c>
      <c r="G233" s="47" t="s">
        <v>2957</v>
      </c>
    </row>
    <row r="234">
      <c r="A234" s="47" t="s">
        <v>327</v>
      </c>
      <c r="B234" s="47" t="s">
        <v>1136</v>
      </c>
      <c r="C234" s="47" t="s">
        <v>1466</v>
      </c>
      <c r="D234" s="48" t="b">
        <f>COUNTIF('Active Employees'!B:B, B234) &gt; 0</f>
        <v>1</v>
      </c>
      <c r="E234" s="48">
        <v>45414.0</v>
      </c>
      <c r="F234" s="48">
        <v>45916.0</v>
      </c>
      <c r="G234" s="47" t="s">
        <v>2957</v>
      </c>
    </row>
    <row r="235">
      <c r="A235" s="47" t="s">
        <v>3153</v>
      </c>
      <c r="B235" s="47" t="s">
        <v>1410</v>
      </c>
      <c r="C235" s="47" t="s">
        <v>1466</v>
      </c>
      <c r="D235" s="48" t="b">
        <f>COUNTIF('Active Employees'!B:B, B235) &gt; 0</f>
        <v>1</v>
      </c>
      <c r="E235" s="48">
        <v>44980.0</v>
      </c>
      <c r="F235" s="48">
        <v>45916.0</v>
      </c>
      <c r="G235" s="47" t="s">
        <v>2957</v>
      </c>
    </row>
    <row r="236">
      <c r="A236" s="47" t="s">
        <v>3154</v>
      </c>
      <c r="B236" s="47" t="s">
        <v>446</v>
      </c>
      <c r="C236" s="47" t="s">
        <v>1466</v>
      </c>
      <c r="D236" s="48" t="b">
        <f>COUNTIF('Active Employees'!B:B, B236) &gt; 0</f>
        <v>1</v>
      </c>
      <c r="E236" s="48">
        <v>44573.0</v>
      </c>
      <c r="F236" s="48">
        <v>45916.0</v>
      </c>
      <c r="G236" s="47" t="s">
        <v>3004</v>
      </c>
    </row>
    <row r="237">
      <c r="A237" s="47" t="s">
        <v>3155</v>
      </c>
      <c r="B237" s="47" t="s">
        <v>3156</v>
      </c>
      <c r="C237" s="47" t="s">
        <v>1466</v>
      </c>
      <c r="D237" s="48" t="b">
        <f>COUNTIF('Active Employees'!B:B, B237) &gt; 0</f>
        <v>0</v>
      </c>
      <c r="E237" s="48">
        <v>44652.0</v>
      </c>
      <c r="F237" s="48">
        <v>45916.0</v>
      </c>
      <c r="G237" s="47" t="s">
        <v>2957</v>
      </c>
    </row>
    <row r="238">
      <c r="A238" s="47" t="s">
        <v>63</v>
      </c>
      <c r="B238" s="47" t="s">
        <v>421</v>
      </c>
      <c r="C238" s="47" t="s">
        <v>1466</v>
      </c>
      <c r="D238" s="48" t="b">
        <f>COUNTIF('Active Employees'!B:B, B238) &gt; 0</f>
        <v>1</v>
      </c>
      <c r="E238" s="48">
        <v>43221.0</v>
      </c>
      <c r="F238" s="48">
        <v>45917.0</v>
      </c>
      <c r="G238" s="47" t="s">
        <v>3157</v>
      </c>
    </row>
    <row r="239">
      <c r="A239" s="47" t="s">
        <v>3158</v>
      </c>
      <c r="B239" s="47" t="s">
        <v>227</v>
      </c>
      <c r="C239" s="47" t="s">
        <v>1466</v>
      </c>
      <c r="D239" s="48" t="b">
        <f>COUNTIF('Active Employees'!B:B, B239) &gt; 0</f>
        <v>1</v>
      </c>
      <c r="E239" s="48">
        <v>45139.0</v>
      </c>
      <c r="F239" s="48">
        <v>45917.0</v>
      </c>
      <c r="G239" s="47" t="s">
        <v>3004</v>
      </c>
    </row>
    <row r="240">
      <c r="A240" s="47" t="s">
        <v>3159</v>
      </c>
      <c r="B240" s="47" t="s">
        <v>440</v>
      </c>
      <c r="C240" s="47" t="s">
        <v>1466</v>
      </c>
      <c r="D240" s="48" t="b">
        <f>COUNTIF('Active Employees'!B:B, B240) &gt; 0</f>
        <v>1</v>
      </c>
      <c r="E240" s="48">
        <v>44930.0</v>
      </c>
      <c r="F240" s="48">
        <v>45917.0</v>
      </c>
      <c r="G240" s="47" t="s">
        <v>2957</v>
      </c>
    </row>
    <row r="241">
      <c r="A241" s="47" t="s">
        <v>3160</v>
      </c>
      <c r="B241" s="47" t="s">
        <v>66</v>
      </c>
      <c r="C241" s="47" t="s">
        <v>1466</v>
      </c>
      <c r="D241" s="48" t="b">
        <f>COUNTIF('Active Employees'!B:B, B241) &gt; 0</f>
        <v>1</v>
      </c>
      <c r="E241" s="48">
        <v>45505.0</v>
      </c>
      <c r="F241" s="48">
        <v>45917.0</v>
      </c>
      <c r="G241" s="47" t="s">
        <v>2957</v>
      </c>
    </row>
    <row r="242">
      <c r="A242" s="47" t="s">
        <v>3161</v>
      </c>
      <c r="B242" s="47" t="s">
        <v>1130</v>
      </c>
      <c r="C242" s="47" t="s">
        <v>1466</v>
      </c>
      <c r="D242" s="48" t="b">
        <f>COUNTIF('Active Employees'!B:B, B242) &gt; 0</f>
        <v>1</v>
      </c>
      <c r="E242" s="48">
        <v>45299.0</v>
      </c>
      <c r="F242" s="48">
        <v>45917.0</v>
      </c>
      <c r="G242" s="47" t="s">
        <v>2957</v>
      </c>
    </row>
    <row r="243">
      <c r="A243" s="47" t="s">
        <v>3162</v>
      </c>
      <c r="B243" s="47" t="s">
        <v>932</v>
      </c>
      <c r="C243" s="47" t="s">
        <v>1466</v>
      </c>
      <c r="D243" s="48" t="b">
        <f>COUNTIF('Active Employees'!B:B, B243) &gt; 0</f>
        <v>1</v>
      </c>
      <c r="E243" s="48">
        <v>45609.0</v>
      </c>
      <c r="F243" s="48">
        <v>45917.0</v>
      </c>
      <c r="G243" s="47" t="s">
        <v>2947</v>
      </c>
    </row>
    <row r="244">
      <c r="A244" s="47" t="s">
        <v>1187</v>
      </c>
      <c r="B244" s="47" t="s">
        <v>247</v>
      </c>
      <c r="C244" s="47" t="s">
        <v>1466</v>
      </c>
      <c r="D244" s="48" t="b">
        <f>COUNTIF('Active Employees'!B:B, B244) &gt; 0</f>
        <v>1</v>
      </c>
      <c r="E244" s="48">
        <v>45559.0</v>
      </c>
      <c r="F244" s="48">
        <v>45918.0</v>
      </c>
      <c r="G244" s="47" t="s">
        <v>3163</v>
      </c>
    </row>
    <row r="245">
      <c r="A245" s="47" t="s">
        <v>3164</v>
      </c>
      <c r="B245" s="47" t="s">
        <v>826</v>
      </c>
      <c r="C245" s="47" t="s">
        <v>1466</v>
      </c>
      <c r="D245" s="48" t="b">
        <f>COUNTIF('Active Employees'!B:B, B245) &gt; 0</f>
        <v>1</v>
      </c>
      <c r="E245" s="48">
        <v>45848.0</v>
      </c>
      <c r="F245" s="48">
        <v>45918.0</v>
      </c>
      <c r="G245" s="47" t="s">
        <v>2957</v>
      </c>
    </row>
    <row r="246">
      <c r="A246" s="47" t="s">
        <v>3165</v>
      </c>
      <c r="B246" s="47" t="s">
        <v>290</v>
      </c>
      <c r="C246" s="47" t="s">
        <v>1466</v>
      </c>
      <c r="D246" s="48" t="b">
        <f>COUNTIF('Active Employees'!B:B, B246) &gt; 0</f>
        <v>1</v>
      </c>
      <c r="E246" s="48">
        <v>44825.0</v>
      </c>
      <c r="F246" s="48">
        <v>45918.0</v>
      </c>
      <c r="G246" s="47" t="s">
        <v>2957</v>
      </c>
    </row>
    <row r="247">
      <c r="A247" s="47" t="s">
        <v>3166</v>
      </c>
      <c r="B247" s="47" t="s">
        <v>88</v>
      </c>
      <c r="C247" s="47" t="s">
        <v>1466</v>
      </c>
      <c r="D247" s="48" t="b">
        <f>COUNTIF('Active Employees'!B:B, B247) &gt; 0</f>
        <v>1</v>
      </c>
      <c r="E247" s="48">
        <v>45412.0</v>
      </c>
      <c r="F247" s="48">
        <v>45918.0</v>
      </c>
      <c r="G247" s="47" t="s">
        <v>2957</v>
      </c>
    </row>
    <row r="248">
      <c r="A248" s="47" t="s">
        <v>3167</v>
      </c>
      <c r="B248" s="47" t="s">
        <v>1082</v>
      </c>
      <c r="C248" s="47" t="s">
        <v>1466</v>
      </c>
      <c r="D248" s="48" t="b">
        <f>COUNTIF('Active Employees'!B:B, B248) &gt; 0</f>
        <v>1</v>
      </c>
      <c r="E248" s="48">
        <v>44657.0</v>
      </c>
      <c r="F248" s="48">
        <v>45918.0</v>
      </c>
      <c r="G248" s="47" t="s">
        <v>3009</v>
      </c>
    </row>
    <row r="249">
      <c r="A249" s="47" t="s">
        <v>178</v>
      </c>
      <c r="B249" s="47" t="s">
        <v>836</v>
      </c>
      <c r="C249" s="47" t="s">
        <v>1466</v>
      </c>
      <c r="D249" s="48" t="b">
        <f>COUNTIF('Active Employees'!B:B, B249) &gt; 0</f>
        <v>1</v>
      </c>
      <c r="E249" s="48">
        <v>44474.0</v>
      </c>
      <c r="F249" s="48">
        <v>45918.0</v>
      </c>
      <c r="G249" s="47" t="s">
        <v>3168</v>
      </c>
    </row>
    <row r="250">
      <c r="A250" s="47" t="s">
        <v>3169</v>
      </c>
      <c r="B250" s="47" t="s">
        <v>524</v>
      </c>
      <c r="C250" s="47" t="s">
        <v>1466</v>
      </c>
      <c r="D250" s="48" t="b">
        <f>COUNTIF('Active Employees'!B:B, B250) &gt; 0</f>
        <v>1</v>
      </c>
      <c r="E250" s="48">
        <v>45132.0</v>
      </c>
      <c r="F250" s="48">
        <v>45919.0</v>
      </c>
      <c r="G250" s="47" t="s">
        <v>3148</v>
      </c>
    </row>
    <row r="251">
      <c r="A251" s="47" t="s">
        <v>3170</v>
      </c>
      <c r="B251" s="47" t="s">
        <v>1266</v>
      </c>
      <c r="C251" s="47" t="s">
        <v>1466</v>
      </c>
      <c r="D251" s="48" t="b">
        <f>COUNTIF('Active Employees'!B:B, B251) &gt; 0</f>
        <v>1</v>
      </c>
      <c r="E251" s="48">
        <v>45049.0</v>
      </c>
      <c r="F251" s="48">
        <v>45919.0</v>
      </c>
      <c r="G251" s="47" t="s">
        <v>2957</v>
      </c>
    </row>
    <row r="252">
      <c r="A252" s="47" t="s">
        <v>3171</v>
      </c>
      <c r="B252" s="47" t="s">
        <v>682</v>
      </c>
      <c r="C252" s="47" t="s">
        <v>1466</v>
      </c>
      <c r="D252" s="48" t="b">
        <f>COUNTIF('Active Employees'!B:B, B252) &gt; 0</f>
        <v>1</v>
      </c>
      <c r="E252" s="48">
        <v>45919.0</v>
      </c>
      <c r="F252" s="48">
        <v>45919.0</v>
      </c>
      <c r="G252" s="47" t="s">
        <v>2957</v>
      </c>
    </row>
    <row r="253">
      <c r="A253" s="47" t="s">
        <v>3172</v>
      </c>
      <c r="B253" s="47" t="s">
        <v>3173</v>
      </c>
      <c r="C253" s="47" t="s">
        <v>1466</v>
      </c>
      <c r="D253" s="48" t="b">
        <f>COUNTIF('Active Employees'!B:B, B253) &gt; 0</f>
        <v>0</v>
      </c>
      <c r="E253" s="48">
        <v>45862.0</v>
      </c>
      <c r="F253" s="48">
        <v>45919.0</v>
      </c>
      <c r="G253" s="47" t="s">
        <v>2957</v>
      </c>
    </row>
    <row r="254">
      <c r="A254" s="47" t="s">
        <v>3174</v>
      </c>
      <c r="B254" s="47" t="s">
        <v>478</v>
      </c>
      <c r="C254" s="47" t="s">
        <v>1466</v>
      </c>
      <c r="D254" s="48" t="b">
        <f>COUNTIF('Active Employees'!B:B, B254) &gt; 0</f>
        <v>1</v>
      </c>
      <c r="E254" s="48">
        <v>45271.0</v>
      </c>
      <c r="F254" s="48">
        <v>45919.0</v>
      </c>
      <c r="G254" s="47" t="s">
        <v>2962</v>
      </c>
    </row>
    <row r="255">
      <c r="A255" s="47" t="s">
        <v>3175</v>
      </c>
      <c r="B255" s="47" t="s">
        <v>1320</v>
      </c>
      <c r="C255" s="47" t="s">
        <v>1466</v>
      </c>
      <c r="D255" s="48" t="b">
        <f>COUNTIF('Active Employees'!B:B, B255) &gt; 0</f>
        <v>1</v>
      </c>
      <c r="E255" s="48">
        <v>45867.0</v>
      </c>
      <c r="F255" s="48">
        <v>45919.0</v>
      </c>
      <c r="G255" s="47" t="s">
        <v>2957</v>
      </c>
    </row>
    <row r="256">
      <c r="A256" s="47" t="s">
        <v>133</v>
      </c>
      <c r="B256" s="47" t="s">
        <v>765</v>
      </c>
      <c r="C256" s="47" t="s">
        <v>1466</v>
      </c>
      <c r="D256" s="48" t="b">
        <f>COUNTIF('Active Employees'!B:B, B256) &gt; 0</f>
        <v>1</v>
      </c>
      <c r="E256" s="48">
        <v>45502.0</v>
      </c>
      <c r="F256" s="48">
        <v>45921.0</v>
      </c>
      <c r="G256" s="47" t="s">
        <v>3176</v>
      </c>
    </row>
    <row r="257">
      <c r="A257" s="47" t="s">
        <v>144</v>
      </c>
      <c r="B257" s="47" t="s">
        <v>1020</v>
      </c>
      <c r="C257" s="47" t="s">
        <v>1466</v>
      </c>
      <c r="D257" s="48" t="b">
        <f>COUNTIF('Active Employees'!B:B, B257) &gt; 0</f>
        <v>1</v>
      </c>
      <c r="E257" s="48">
        <v>45301.0</v>
      </c>
      <c r="F257" s="48">
        <v>45922.0</v>
      </c>
      <c r="G257" s="47" t="s">
        <v>3126</v>
      </c>
    </row>
    <row r="258">
      <c r="A258" s="47" t="s">
        <v>538</v>
      </c>
      <c r="B258" s="47" t="s">
        <v>1238</v>
      </c>
      <c r="C258" s="47" t="s">
        <v>1466</v>
      </c>
      <c r="D258" s="48" t="b">
        <f>COUNTIF('Active Employees'!B:B, B258) &gt; 0</f>
        <v>1</v>
      </c>
      <c r="E258" s="48">
        <v>44531.0</v>
      </c>
      <c r="F258" s="48">
        <v>45922.0</v>
      </c>
      <c r="G258" s="47" t="s">
        <v>2962</v>
      </c>
    </row>
    <row r="259">
      <c r="A259" s="47" t="s">
        <v>3177</v>
      </c>
      <c r="B259" s="47" t="s">
        <v>1359</v>
      </c>
      <c r="C259" s="47" t="s">
        <v>1466</v>
      </c>
      <c r="D259" s="48" t="b">
        <f>COUNTIF('Active Employees'!B:B, B259) &gt; 0</f>
        <v>1</v>
      </c>
      <c r="E259" s="48">
        <v>45448.0</v>
      </c>
      <c r="F259" s="48">
        <v>45922.0</v>
      </c>
      <c r="G259" s="47" t="s">
        <v>2957</v>
      </c>
    </row>
    <row r="260">
      <c r="A260" s="47" t="s">
        <v>336</v>
      </c>
      <c r="B260" s="47" t="s">
        <v>1431</v>
      </c>
      <c r="C260" s="47" t="s">
        <v>1466</v>
      </c>
      <c r="D260" s="48" t="b">
        <f>COUNTIF('Active Employees'!B:B, B260) &gt; 0</f>
        <v>1</v>
      </c>
      <c r="E260" s="48">
        <v>45280.0</v>
      </c>
      <c r="F260" s="48">
        <v>45922.0</v>
      </c>
      <c r="G260" s="47" t="s">
        <v>3178</v>
      </c>
    </row>
    <row r="261">
      <c r="A261" s="47" t="s">
        <v>3179</v>
      </c>
      <c r="B261" s="47" t="s">
        <v>1274</v>
      </c>
      <c r="C261" s="47" t="s">
        <v>1466</v>
      </c>
      <c r="D261" s="48" t="b">
        <f>COUNTIF('Active Employees'!B:B, B261) &gt; 0</f>
        <v>1</v>
      </c>
      <c r="E261" s="48">
        <v>45364.0</v>
      </c>
      <c r="F261" s="48">
        <v>45922.0</v>
      </c>
      <c r="G261" s="47" t="s">
        <v>2957</v>
      </c>
    </row>
    <row r="262">
      <c r="A262" s="47" t="s">
        <v>166</v>
      </c>
      <c r="B262" s="47" t="s">
        <v>784</v>
      </c>
      <c r="C262" s="47" t="s">
        <v>1466</v>
      </c>
      <c r="D262" s="48" t="b">
        <f>COUNTIF('Active Employees'!B:B, B262) &gt; 0</f>
        <v>1</v>
      </c>
      <c r="E262" s="48">
        <v>45799.0</v>
      </c>
      <c r="F262" s="48">
        <v>45922.0</v>
      </c>
      <c r="G262" s="47" t="s">
        <v>2957</v>
      </c>
    </row>
    <row r="263">
      <c r="A263" s="47" t="s">
        <v>582</v>
      </c>
      <c r="B263" s="47" t="s">
        <v>492</v>
      </c>
      <c r="C263" s="47" t="s">
        <v>1466</v>
      </c>
      <c r="D263" s="48" t="b">
        <f>COUNTIF('Active Employees'!B:B, B263) &gt; 0</f>
        <v>1</v>
      </c>
      <c r="E263" s="48">
        <v>44986.0</v>
      </c>
      <c r="F263" s="48">
        <v>45922.0</v>
      </c>
      <c r="G263" s="47" t="s">
        <v>2962</v>
      </c>
    </row>
    <row r="264">
      <c r="A264" s="47" t="s">
        <v>3180</v>
      </c>
      <c r="B264" s="47" t="s">
        <v>1128</v>
      </c>
      <c r="C264" s="47" t="s">
        <v>1466</v>
      </c>
      <c r="D264" s="48" t="b">
        <f>COUNTIF('Active Employees'!B:B, B264) &gt; 0</f>
        <v>1</v>
      </c>
      <c r="E264" s="48">
        <v>45881.0</v>
      </c>
      <c r="F264" s="48">
        <v>45922.0</v>
      </c>
      <c r="G264" s="47" t="s">
        <v>2957</v>
      </c>
    </row>
    <row r="265">
      <c r="A265" s="47" t="s">
        <v>3181</v>
      </c>
      <c r="B265" s="47" t="s">
        <v>977</v>
      </c>
      <c r="C265" s="47" t="s">
        <v>1466</v>
      </c>
      <c r="D265" s="48" t="b">
        <f>COUNTIF('Active Employees'!B:B, B265) &gt; 0</f>
        <v>1</v>
      </c>
      <c r="E265" s="48">
        <v>45527.0</v>
      </c>
      <c r="F265" s="48">
        <v>45922.0</v>
      </c>
      <c r="G265" s="47" t="s">
        <v>3182</v>
      </c>
    </row>
    <row r="266">
      <c r="A266" s="47" t="s">
        <v>3183</v>
      </c>
      <c r="B266" s="47" t="s">
        <v>1383</v>
      </c>
      <c r="C266" s="47" t="s">
        <v>1466</v>
      </c>
      <c r="D266" s="48" t="b">
        <f>COUNTIF('Active Employees'!B:B, B266) &gt; 0</f>
        <v>1</v>
      </c>
      <c r="E266" s="48">
        <v>45755.0</v>
      </c>
      <c r="F266" s="48">
        <v>45922.0</v>
      </c>
      <c r="G266" s="47" t="s">
        <v>2957</v>
      </c>
    </row>
    <row r="267">
      <c r="A267" s="47" t="s">
        <v>3184</v>
      </c>
      <c r="B267" s="47" t="s">
        <v>200</v>
      </c>
      <c r="C267" s="47" t="s">
        <v>1466</v>
      </c>
      <c r="D267" s="48" t="b">
        <f>COUNTIF('Active Employees'!B:B, B267) &gt; 0</f>
        <v>1</v>
      </c>
      <c r="E267" s="48">
        <v>45069.0</v>
      </c>
      <c r="F267" s="48">
        <v>45922.0</v>
      </c>
      <c r="G267" s="47" t="s">
        <v>3185</v>
      </c>
    </row>
    <row r="268">
      <c r="A268" s="47" t="s">
        <v>3186</v>
      </c>
      <c r="B268" s="47" t="s">
        <v>77</v>
      </c>
      <c r="C268" s="47" t="s">
        <v>1466</v>
      </c>
      <c r="D268" s="48" t="b">
        <f>COUNTIF('Active Employees'!B:B, B268) &gt; 0</f>
        <v>1</v>
      </c>
      <c r="E268" s="48">
        <v>45086.0</v>
      </c>
      <c r="F268" s="48">
        <v>45923.0</v>
      </c>
      <c r="G268" s="47" t="s">
        <v>2957</v>
      </c>
    </row>
    <row r="269">
      <c r="A269" s="47" t="s">
        <v>3187</v>
      </c>
      <c r="B269" s="47" t="s">
        <v>197</v>
      </c>
      <c r="C269" s="47" t="s">
        <v>1466</v>
      </c>
      <c r="D269" s="48" t="b">
        <f>COUNTIF('Active Employees'!B:B, B269) &gt; 0</f>
        <v>1</v>
      </c>
      <c r="E269" s="48">
        <v>44914.0</v>
      </c>
      <c r="F269" s="48">
        <v>45923.0</v>
      </c>
      <c r="G269" s="47" t="s">
        <v>2957</v>
      </c>
    </row>
    <row r="270">
      <c r="A270" s="47" t="s">
        <v>3188</v>
      </c>
      <c r="B270" s="47" t="s">
        <v>1291</v>
      </c>
      <c r="C270" s="47" t="s">
        <v>1466</v>
      </c>
      <c r="D270" s="48" t="b">
        <f>COUNTIF('Active Employees'!B:B, B270) &gt; 0</f>
        <v>1</v>
      </c>
      <c r="E270" s="48">
        <v>45215.0</v>
      </c>
      <c r="F270" s="48">
        <v>45923.0</v>
      </c>
      <c r="G270" s="47" t="s">
        <v>2957</v>
      </c>
    </row>
    <row r="271">
      <c r="A271" s="47" t="s">
        <v>3189</v>
      </c>
      <c r="B271" s="47" t="s">
        <v>716</v>
      </c>
      <c r="C271" s="47" t="s">
        <v>1466</v>
      </c>
      <c r="D271" s="48" t="b">
        <f>COUNTIF('Active Employees'!B:B, B271) &gt; 0</f>
        <v>1</v>
      </c>
      <c r="E271" s="48">
        <v>45166.0</v>
      </c>
      <c r="F271" s="48">
        <v>45923.0</v>
      </c>
      <c r="G271" s="47" t="s">
        <v>2957</v>
      </c>
    </row>
    <row r="272">
      <c r="A272" s="47" t="s">
        <v>3190</v>
      </c>
      <c r="B272" s="47" t="s">
        <v>1080</v>
      </c>
      <c r="C272" s="47" t="s">
        <v>1466</v>
      </c>
      <c r="D272" s="48" t="b">
        <f>COUNTIF('Active Employees'!B:B, B272) &gt; 0</f>
        <v>1</v>
      </c>
      <c r="E272" s="48">
        <v>45379.0</v>
      </c>
      <c r="F272" s="48">
        <v>45923.0</v>
      </c>
      <c r="G272" s="47" t="s">
        <v>2957</v>
      </c>
    </row>
    <row r="273">
      <c r="A273" s="47" t="s">
        <v>1913</v>
      </c>
      <c r="B273" s="47" t="s">
        <v>1067</v>
      </c>
      <c r="C273" s="47" t="s">
        <v>1466</v>
      </c>
      <c r="D273" s="48" t="b">
        <f>COUNTIF('Active Employees'!B:B, B273) &gt; 0</f>
        <v>1</v>
      </c>
      <c r="E273" s="48">
        <v>45019.0</v>
      </c>
      <c r="F273" s="48">
        <v>45923.0</v>
      </c>
      <c r="G273" s="47" t="s">
        <v>2962</v>
      </c>
    </row>
    <row r="274">
      <c r="A274" s="47" t="s">
        <v>3191</v>
      </c>
      <c r="B274" s="47" t="s">
        <v>1259</v>
      </c>
      <c r="C274" s="47" t="s">
        <v>1466</v>
      </c>
      <c r="D274" s="48" t="b">
        <f>COUNTIF('Active Employees'!B:B, B274) &gt; 0</f>
        <v>1</v>
      </c>
      <c r="E274" s="48">
        <v>45847.0</v>
      </c>
      <c r="F274" s="48">
        <v>45923.0</v>
      </c>
      <c r="G274" s="47" t="s">
        <v>2962</v>
      </c>
    </row>
    <row r="275">
      <c r="A275" s="47" t="s">
        <v>304</v>
      </c>
      <c r="B275" s="47" t="s">
        <v>146</v>
      </c>
      <c r="C275" s="47" t="s">
        <v>1466</v>
      </c>
      <c r="D275" s="48" t="b">
        <f>COUNTIF('Active Employees'!B:B, B275) &gt; 0</f>
        <v>1</v>
      </c>
      <c r="E275" s="48">
        <v>44106.0</v>
      </c>
      <c r="F275" s="48">
        <v>45923.0</v>
      </c>
      <c r="G275" s="47" t="s">
        <v>3019</v>
      </c>
    </row>
    <row r="276">
      <c r="A276" s="47" t="s">
        <v>3192</v>
      </c>
      <c r="B276" s="47" t="s">
        <v>1450</v>
      </c>
      <c r="C276" s="47" t="s">
        <v>1466</v>
      </c>
      <c r="D276" s="48" t="b">
        <f>COUNTIF('Active Employees'!B:B, B276) &gt; 0</f>
        <v>1</v>
      </c>
      <c r="E276" s="48">
        <v>44853.0</v>
      </c>
      <c r="F276" s="48">
        <v>45924.0</v>
      </c>
      <c r="G276" s="47" t="s">
        <v>2962</v>
      </c>
    </row>
    <row r="277">
      <c r="A277" s="47" t="s">
        <v>3193</v>
      </c>
      <c r="B277" s="47" t="s">
        <v>779</v>
      </c>
      <c r="C277" s="47" t="s">
        <v>1466</v>
      </c>
      <c r="D277" s="48" t="b">
        <f>COUNTIF('Active Employees'!B:B, B277) &gt; 0</f>
        <v>1</v>
      </c>
      <c r="E277" s="48">
        <v>45904.0</v>
      </c>
      <c r="F277" s="48">
        <v>45924.0</v>
      </c>
      <c r="G277" s="47" t="s">
        <v>2957</v>
      </c>
    </row>
    <row r="278">
      <c r="A278" s="47" t="s">
        <v>3194</v>
      </c>
      <c r="B278" s="47" t="s">
        <v>416</v>
      </c>
      <c r="C278" s="47" t="s">
        <v>1466</v>
      </c>
      <c r="D278" s="48" t="b">
        <f>COUNTIF('Active Employees'!B:B, B278) &gt; 0</f>
        <v>1</v>
      </c>
      <c r="E278" s="48">
        <v>45050.0</v>
      </c>
      <c r="F278" s="48">
        <v>45924.0</v>
      </c>
      <c r="G278" s="47" t="s">
        <v>2962</v>
      </c>
    </row>
    <row r="279">
      <c r="A279" s="47" t="s">
        <v>3195</v>
      </c>
      <c r="B279" s="47" t="s">
        <v>3196</v>
      </c>
      <c r="C279" s="47" t="s">
        <v>1466</v>
      </c>
      <c r="D279" s="48" t="b">
        <f>COUNTIF('Active Employees'!B:B, B279) &gt; 0</f>
        <v>0</v>
      </c>
      <c r="E279" s="48">
        <v>45600.0</v>
      </c>
      <c r="F279" s="48">
        <v>45924.0</v>
      </c>
      <c r="G279" s="47" t="s">
        <v>3135</v>
      </c>
    </row>
    <row r="280">
      <c r="A280" s="47" t="s">
        <v>3197</v>
      </c>
      <c r="B280" s="47" t="s">
        <v>419</v>
      </c>
      <c r="C280" s="47" t="s">
        <v>1466</v>
      </c>
      <c r="D280" s="48" t="b">
        <f>COUNTIF('Active Employees'!B:B, B280) &gt; 0</f>
        <v>1</v>
      </c>
      <c r="E280" s="48">
        <v>45761.0</v>
      </c>
      <c r="F280" s="48">
        <v>45924.0</v>
      </c>
      <c r="G280" s="47" t="s">
        <v>2962</v>
      </c>
    </row>
    <row r="281">
      <c r="A281" s="47" t="s">
        <v>352</v>
      </c>
      <c r="B281" s="47" t="s">
        <v>1375</v>
      </c>
      <c r="C281" s="47" t="s">
        <v>1466</v>
      </c>
      <c r="D281" s="48" t="b">
        <f>COUNTIF('Active Employees'!B:B, B281) &gt; 0</f>
        <v>1</v>
      </c>
      <c r="E281" s="48">
        <v>44781.0</v>
      </c>
      <c r="F281" s="48">
        <v>45924.0</v>
      </c>
      <c r="G281" s="47" t="s">
        <v>3019</v>
      </c>
    </row>
    <row r="282">
      <c r="A282" s="47" t="s">
        <v>3198</v>
      </c>
      <c r="B282" s="47" t="s">
        <v>1013</v>
      </c>
      <c r="C282" s="47" t="s">
        <v>1466</v>
      </c>
      <c r="D282" s="48" t="b">
        <f>COUNTIF('Active Employees'!B:B, B282) &gt; 0</f>
        <v>1</v>
      </c>
      <c r="E282" s="48">
        <v>44600.0</v>
      </c>
      <c r="F282" s="48">
        <v>45924.0</v>
      </c>
      <c r="G282" s="47" t="s">
        <v>2957</v>
      </c>
    </row>
    <row r="283">
      <c r="A283" s="47" t="s">
        <v>3199</v>
      </c>
      <c r="B283" s="47" t="s">
        <v>1269</v>
      </c>
      <c r="C283" s="47" t="s">
        <v>1466</v>
      </c>
      <c r="D283" s="48" t="b">
        <f>COUNTIF('Active Employees'!B:B, B283) &gt; 0</f>
        <v>1</v>
      </c>
      <c r="E283" s="48">
        <v>44693.0</v>
      </c>
      <c r="F283" s="48">
        <v>45924.0</v>
      </c>
      <c r="G283" s="47" t="s">
        <v>2997</v>
      </c>
    </row>
    <row r="284">
      <c r="A284" s="47" t="s">
        <v>3200</v>
      </c>
      <c r="B284" s="47" t="s">
        <v>738</v>
      </c>
      <c r="C284" s="47" t="s">
        <v>1466</v>
      </c>
      <c r="D284" s="48" t="b">
        <f>COUNTIF('Active Employees'!B:B, B284) &gt; 0</f>
        <v>1</v>
      </c>
      <c r="E284" s="48">
        <v>45214.0</v>
      </c>
      <c r="F284" s="48">
        <v>45924.0</v>
      </c>
      <c r="G284" s="47" t="s">
        <v>2957</v>
      </c>
    </row>
    <row r="285">
      <c r="A285" s="47" t="s">
        <v>1921</v>
      </c>
      <c r="B285" s="47" t="s">
        <v>407</v>
      </c>
      <c r="C285" s="47" t="s">
        <v>1466</v>
      </c>
      <c r="D285" s="48" t="b">
        <f>COUNTIF('Active Employees'!B:B, B285) &gt; 0</f>
        <v>1</v>
      </c>
      <c r="E285" s="48">
        <v>44663.0</v>
      </c>
      <c r="F285" s="48">
        <v>45924.0</v>
      </c>
      <c r="G285" s="47" t="s">
        <v>3040</v>
      </c>
    </row>
    <row r="286">
      <c r="A286" s="47" t="s">
        <v>525</v>
      </c>
      <c r="B286" s="47" t="s">
        <v>38</v>
      </c>
      <c r="C286" s="47" t="s">
        <v>1466</v>
      </c>
      <c r="D286" s="48" t="b">
        <f>COUNTIF('Active Employees'!B:B, B286) &gt; 0</f>
        <v>1</v>
      </c>
      <c r="E286" s="48">
        <v>45496.0</v>
      </c>
      <c r="F286" s="48">
        <v>45924.0</v>
      </c>
      <c r="G286" s="47" t="s">
        <v>3040</v>
      </c>
    </row>
    <row r="287">
      <c r="A287" s="47" t="s">
        <v>3201</v>
      </c>
      <c r="B287" s="47" t="s">
        <v>369</v>
      </c>
      <c r="C287" s="47" t="s">
        <v>1466</v>
      </c>
      <c r="D287" s="48" t="b">
        <f>COUNTIF('Active Employees'!B:B, B287) &gt; 0</f>
        <v>1</v>
      </c>
      <c r="E287" s="48">
        <v>45503.0</v>
      </c>
      <c r="F287" s="48">
        <v>45924.0</v>
      </c>
      <c r="G287" s="47" t="s">
        <v>2962</v>
      </c>
    </row>
    <row r="288">
      <c r="A288" s="47" t="s">
        <v>3202</v>
      </c>
      <c r="B288" s="47" t="s">
        <v>722</v>
      </c>
      <c r="C288" s="47" t="s">
        <v>1466</v>
      </c>
      <c r="D288" s="48" t="b">
        <f>COUNTIF('Active Employees'!B:B, B288) &gt; 0</f>
        <v>1</v>
      </c>
      <c r="E288" s="48">
        <v>45222.0</v>
      </c>
      <c r="F288" s="48">
        <v>45924.0</v>
      </c>
      <c r="G288" s="47" t="s">
        <v>2957</v>
      </c>
    </row>
    <row r="289">
      <c r="A289" s="47" t="s">
        <v>3203</v>
      </c>
      <c r="B289" s="47" t="s">
        <v>43</v>
      </c>
      <c r="C289" s="47" t="s">
        <v>1466</v>
      </c>
      <c r="D289" s="48" t="b">
        <f>COUNTIF('Active Employees'!B:B, B289) &gt; 0</f>
        <v>1</v>
      </c>
      <c r="E289" s="48">
        <v>45266.0</v>
      </c>
      <c r="F289" s="48">
        <v>45924.0</v>
      </c>
      <c r="G289" s="47" t="s">
        <v>3204</v>
      </c>
    </row>
    <row r="290">
      <c r="A290" s="47" t="s">
        <v>3205</v>
      </c>
      <c r="B290" s="47" t="s">
        <v>928</v>
      </c>
      <c r="C290" s="47" t="s">
        <v>1466</v>
      </c>
      <c r="D290" s="48" t="b">
        <f>COUNTIF('Active Employees'!B:B, B290) &gt; 0</f>
        <v>1</v>
      </c>
      <c r="E290" s="48">
        <v>43724.0</v>
      </c>
      <c r="F290" s="48">
        <v>45924.0</v>
      </c>
      <c r="G290" s="47" t="s">
        <v>2962</v>
      </c>
    </row>
    <row r="291">
      <c r="A291" s="47" t="s">
        <v>221</v>
      </c>
      <c r="B291" s="47" t="s">
        <v>1235</v>
      </c>
      <c r="C291" s="47" t="s">
        <v>1466</v>
      </c>
      <c r="D291" s="48" t="b">
        <f>COUNTIF('Active Employees'!B:B, B291) &gt; 0</f>
        <v>1</v>
      </c>
      <c r="E291" s="48">
        <v>45497.0</v>
      </c>
      <c r="F291" s="48">
        <v>45924.0</v>
      </c>
      <c r="G291" s="47" t="s">
        <v>2962</v>
      </c>
    </row>
    <row r="292">
      <c r="A292" s="47" t="s">
        <v>3206</v>
      </c>
      <c r="B292" s="47" t="s">
        <v>1439</v>
      </c>
      <c r="C292" s="47" t="s">
        <v>1466</v>
      </c>
      <c r="D292" s="48" t="b">
        <f>COUNTIF('Active Employees'!B:B, B292) &gt; 0</f>
        <v>1</v>
      </c>
      <c r="E292" s="48">
        <v>45440.0</v>
      </c>
      <c r="F292" s="48">
        <v>45924.0</v>
      </c>
      <c r="G292" s="47" t="s">
        <v>2957</v>
      </c>
    </row>
    <row r="293">
      <c r="A293" s="47" t="s">
        <v>3207</v>
      </c>
      <c r="B293" s="47" t="s">
        <v>890</v>
      </c>
      <c r="C293" s="47" t="s">
        <v>1466</v>
      </c>
      <c r="D293" s="48" t="b">
        <f>COUNTIF('Active Employees'!B:B, B293) &gt; 0</f>
        <v>1</v>
      </c>
      <c r="E293" s="48">
        <v>45876.0</v>
      </c>
      <c r="F293" s="48">
        <v>45925.0</v>
      </c>
      <c r="G293" s="47" t="s">
        <v>2957</v>
      </c>
    </row>
    <row r="294">
      <c r="A294" s="47" t="s">
        <v>3208</v>
      </c>
      <c r="B294" s="47" t="s">
        <v>1241</v>
      </c>
      <c r="C294" s="47" t="s">
        <v>1466</v>
      </c>
      <c r="D294" s="48" t="b">
        <f>COUNTIF('Active Employees'!B:B, B294) &gt; 0</f>
        <v>1</v>
      </c>
      <c r="E294" s="48">
        <v>42465.0</v>
      </c>
      <c r="F294" s="48">
        <v>45925.0</v>
      </c>
      <c r="G294" s="47" t="s">
        <v>2962</v>
      </c>
    </row>
    <row r="295">
      <c r="A295" s="47" t="s">
        <v>387</v>
      </c>
      <c r="B295" s="47" t="s">
        <v>1346</v>
      </c>
      <c r="C295" s="47" t="s">
        <v>1466</v>
      </c>
      <c r="D295" s="48" t="b">
        <f>COUNTIF('Active Employees'!B:B, B295) &gt; 0</f>
        <v>1</v>
      </c>
      <c r="E295" s="48">
        <v>45721.0</v>
      </c>
      <c r="F295" s="48">
        <v>45925.0</v>
      </c>
      <c r="G295" s="47" t="s">
        <v>2962</v>
      </c>
    </row>
    <row r="296">
      <c r="A296" s="47" t="s">
        <v>3209</v>
      </c>
      <c r="B296" s="47" t="s">
        <v>950</v>
      </c>
      <c r="C296" s="47" t="s">
        <v>1466</v>
      </c>
      <c r="D296" s="48" t="b">
        <f>COUNTIF('Active Employees'!B:B, B296) &gt; 0</f>
        <v>1</v>
      </c>
      <c r="E296" s="48">
        <v>45104.0</v>
      </c>
      <c r="F296" s="48">
        <v>45925.0</v>
      </c>
      <c r="G296" s="47" t="s">
        <v>2957</v>
      </c>
    </row>
    <row r="297">
      <c r="A297" s="47" t="s">
        <v>3210</v>
      </c>
      <c r="B297" s="47" t="s">
        <v>142</v>
      </c>
      <c r="C297" s="47" t="s">
        <v>1466</v>
      </c>
      <c r="D297" s="48" t="b">
        <f>COUNTIF('Active Employees'!B:B, B297) &gt; 0</f>
        <v>1</v>
      </c>
      <c r="E297" s="48">
        <v>45162.0</v>
      </c>
      <c r="F297" s="48">
        <v>45925.0</v>
      </c>
      <c r="G297" s="47" t="s">
        <v>2962</v>
      </c>
    </row>
    <row r="298">
      <c r="A298" s="47" t="s">
        <v>216</v>
      </c>
      <c r="B298" s="47" t="s">
        <v>1125</v>
      </c>
      <c r="C298" s="47" t="s">
        <v>1466</v>
      </c>
      <c r="D298" s="48" t="b">
        <f>COUNTIF('Active Employees'!B:B, B298) &gt; 0</f>
        <v>1</v>
      </c>
      <c r="E298" s="48">
        <v>45847.0</v>
      </c>
      <c r="F298" s="48">
        <v>45926.0</v>
      </c>
      <c r="G298" s="47" t="s">
        <v>3101</v>
      </c>
    </row>
    <row r="299">
      <c r="A299" s="47" t="s">
        <v>3211</v>
      </c>
      <c r="B299" s="47" t="s">
        <v>218</v>
      </c>
      <c r="C299" s="47" t="s">
        <v>1466</v>
      </c>
      <c r="D299" s="48" t="b">
        <f>COUNTIF('Active Employees'!B:B, B299) &gt; 0</f>
        <v>1</v>
      </c>
      <c r="E299" s="48">
        <v>45027.0</v>
      </c>
      <c r="F299" s="48">
        <v>45926.0</v>
      </c>
      <c r="G299" s="47" t="s">
        <v>2957</v>
      </c>
    </row>
    <row r="300">
      <c r="A300" s="47" t="s">
        <v>256</v>
      </c>
      <c r="B300" s="47" t="s">
        <v>507</v>
      </c>
      <c r="C300" s="47" t="s">
        <v>1466</v>
      </c>
      <c r="D300" s="48" t="b">
        <f>COUNTIF('Active Employees'!B:B, B300) &gt; 0</f>
        <v>1</v>
      </c>
      <c r="E300" s="48">
        <v>45454.0</v>
      </c>
      <c r="F300" s="48">
        <v>45926.0</v>
      </c>
      <c r="G300" s="47" t="s">
        <v>3212</v>
      </c>
    </row>
    <row r="301">
      <c r="A301" s="47" t="s">
        <v>3213</v>
      </c>
      <c r="B301" s="47" t="s">
        <v>1416</v>
      </c>
      <c r="C301" s="47" t="s">
        <v>1466</v>
      </c>
      <c r="D301" s="48" t="b">
        <f>COUNTIF('Active Employees'!B:B, B301) &gt; 0</f>
        <v>1</v>
      </c>
      <c r="E301" s="48">
        <v>45062.0</v>
      </c>
      <c r="F301" s="48">
        <v>45926.0</v>
      </c>
      <c r="G301" s="47" t="s">
        <v>3214</v>
      </c>
    </row>
    <row r="302">
      <c r="A302" s="47" t="s">
        <v>3215</v>
      </c>
      <c r="B302" s="47" t="s">
        <v>1278</v>
      </c>
      <c r="C302" s="47" t="s">
        <v>1466</v>
      </c>
      <c r="D302" s="48" t="b">
        <f>COUNTIF('Active Employees'!B:B, B302) &gt; 0</f>
        <v>1</v>
      </c>
      <c r="E302" s="48">
        <v>44846.0</v>
      </c>
      <c r="F302" s="48">
        <v>45926.0</v>
      </c>
      <c r="G302" s="47" t="s">
        <v>3019</v>
      </c>
    </row>
    <row r="303">
      <c r="A303" s="47" t="s">
        <v>3216</v>
      </c>
      <c r="B303" s="47" t="s">
        <v>880</v>
      </c>
      <c r="C303" s="47" t="s">
        <v>1466</v>
      </c>
      <c r="D303" s="48" t="b">
        <f>COUNTIF('Active Employees'!B:B, B303) &gt; 0</f>
        <v>1</v>
      </c>
      <c r="E303" s="48">
        <v>45071.0</v>
      </c>
      <c r="F303" s="48">
        <v>45928.0</v>
      </c>
      <c r="G303" s="47" t="s">
        <v>2989</v>
      </c>
    </row>
    <row r="304">
      <c r="A304" s="47" t="s">
        <v>58</v>
      </c>
      <c r="B304" s="47" t="s">
        <v>635</v>
      </c>
      <c r="C304" s="47" t="s">
        <v>1466</v>
      </c>
      <c r="D304" s="48" t="b">
        <f>COUNTIF('Active Employees'!B:B, B304) &gt; 0</f>
        <v>1</v>
      </c>
      <c r="E304" s="48">
        <v>45375.0</v>
      </c>
      <c r="F304" s="48">
        <v>45928.0</v>
      </c>
      <c r="G304" s="47" t="s">
        <v>2957</v>
      </c>
    </row>
    <row r="305">
      <c r="A305" s="47" t="s">
        <v>86</v>
      </c>
      <c r="B305" s="47" t="s">
        <v>1009</v>
      </c>
      <c r="C305" s="47" t="s">
        <v>1466</v>
      </c>
      <c r="D305" s="48" t="b">
        <f>COUNTIF('Active Employees'!B:B, B305) &gt; 0</f>
        <v>1</v>
      </c>
      <c r="E305" s="48">
        <v>44588.0</v>
      </c>
      <c r="F305" s="48">
        <v>45929.0</v>
      </c>
      <c r="G305" s="47" t="s">
        <v>2957</v>
      </c>
    </row>
    <row r="306">
      <c r="A306" s="47" t="s">
        <v>3217</v>
      </c>
      <c r="B306" s="47" t="s">
        <v>480</v>
      </c>
      <c r="C306" s="47" t="s">
        <v>1466</v>
      </c>
      <c r="D306" s="48" t="b">
        <f>COUNTIF('Active Employees'!B:B, B306) &gt; 0</f>
        <v>1</v>
      </c>
      <c r="E306" s="48">
        <v>45812.0</v>
      </c>
      <c r="F306" s="48">
        <v>45929.0</v>
      </c>
      <c r="G306" s="47" t="s">
        <v>2957</v>
      </c>
    </row>
    <row r="307">
      <c r="A307" s="47" t="s">
        <v>3218</v>
      </c>
      <c r="B307" s="47" t="s">
        <v>1322</v>
      </c>
      <c r="C307" s="47" t="s">
        <v>1466</v>
      </c>
      <c r="D307" s="48" t="b">
        <f>COUNTIF('Active Employees'!B:B, B307) &gt; 0</f>
        <v>1</v>
      </c>
      <c r="E307" s="48">
        <v>44789.0</v>
      </c>
      <c r="F307" s="48">
        <v>45929.0</v>
      </c>
      <c r="G307" s="47" t="s">
        <v>3004</v>
      </c>
    </row>
    <row r="308">
      <c r="A308" s="47" t="s">
        <v>3219</v>
      </c>
      <c r="B308" s="47" t="s">
        <v>1294</v>
      </c>
      <c r="C308" s="47" t="s">
        <v>1466</v>
      </c>
      <c r="D308" s="48" t="b">
        <f>COUNTIF('Active Employees'!B:B, B308) &gt; 0</f>
        <v>1</v>
      </c>
      <c r="E308" s="48">
        <v>45505.0</v>
      </c>
      <c r="F308" s="48">
        <v>45929.0</v>
      </c>
      <c r="G308" s="47" t="s">
        <v>2957</v>
      </c>
    </row>
    <row r="309">
      <c r="A309" s="47" t="s">
        <v>3220</v>
      </c>
      <c r="B309" s="47" t="s">
        <v>1457</v>
      </c>
      <c r="C309" s="47" t="s">
        <v>1466</v>
      </c>
      <c r="D309" s="48" t="b">
        <f>COUNTIF('Active Employees'!B:B, B309) &gt; 0</f>
        <v>1</v>
      </c>
      <c r="E309" s="48">
        <v>45428.0</v>
      </c>
      <c r="F309" s="48">
        <v>45929.0</v>
      </c>
      <c r="G309" s="47" t="s">
        <v>2957</v>
      </c>
    </row>
    <row r="310">
      <c r="A310" s="47" t="s">
        <v>3221</v>
      </c>
      <c r="B310" s="47" t="s">
        <v>464</v>
      </c>
      <c r="C310" s="47" t="s">
        <v>1466</v>
      </c>
      <c r="D310" s="48" t="b">
        <f>COUNTIF('Active Employees'!B:B, B310) &gt; 0</f>
        <v>1</v>
      </c>
      <c r="E310" s="48">
        <v>44726.0</v>
      </c>
      <c r="F310" s="48">
        <v>45929.0</v>
      </c>
      <c r="G310" s="47" t="s">
        <v>2962</v>
      </c>
    </row>
    <row r="311">
      <c r="A311" s="47" t="s">
        <v>3222</v>
      </c>
      <c r="B311" s="47" t="s">
        <v>709</v>
      </c>
      <c r="C311" s="47" t="s">
        <v>1466</v>
      </c>
      <c r="D311" s="48" t="b">
        <f>COUNTIF('Active Employees'!B:B, B311) &gt; 0</f>
        <v>1</v>
      </c>
      <c r="E311" s="48">
        <v>45202.0</v>
      </c>
      <c r="F311" s="48">
        <v>45929.0</v>
      </c>
      <c r="G311" s="47" t="s">
        <v>3223</v>
      </c>
    </row>
    <row r="312">
      <c r="A312" s="47" t="s">
        <v>203</v>
      </c>
      <c r="B312" s="47" t="s">
        <v>626</v>
      </c>
      <c r="C312" s="47" t="s">
        <v>1466</v>
      </c>
      <c r="D312" s="48" t="b">
        <f>COUNTIF('Active Employees'!B:B, B312) &gt; 0</f>
        <v>1</v>
      </c>
      <c r="E312" s="48">
        <v>45482.0</v>
      </c>
      <c r="F312" s="48">
        <v>45929.0</v>
      </c>
      <c r="G312" s="47" t="s">
        <v>3224</v>
      </c>
    </row>
    <row r="313">
      <c r="A313" s="47" t="s">
        <v>1820</v>
      </c>
      <c r="B313" s="47" t="s">
        <v>18</v>
      </c>
      <c r="C313" s="47" t="s">
        <v>1466</v>
      </c>
      <c r="D313" s="48" t="b">
        <f>COUNTIF('Active Employees'!B:B, B313) &gt; 0</f>
        <v>1</v>
      </c>
      <c r="E313" s="48">
        <v>45272.0</v>
      </c>
      <c r="F313" s="48">
        <v>45929.0</v>
      </c>
      <c r="G313" s="47" t="s">
        <v>2962</v>
      </c>
    </row>
    <row r="314">
      <c r="A314" s="47" t="s">
        <v>3225</v>
      </c>
      <c r="B314" s="47" t="s">
        <v>376</v>
      </c>
      <c r="C314" s="47" t="s">
        <v>1466</v>
      </c>
      <c r="D314" s="48" t="b">
        <f>COUNTIF('Active Employees'!B:B, B314) &gt; 0</f>
        <v>1</v>
      </c>
      <c r="E314" s="48">
        <v>45533.0</v>
      </c>
      <c r="F314" s="48">
        <v>45929.0</v>
      </c>
      <c r="G314" s="47" t="s">
        <v>2962</v>
      </c>
    </row>
    <row r="315">
      <c r="A315" s="47" t="s">
        <v>3226</v>
      </c>
      <c r="B315" s="47" t="s">
        <v>1163</v>
      </c>
      <c r="C315" s="47" t="s">
        <v>1466</v>
      </c>
      <c r="D315" s="48" t="b">
        <f>COUNTIF('Active Employees'!B:B, B315) &gt; 0</f>
        <v>1</v>
      </c>
      <c r="E315" s="48">
        <v>43593.0</v>
      </c>
      <c r="F315" s="48">
        <v>45929.0</v>
      </c>
      <c r="G315" s="47" t="s">
        <v>3135</v>
      </c>
    </row>
    <row r="316">
      <c r="A316" s="47" t="s">
        <v>3227</v>
      </c>
      <c r="B316" s="47" t="s">
        <v>3228</v>
      </c>
      <c r="C316" s="47" t="s">
        <v>1466</v>
      </c>
      <c r="D316" s="48" t="b">
        <f>COUNTIF('Active Employees'!B:B, B316) &gt; 0</f>
        <v>0</v>
      </c>
      <c r="E316" s="48">
        <v>45727.0</v>
      </c>
      <c r="F316" s="48">
        <v>45929.0</v>
      </c>
      <c r="G316" s="47" t="s">
        <v>2957</v>
      </c>
    </row>
    <row r="317">
      <c r="A317" s="47" t="s">
        <v>3229</v>
      </c>
      <c r="B317" s="47" t="s">
        <v>1308</v>
      </c>
      <c r="C317" s="47" t="s">
        <v>1466</v>
      </c>
      <c r="D317" s="48" t="b">
        <f>COUNTIF('Active Employees'!B:B, B317) &gt; 0</f>
        <v>1</v>
      </c>
      <c r="E317" s="48">
        <v>45246.0</v>
      </c>
      <c r="F317" s="48">
        <v>45929.0</v>
      </c>
      <c r="G317" s="47" t="s">
        <v>2962</v>
      </c>
    </row>
    <row r="318">
      <c r="A318" s="47" t="s">
        <v>3230</v>
      </c>
      <c r="B318" s="47" t="s">
        <v>1426</v>
      </c>
      <c r="C318" s="47" t="s">
        <v>1466</v>
      </c>
      <c r="D318" s="48" t="b">
        <f>COUNTIF('Active Employees'!B:B, B318) &gt; 0</f>
        <v>1</v>
      </c>
      <c r="E318" s="48">
        <v>44705.0</v>
      </c>
      <c r="F318" s="48">
        <v>45929.0</v>
      </c>
      <c r="G318" s="47" t="s">
        <v>3019</v>
      </c>
    </row>
    <row r="319">
      <c r="A319" s="47" t="s">
        <v>3231</v>
      </c>
      <c r="B319" s="47" t="s">
        <v>611</v>
      </c>
      <c r="C319" s="47" t="s">
        <v>1466</v>
      </c>
      <c r="D319" s="48" t="b">
        <f>COUNTIF('Active Employees'!B:B, B319) &gt; 0</f>
        <v>1</v>
      </c>
      <c r="E319" s="48">
        <v>45489.0</v>
      </c>
      <c r="F319" s="48">
        <v>45929.0</v>
      </c>
      <c r="G319" s="47" t="s">
        <v>2957</v>
      </c>
    </row>
    <row r="320">
      <c r="A320" s="47" t="s">
        <v>3232</v>
      </c>
      <c r="B320" s="47" t="s">
        <v>919</v>
      </c>
      <c r="C320" s="47" t="s">
        <v>1466</v>
      </c>
      <c r="D320" s="48" t="b">
        <f>COUNTIF('Active Employees'!B:B, B320) &gt; 0</f>
        <v>1</v>
      </c>
      <c r="E320" s="48">
        <v>45217.0</v>
      </c>
      <c r="F320" s="48">
        <v>45929.0</v>
      </c>
      <c r="G320" s="47" t="s">
        <v>3233</v>
      </c>
    </row>
    <row r="321">
      <c r="A321" s="47" t="s">
        <v>3234</v>
      </c>
      <c r="B321" s="47" t="s">
        <v>853</v>
      </c>
      <c r="C321" s="47" t="s">
        <v>1466</v>
      </c>
      <c r="D321" s="48" t="b">
        <f>COUNTIF('Active Employees'!B:B, B321) &gt; 0</f>
        <v>1</v>
      </c>
      <c r="E321" s="48">
        <v>45448.0</v>
      </c>
      <c r="F321" s="48">
        <v>45929.0</v>
      </c>
      <c r="G321" s="47" t="s">
        <v>3235</v>
      </c>
    </row>
    <row r="322">
      <c r="A322" s="47" t="s">
        <v>3236</v>
      </c>
      <c r="B322" s="47" t="s">
        <v>296</v>
      </c>
      <c r="C322" s="47" t="s">
        <v>1466</v>
      </c>
      <c r="D322" s="48" t="b">
        <f>COUNTIF('Active Employees'!B:B, B322) &gt; 0</f>
        <v>1</v>
      </c>
      <c r="E322" s="48">
        <v>45776.0</v>
      </c>
      <c r="F322" s="48">
        <v>45929.0</v>
      </c>
      <c r="G322" s="47" t="s">
        <v>2957</v>
      </c>
    </row>
    <row r="323">
      <c r="A323" s="47" t="s">
        <v>3237</v>
      </c>
      <c r="B323" s="47" t="s">
        <v>1310</v>
      </c>
      <c r="C323" s="47" t="s">
        <v>1466</v>
      </c>
      <c r="D323" s="48" t="b">
        <f>COUNTIF('Active Employees'!B:B, B323) &gt; 0</f>
        <v>1</v>
      </c>
      <c r="E323" s="48">
        <v>45113.0</v>
      </c>
      <c r="F323" s="48">
        <v>45929.0</v>
      </c>
      <c r="G323" s="47" t="s">
        <v>2957</v>
      </c>
    </row>
    <row r="324">
      <c r="A324" s="47" t="s">
        <v>3238</v>
      </c>
      <c r="B324" s="47" t="s">
        <v>1043</v>
      </c>
      <c r="C324" s="47" t="s">
        <v>1466</v>
      </c>
      <c r="D324" s="48" t="b">
        <f>COUNTIF('Active Employees'!B:B, B324) &gt; 0</f>
        <v>1</v>
      </c>
      <c r="E324" s="48">
        <v>44725.0</v>
      </c>
      <c r="F324" s="48">
        <v>45929.0</v>
      </c>
      <c r="G324" s="47" t="s">
        <v>2957</v>
      </c>
    </row>
    <row r="325">
      <c r="A325" s="47" t="s">
        <v>771</v>
      </c>
      <c r="B325" s="47" t="s">
        <v>856</v>
      </c>
      <c r="C325" s="47" t="s">
        <v>1466</v>
      </c>
      <c r="D325" s="48" t="b">
        <f>COUNTIF('Active Employees'!B:B, B325) &gt; 0</f>
        <v>1</v>
      </c>
      <c r="E325" s="48">
        <v>45090.0</v>
      </c>
      <c r="F325" s="48">
        <v>45929.0</v>
      </c>
      <c r="G325" s="47" t="s">
        <v>3019</v>
      </c>
    </row>
    <row r="326">
      <c r="A326" s="47" t="s">
        <v>3239</v>
      </c>
      <c r="B326" s="47" t="s">
        <v>1326</v>
      </c>
      <c r="C326" s="47" t="s">
        <v>1466</v>
      </c>
      <c r="D326" s="48" t="b">
        <f>COUNTIF('Active Employees'!B:B, B326) &gt; 0</f>
        <v>1</v>
      </c>
      <c r="E326" s="48">
        <v>45420.0</v>
      </c>
      <c r="F326" s="48">
        <v>45930.0</v>
      </c>
      <c r="G326" s="47" t="s">
        <v>2957</v>
      </c>
    </row>
    <row r="327">
      <c r="A327" s="47" t="s">
        <v>3240</v>
      </c>
      <c r="B327" s="47" t="s">
        <v>884</v>
      </c>
      <c r="C327" s="47" t="s">
        <v>1466</v>
      </c>
      <c r="D327" s="48" t="b">
        <f>COUNTIF('Active Employees'!B:B, B327) &gt; 0</f>
        <v>1</v>
      </c>
      <c r="E327" s="48">
        <v>45636.0</v>
      </c>
      <c r="F327" s="48">
        <v>45930.0</v>
      </c>
      <c r="G327" s="47" t="s">
        <v>2947</v>
      </c>
    </row>
    <row r="328">
      <c r="A328" s="47" t="s">
        <v>288</v>
      </c>
      <c r="B328" s="47" t="s">
        <v>60</v>
      </c>
      <c r="C328" s="47" t="s">
        <v>1466</v>
      </c>
      <c r="D328" s="48" t="b">
        <f>COUNTIF('Active Employees'!B:B, B328) &gt; 0</f>
        <v>1</v>
      </c>
      <c r="E328" s="48">
        <v>44770.0</v>
      </c>
      <c r="F328" s="48">
        <v>45930.0</v>
      </c>
      <c r="G328" s="47" t="s">
        <v>2962</v>
      </c>
    </row>
    <row r="329">
      <c r="A329" s="47" t="s">
        <v>3241</v>
      </c>
      <c r="B329" s="47" t="s">
        <v>718</v>
      </c>
      <c r="C329" s="47" t="s">
        <v>1466</v>
      </c>
      <c r="D329" s="48" t="b">
        <f>COUNTIF('Active Employees'!B:B, B329) &gt; 0</f>
        <v>1</v>
      </c>
      <c r="E329" s="48">
        <v>45866.0</v>
      </c>
      <c r="F329" s="48">
        <v>45930.0</v>
      </c>
      <c r="G329" s="47" t="s">
        <v>2957</v>
      </c>
    </row>
    <row r="330">
      <c r="A330" s="47" t="s">
        <v>3242</v>
      </c>
      <c r="B330" s="47" t="s">
        <v>253</v>
      </c>
      <c r="C330" s="47" t="s">
        <v>1466</v>
      </c>
      <c r="D330" s="48" t="b">
        <f>COUNTIF('Active Employees'!B:B, B330) &gt; 0</f>
        <v>1</v>
      </c>
      <c r="E330" s="48">
        <v>44515.0</v>
      </c>
      <c r="F330" s="48">
        <v>45930.0</v>
      </c>
      <c r="G330" s="47" t="s">
        <v>3243</v>
      </c>
    </row>
    <row r="331">
      <c r="A331" s="47" t="s">
        <v>3244</v>
      </c>
      <c r="B331" s="47" t="s">
        <v>1171</v>
      </c>
      <c r="C331" s="47" t="s">
        <v>1466</v>
      </c>
      <c r="D331" s="48" t="b">
        <f>COUNTIF('Active Employees'!B:B, B331) &gt; 0</f>
        <v>1</v>
      </c>
      <c r="E331" s="48">
        <v>44496.0</v>
      </c>
      <c r="F331" s="48">
        <v>45930.0</v>
      </c>
      <c r="G331" s="47" t="s">
        <v>2957</v>
      </c>
    </row>
    <row r="332">
      <c r="A332" s="47" t="s">
        <v>3245</v>
      </c>
      <c r="B332" s="47" t="s">
        <v>594</v>
      </c>
      <c r="C332" s="47" t="s">
        <v>1466</v>
      </c>
      <c r="D332" s="48" t="b">
        <f>COUNTIF('Active Employees'!B:B, B332) &gt; 0</f>
        <v>1</v>
      </c>
      <c r="E332" s="48">
        <v>45078.0</v>
      </c>
      <c r="F332" s="48">
        <v>45930.0</v>
      </c>
      <c r="G332" s="47" t="s">
        <v>3246</v>
      </c>
    </row>
    <row r="333">
      <c r="A333" s="47" t="s">
        <v>3247</v>
      </c>
      <c r="B333" s="47" t="s">
        <v>339</v>
      </c>
      <c r="C333" s="47" t="s">
        <v>1466</v>
      </c>
      <c r="D333" s="48" t="b">
        <f>COUNTIF('Active Employees'!B:B, B333) &gt; 0</f>
        <v>1</v>
      </c>
      <c r="E333" s="48">
        <v>45413.0</v>
      </c>
      <c r="F333" s="48">
        <v>45930.0</v>
      </c>
      <c r="G333" s="47" t="s">
        <v>2962</v>
      </c>
    </row>
    <row r="334">
      <c r="A334" s="47" t="s">
        <v>3248</v>
      </c>
      <c r="B334" s="47" t="s">
        <v>912</v>
      </c>
      <c r="C334" s="47" t="s">
        <v>1466</v>
      </c>
      <c r="D334" s="48" t="b">
        <f>COUNTIF('Active Employees'!B:B, B334) &gt; 0</f>
        <v>1</v>
      </c>
      <c r="E334" s="48">
        <v>45016.0</v>
      </c>
      <c r="F334" s="48">
        <v>45930.0</v>
      </c>
      <c r="G334" s="47" t="s">
        <v>2957</v>
      </c>
    </row>
    <row r="335">
      <c r="A335" s="47" t="s">
        <v>41</v>
      </c>
      <c r="B335" s="47" t="s">
        <v>190</v>
      </c>
      <c r="C335" s="47" t="s">
        <v>1466</v>
      </c>
      <c r="D335" s="48" t="b">
        <f>COUNTIF('Active Employees'!B:B, B335) &gt; 0</f>
        <v>1</v>
      </c>
      <c r="E335" s="48">
        <v>43293.0</v>
      </c>
      <c r="F335" s="48">
        <v>45930.0</v>
      </c>
      <c r="G335" s="47" t="s">
        <v>3040</v>
      </c>
    </row>
    <row r="336">
      <c r="A336" s="47" t="s">
        <v>3249</v>
      </c>
      <c r="B336" s="47" t="s">
        <v>706</v>
      </c>
      <c r="C336" s="47" t="s">
        <v>1466</v>
      </c>
      <c r="D336" s="48" t="b">
        <f>COUNTIF('Active Employees'!B:B, B336) &gt; 0</f>
        <v>1</v>
      </c>
      <c r="E336" s="48">
        <v>44846.0</v>
      </c>
      <c r="F336" s="48">
        <v>45930.0</v>
      </c>
      <c r="G336" s="47" t="s">
        <v>3002</v>
      </c>
    </row>
    <row r="337">
      <c r="A337" s="47" t="s">
        <v>3250</v>
      </c>
      <c r="B337" s="47" t="s">
        <v>424</v>
      </c>
      <c r="C337" s="47" t="s">
        <v>1466</v>
      </c>
      <c r="D337" s="48" t="b">
        <f>COUNTIF('Active Employees'!B:B, B337) &gt; 0</f>
        <v>1</v>
      </c>
      <c r="E337" s="48">
        <v>45299.0</v>
      </c>
      <c r="F337" s="48">
        <v>45930.0</v>
      </c>
      <c r="G337" s="47" t="s">
        <v>2962</v>
      </c>
    </row>
    <row r="338">
      <c r="A338" s="47" t="s">
        <v>1904</v>
      </c>
      <c r="B338" s="47" t="s">
        <v>354</v>
      </c>
      <c r="C338" s="47" t="s">
        <v>1466</v>
      </c>
      <c r="D338" s="48" t="b">
        <f>COUNTIF('Active Employees'!B:B, B338) &gt; 0</f>
        <v>1</v>
      </c>
      <c r="E338" s="48">
        <v>43193.0</v>
      </c>
      <c r="F338" s="48">
        <v>45930.0</v>
      </c>
      <c r="G338" s="47" t="s">
        <v>2962</v>
      </c>
    </row>
    <row r="339">
      <c r="A339" s="47" t="s">
        <v>550</v>
      </c>
      <c r="B339" s="47" t="s">
        <v>584</v>
      </c>
      <c r="C339" s="47" t="s">
        <v>1466</v>
      </c>
      <c r="D339" s="48" t="b">
        <f>COUNTIF('Active Employees'!B:B, B339) &gt; 0</f>
        <v>1</v>
      </c>
      <c r="E339" s="48">
        <v>45710.0</v>
      </c>
      <c r="F339" s="48">
        <v>45930.0</v>
      </c>
      <c r="G339" s="47" t="s">
        <v>3107</v>
      </c>
    </row>
    <row r="340">
      <c r="A340" s="47" t="s">
        <v>1502</v>
      </c>
      <c r="B340" s="47" t="s">
        <v>1214</v>
      </c>
      <c r="C340" s="47" t="s">
        <v>1466</v>
      </c>
      <c r="D340" s="48" t="b">
        <f>COUNTIF('Active Employees'!B:B, B340) &gt; 0</f>
        <v>1</v>
      </c>
      <c r="E340" s="48">
        <v>44712.0</v>
      </c>
      <c r="F340" s="48">
        <v>45930.0</v>
      </c>
      <c r="G340" s="47" t="s">
        <v>2997</v>
      </c>
    </row>
    <row r="341">
      <c r="A341" s="47" t="s">
        <v>3251</v>
      </c>
      <c r="B341" s="47" t="s">
        <v>657</v>
      </c>
      <c r="C341" s="47" t="s">
        <v>1466</v>
      </c>
      <c r="D341" s="48" t="b">
        <f>COUNTIF('Active Employees'!B:B, B341) &gt; 0</f>
        <v>1</v>
      </c>
      <c r="E341" s="48">
        <v>44693.0</v>
      </c>
      <c r="F341" s="48">
        <v>45930.0</v>
      </c>
      <c r="G341" s="47" t="s">
        <v>2957</v>
      </c>
    </row>
    <row r="342">
      <c r="A342" s="47" t="s">
        <v>1923</v>
      </c>
      <c r="B342" s="47" t="s">
        <v>1399</v>
      </c>
      <c r="C342" s="47" t="s">
        <v>1466</v>
      </c>
      <c r="D342" s="48" t="b">
        <f>COUNTIF('Active Employees'!B:B, B342) &gt; 0</f>
        <v>1</v>
      </c>
      <c r="E342" s="48">
        <v>44482.0</v>
      </c>
      <c r="F342" s="48">
        <v>45930.0</v>
      </c>
      <c r="G342" s="47" t="s">
        <v>3252</v>
      </c>
    </row>
    <row r="343">
      <c r="A343" s="47" t="s">
        <v>482</v>
      </c>
      <c r="B343" s="47" t="s">
        <v>1433</v>
      </c>
      <c r="C343" s="47" t="s">
        <v>1466</v>
      </c>
      <c r="D343" s="48" t="b">
        <f>COUNTIF('Active Employees'!B:B, B343) &gt; 0</f>
        <v>1</v>
      </c>
      <c r="E343" s="48">
        <v>44797.0</v>
      </c>
      <c r="F343" s="48">
        <v>45930.0</v>
      </c>
      <c r="G343" s="47" t="s">
        <v>2957</v>
      </c>
    </row>
    <row r="344">
      <c r="A344" s="47" t="s">
        <v>3253</v>
      </c>
      <c r="B344" s="47" t="s">
        <v>824</v>
      </c>
      <c r="C344" s="47" t="s">
        <v>1466</v>
      </c>
      <c r="D344" s="48" t="b">
        <f>COUNTIF('Active Employees'!B:B, B344) &gt; 0</f>
        <v>1</v>
      </c>
      <c r="E344" s="48">
        <v>44624.0</v>
      </c>
      <c r="F344" s="48">
        <v>45930.0</v>
      </c>
      <c r="G344" s="47" t="s">
        <v>2962</v>
      </c>
    </row>
    <row r="345">
      <c r="A345" s="47" t="s">
        <v>3254</v>
      </c>
      <c r="B345" s="47" t="s">
        <v>298</v>
      </c>
      <c r="C345" s="47" t="s">
        <v>1466</v>
      </c>
      <c r="D345" s="48" t="b">
        <f>COUNTIF('Active Employees'!B:B, B345) &gt; 0</f>
        <v>1</v>
      </c>
      <c r="E345" s="48">
        <v>45636.0</v>
      </c>
      <c r="F345" s="48">
        <v>45930.0</v>
      </c>
      <c r="G345" s="47" t="s">
        <v>3182</v>
      </c>
    </row>
    <row r="346">
      <c r="A346" s="47" t="s">
        <v>3255</v>
      </c>
      <c r="B346" s="47" t="s">
        <v>650</v>
      </c>
      <c r="C346" s="47" t="s">
        <v>1466</v>
      </c>
      <c r="D346" s="48" t="b">
        <f>COUNTIF('Active Employees'!B:B, B346) &gt; 0</f>
        <v>1</v>
      </c>
      <c r="E346" s="48">
        <v>45236.0</v>
      </c>
      <c r="F346" s="48">
        <v>45930.0</v>
      </c>
      <c r="G346" s="47" t="s">
        <v>3123</v>
      </c>
    </row>
    <row r="347">
      <c r="A347" s="47" t="s">
        <v>3256</v>
      </c>
      <c r="B347" s="47" t="s">
        <v>862</v>
      </c>
      <c r="C347" s="47" t="s">
        <v>1466</v>
      </c>
      <c r="D347" s="48" t="b">
        <f>COUNTIF('Active Employees'!B:B, B347) &gt; 0</f>
        <v>1</v>
      </c>
      <c r="E347" s="48">
        <v>44944.0</v>
      </c>
      <c r="F347" s="48">
        <v>45930.0</v>
      </c>
      <c r="G347" s="47" t="s">
        <v>2957</v>
      </c>
    </row>
    <row r="348">
      <c r="A348" s="47" t="s">
        <v>3257</v>
      </c>
      <c r="B348" s="47" t="s">
        <v>3258</v>
      </c>
      <c r="C348" s="47" t="s">
        <v>1466</v>
      </c>
      <c r="D348" s="48" t="b">
        <f>COUNTIF('Active Employees'!B:B, B348) &gt; 0</f>
        <v>0</v>
      </c>
      <c r="E348" s="48">
        <v>45874.0</v>
      </c>
      <c r="F348" s="48">
        <v>45930.0</v>
      </c>
      <c r="G348" s="47" t="s">
        <v>2957</v>
      </c>
    </row>
    <row r="349">
      <c r="A349" s="47" t="s">
        <v>3259</v>
      </c>
      <c r="B349" s="47" t="s">
        <v>163</v>
      </c>
      <c r="C349" s="47" t="s">
        <v>1466</v>
      </c>
      <c r="D349" s="48" t="b">
        <f>COUNTIF('Active Employees'!B:B, B349) &gt; 0</f>
        <v>1</v>
      </c>
      <c r="E349" s="48">
        <v>44440.0</v>
      </c>
      <c r="F349" s="48">
        <v>45930.0</v>
      </c>
      <c r="G349" s="47" t="s">
        <v>3019</v>
      </c>
    </row>
    <row r="350">
      <c r="A350" s="47" t="s">
        <v>47</v>
      </c>
      <c r="B350" s="47" t="s">
        <v>958</v>
      </c>
      <c r="C350" s="47" t="s">
        <v>1466</v>
      </c>
      <c r="D350" s="48" t="b">
        <f>COUNTIF('Active Employees'!B:B, B350) &gt; 0</f>
        <v>1</v>
      </c>
      <c r="E350" s="48">
        <v>42303.0</v>
      </c>
      <c r="F350" s="48">
        <v>45930.0</v>
      </c>
      <c r="G350" s="47" t="s">
        <v>3004</v>
      </c>
    </row>
    <row r="351">
      <c r="A351" s="47" t="s">
        <v>3260</v>
      </c>
      <c r="B351" s="47" t="s">
        <v>1173</v>
      </c>
      <c r="C351" s="47" t="s">
        <v>1466</v>
      </c>
      <c r="D351" s="48" t="b">
        <f>COUNTIF('Active Employees'!B:B, B351) &gt; 0</f>
        <v>1</v>
      </c>
      <c r="E351" s="48">
        <v>44886.0</v>
      </c>
      <c r="F351" s="48">
        <v>45931.0</v>
      </c>
      <c r="G351" s="47" t="s">
        <v>2957</v>
      </c>
    </row>
    <row r="352">
      <c r="A352" s="47" t="s">
        <v>3261</v>
      </c>
      <c r="B352" s="47" t="s">
        <v>1054</v>
      </c>
      <c r="C352" s="47" t="s">
        <v>1466</v>
      </c>
      <c r="D352" s="48" t="b">
        <f>COUNTIF('Active Employees'!B:B, B352) &gt; 0</f>
        <v>1</v>
      </c>
      <c r="E352" s="48">
        <v>45282.0</v>
      </c>
      <c r="F352" s="48">
        <v>45931.0</v>
      </c>
      <c r="G352" s="47" t="s">
        <v>2957</v>
      </c>
    </row>
    <row r="353">
      <c r="A353" s="47" t="s">
        <v>3262</v>
      </c>
      <c r="B353" s="47" t="s">
        <v>404</v>
      </c>
      <c r="C353" s="47" t="s">
        <v>1466</v>
      </c>
      <c r="D353" s="48" t="b">
        <f>COUNTIF('Active Employees'!B:B, B353) &gt; 0</f>
        <v>1</v>
      </c>
      <c r="E353" s="48">
        <v>45524.0</v>
      </c>
      <c r="F353" s="48">
        <v>45931.0</v>
      </c>
      <c r="G353" s="47" t="s">
        <v>2991</v>
      </c>
    </row>
    <row r="354">
      <c r="A354" s="47" t="s">
        <v>505</v>
      </c>
      <c r="B354" s="47" t="s">
        <v>740</v>
      </c>
      <c r="C354" s="47" t="s">
        <v>1466</v>
      </c>
      <c r="D354" s="48" t="b">
        <f>COUNTIF('Active Employees'!B:B, B354) &gt; 0</f>
        <v>1</v>
      </c>
      <c r="E354" s="48">
        <v>45343.0</v>
      </c>
      <c r="F354" s="48">
        <v>45931.0</v>
      </c>
      <c r="G354" s="47" t="s">
        <v>2957</v>
      </c>
    </row>
    <row r="355">
      <c r="A355" s="47" t="s">
        <v>3263</v>
      </c>
      <c r="B355" s="47" t="s">
        <v>645</v>
      </c>
      <c r="C355" s="47" t="s">
        <v>1466</v>
      </c>
      <c r="D355" s="48" t="b">
        <f>COUNTIF('Active Employees'!B:B, B355) &gt; 0</f>
        <v>1</v>
      </c>
      <c r="E355" s="48">
        <v>44621.0</v>
      </c>
      <c r="F355" s="48">
        <v>45931.0</v>
      </c>
      <c r="G355" s="47" t="s">
        <v>3009</v>
      </c>
    </row>
    <row r="356">
      <c r="A356" s="47" t="s">
        <v>3264</v>
      </c>
      <c r="B356" s="47" t="s">
        <v>842</v>
      </c>
      <c r="C356" s="47" t="s">
        <v>1466</v>
      </c>
      <c r="D356" s="48" t="b">
        <f>COUNTIF('Active Employees'!B:B, B356) &gt; 0</f>
        <v>1</v>
      </c>
      <c r="E356" s="48">
        <v>45699.0</v>
      </c>
      <c r="F356" s="48">
        <v>45931.0</v>
      </c>
      <c r="G356" s="47" t="s">
        <v>2957</v>
      </c>
    </row>
    <row r="357">
      <c r="A357" s="47" t="s">
        <v>3265</v>
      </c>
      <c r="B357" s="47" t="s">
        <v>558</v>
      </c>
      <c r="C357" s="47" t="s">
        <v>1466</v>
      </c>
      <c r="D357" s="48" t="b">
        <f>COUNTIF('Active Employees'!B:B, B357) &gt; 0</f>
        <v>1</v>
      </c>
      <c r="E357" s="48">
        <v>45426.0</v>
      </c>
      <c r="F357" s="48">
        <v>45931.0</v>
      </c>
      <c r="G357" s="47" t="s">
        <v>2957</v>
      </c>
    </row>
    <row r="358">
      <c r="A358" s="47" t="s">
        <v>1832</v>
      </c>
      <c r="B358" s="47" t="s">
        <v>1344</v>
      </c>
      <c r="C358" s="47" t="s">
        <v>1466</v>
      </c>
      <c r="D358" s="48" t="b">
        <f>COUNTIF('Active Employees'!B:B, B358) &gt; 0</f>
        <v>1</v>
      </c>
      <c r="E358" s="48">
        <v>42822.0</v>
      </c>
      <c r="F358" s="48">
        <v>45931.0</v>
      </c>
      <c r="G358" s="47" t="s">
        <v>3052</v>
      </c>
    </row>
    <row r="359">
      <c r="A359" s="47" t="s">
        <v>195</v>
      </c>
      <c r="B359" s="47" t="s">
        <v>438</v>
      </c>
      <c r="C359" s="47" t="s">
        <v>1466</v>
      </c>
      <c r="D359" s="48" t="b">
        <f>COUNTIF('Active Employees'!B:B, B359) &gt; 0</f>
        <v>1</v>
      </c>
      <c r="E359" s="48">
        <v>44832.0</v>
      </c>
      <c r="F359" s="48">
        <v>45931.0</v>
      </c>
      <c r="G359" s="47" t="s">
        <v>3009</v>
      </c>
    </row>
    <row r="360">
      <c r="A360" s="47" t="s">
        <v>395</v>
      </c>
      <c r="B360" s="47" t="s">
        <v>397</v>
      </c>
      <c r="C360" s="47" t="s">
        <v>1466</v>
      </c>
      <c r="D360" s="48" t="b">
        <f>COUNTIF('Active Employees'!B:B, B360) &gt; 0</f>
        <v>1</v>
      </c>
      <c r="E360" s="48">
        <v>45910.0</v>
      </c>
      <c r="F360" s="48">
        <v>45931.0</v>
      </c>
      <c r="G360" s="47" t="s">
        <v>2957</v>
      </c>
    </row>
    <row r="361">
      <c r="A361" s="47" t="s">
        <v>3266</v>
      </c>
      <c r="B361" s="47" t="s">
        <v>1155</v>
      </c>
      <c r="C361" s="47" t="s">
        <v>1466</v>
      </c>
      <c r="D361" s="48" t="b">
        <f>COUNTIF('Active Employees'!B:B, B361) &gt; 0</f>
        <v>1</v>
      </c>
      <c r="E361" s="48">
        <v>44391.0</v>
      </c>
      <c r="F361" s="48">
        <v>45931.0</v>
      </c>
      <c r="G361" s="47" t="s">
        <v>3075</v>
      </c>
    </row>
    <row r="362">
      <c r="A362" s="47" t="s">
        <v>3267</v>
      </c>
      <c r="B362" s="47" t="s">
        <v>392</v>
      </c>
      <c r="C362" s="47" t="s">
        <v>1466</v>
      </c>
      <c r="D362" s="48" t="b">
        <f>COUNTIF('Active Employees'!B:B, B362) &gt; 0</f>
        <v>1</v>
      </c>
      <c r="E362" s="48">
        <v>45636.0</v>
      </c>
      <c r="F362" s="48">
        <v>45931.0</v>
      </c>
      <c r="G362" s="47" t="s">
        <v>3148</v>
      </c>
    </row>
    <row r="363">
      <c r="A363" s="47" t="s">
        <v>3268</v>
      </c>
      <c r="B363" s="47" t="s">
        <v>374</v>
      </c>
      <c r="C363" s="47" t="s">
        <v>1466</v>
      </c>
      <c r="D363" s="48" t="b">
        <f>COUNTIF('Active Employees'!B:B, B363) &gt; 0</f>
        <v>1</v>
      </c>
      <c r="E363" s="48">
        <v>45636.0</v>
      </c>
      <c r="F363" s="48">
        <v>45931.0</v>
      </c>
      <c r="G363" s="47" t="s">
        <v>3040</v>
      </c>
    </row>
    <row r="364">
      <c r="A364" s="47" t="s">
        <v>3269</v>
      </c>
      <c r="B364" s="47" t="s">
        <v>83</v>
      </c>
      <c r="C364" s="47" t="s">
        <v>1466</v>
      </c>
      <c r="D364" s="48" t="b">
        <f>COUNTIF('Active Employees'!B:B, B364) &gt; 0</f>
        <v>1</v>
      </c>
      <c r="E364" s="48">
        <v>45931.0</v>
      </c>
      <c r="F364" s="48">
        <v>45931.0</v>
      </c>
      <c r="G364" s="47" t="s">
        <v>2957</v>
      </c>
    </row>
    <row r="365">
      <c r="A365" s="47" t="s">
        <v>3270</v>
      </c>
      <c r="B365" s="47" t="s">
        <v>1143</v>
      </c>
      <c r="C365" s="47" t="s">
        <v>1466</v>
      </c>
      <c r="D365" s="48" t="b">
        <f>COUNTIF('Active Employees'!B:B, B365) &gt; 0</f>
        <v>1</v>
      </c>
      <c r="E365" s="48">
        <v>45237.0</v>
      </c>
      <c r="F365" s="48">
        <v>45931.0</v>
      </c>
      <c r="G365" s="47" t="s">
        <v>3004</v>
      </c>
    </row>
    <row r="366">
      <c r="A366" s="47" t="s">
        <v>3271</v>
      </c>
      <c r="B366" s="47" t="s">
        <v>844</v>
      </c>
      <c r="C366" s="47" t="s">
        <v>1466</v>
      </c>
      <c r="D366" s="48" t="b">
        <f>COUNTIF('Active Employees'!B:B, B366) &gt; 0</f>
        <v>1</v>
      </c>
      <c r="E366" s="48">
        <v>44677.0</v>
      </c>
      <c r="F366" s="48">
        <v>45931.0</v>
      </c>
      <c r="G366" s="47" t="s">
        <v>2957</v>
      </c>
    </row>
    <row r="367">
      <c r="A367" s="47" t="s">
        <v>3272</v>
      </c>
      <c r="B367" s="47" t="s">
        <v>1203</v>
      </c>
      <c r="C367" s="47" t="s">
        <v>1466</v>
      </c>
      <c r="D367" s="48" t="b">
        <f>COUNTIF('Active Employees'!B:B, B367) &gt; 0</f>
        <v>1</v>
      </c>
      <c r="E367" s="48">
        <v>44853.0</v>
      </c>
      <c r="F367" s="48">
        <v>45931.0</v>
      </c>
      <c r="G367" s="47" t="s">
        <v>2957</v>
      </c>
    </row>
    <row r="368">
      <c r="A368" s="47" t="s">
        <v>3273</v>
      </c>
      <c r="B368" s="47" t="s">
        <v>155</v>
      </c>
      <c r="C368" s="47" t="s">
        <v>1466</v>
      </c>
      <c r="D368" s="48" t="b">
        <f>COUNTIF('Active Employees'!B:B, B368) &gt; 0</f>
        <v>1</v>
      </c>
      <c r="E368" s="48">
        <v>44797.0</v>
      </c>
      <c r="F368" s="48">
        <v>45931.0</v>
      </c>
      <c r="G368" s="47" t="s">
        <v>2957</v>
      </c>
    </row>
    <row r="369">
      <c r="A369" s="47" t="s">
        <v>3274</v>
      </c>
      <c r="B369" s="47" t="s">
        <v>319</v>
      </c>
      <c r="C369" s="47" t="s">
        <v>1466</v>
      </c>
      <c r="D369" s="48" t="b">
        <f>COUNTIF('Active Employees'!B:B, B369) &gt; 0</f>
        <v>1</v>
      </c>
      <c r="E369" s="48">
        <v>45492.0</v>
      </c>
      <c r="F369" s="48">
        <v>45931.0</v>
      </c>
      <c r="G369" s="47" t="s">
        <v>2962</v>
      </c>
    </row>
    <row r="370">
      <c r="A370" s="47" t="s">
        <v>3275</v>
      </c>
      <c r="B370" s="47" t="s">
        <v>325</v>
      </c>
      <c r="C370" s="47" t="s">
        <v>1466</v>
      </c>
      <c r="D370" s="48" t="b">
        <f>COUNTIF('Active Employees'!B:B, B370) &gt; 0</f>
        <v>1</v>
      </c>
      <c r="E370" s="48">
        <v>44672.0</v>
      </c>
      <c r="F370" s="48">
        <v>45931.0</v>
      </c>
      <c r="G370" s="47" t="s">
        <v>2957</v>
      </c>
    </row>
    <row r="371">
      <c r="A371" s="47" t="s">
        <v>3276</v>
      </c>
      <c r="B371" s="47" t="s">
        <v>1161</v>
      </c>
      <c r="C371" s="47" t="s">
        <v>1466</v>
      </c>
      <c r="D371" s="48" t="b">
        <f>COUNTIF('Active Employees'!B:B, B371) &gt; 0</f>
        <v>1</v>
      </c>
      <c r="E371" s="48">
        <v>44522.0</v>
      </c>
      <c r="F371" s="48">
        <v>45931.0</v>
      </c>
      <c r="G371" s="47" t="s">
        <v>2962</v>
      </c>
    </row>
    <row r="372">
      <c r="A372" s="47" t="s">
        <v>3277</v>
      </c>
      <c r="B372" s="47" t="s">
        <v>450</v>
      </c>
      <c r="C372" s="47" t="s">
        <v>1466</v>
      </c>
      <c r="D372" s="48" t="b">
        <f>COUNTIF('Active Employees'!B:B, B372) &gt; 0</f>
        <v>1</v>
      </c>
      <c r="E372" s="48">
        <v>44656.0</v>
      </c>
      <c r="F372" s="48">
        <v>45931.0</v>
      </c>
      <c r="G372" s="47" t="s">
        <v>2957</v>
      </c>
    </row>
    <row r="373">
      <c r="A373" s="47" t="s">
        <v>3278</v>
      </c>
      <c r="B373" s="47" t="s">
        <v>1385</v>
      </c>
      <c r="C373" s="47" t="s">
        <v>1466</v>
      </c>
      <c r="D373" s="48" t="b">
        <f>COUNTIF('Active Employees'!B:B, B373) &gt; 0</f>
        <v>1</v>
      </c>
      <c r="E373" s="48">
        <v>45086.0</v>
      </c>
      <c r="F373" s="48">
        <v>45931.0</v>
      </c>
      <c r="G373" s="47" t="s">
        <v>2957</v>
      </c>
    </row>
    <row r="374">
      <c r="A374" s="47" t="s">
        <v>3279</v>
      </c>
      <c r="B374" s="47" t="s">
        <v>502</v>
      </c>
      <c r="C374" s="47" t="s">
        <v>1466</v>
      </c>
      <c r="D374" s="48" t="b">
        <f>COUNTIF('Active Employees'!B:B, B374) &gt; 0</f>
        <v>1</v>
      </c>
      <c r="E374" s="48">
        <v>45889.0</v>
      </c>
      <c r="F374" s="48">
        <v>45931.0</v>
      </c>
      <c r="G374" s="47" t="s">
        <v>2957</v>
      </c>
    </row>
    <row r="375">
      <c r="A375" s="47" t="s">
        <v>3280</v>
      </c>
      <c r="B375" s="47" t="s">
        <v>1280</v>
      </c>
      <c r="C375" s="47" t="s">
        <v>1466</v>
      </c>
      <c r="D375" s="48" t="b">
        <f>COUNTIF('Active Employees'!B:B, B375) &gt; 0</f>
        <v>1</v>
      </c>
      <c r="E375" s="48">
        <v>45559.0</v>
      </c>
      <c r="F375" s="48">
        <v>45932.0</v>
      </c>
      <c r="G375" s="47" t="s">
        <v>2957</v>
      </c>
    </row>
    <row r="376">
      <c r="A376" s="47" t="s">
        <v>664</v>
      </c>
      <c r="B376" s="47" t="s">
        <v>175</v>
      </c>
      <c r="C376" s="47" t="s">
        <v>1466</v>
      </c>
      <c r="D376" s="48" t="b">
        <f>COUNTIF('Active Employees'!B:B, B376) &gt; 0</f>
        <v>1</v>
      </c>
      <c r="E376" s="48">
        <v>45240.0</v>
      </c>
      <c r="F376" s="48">
        <v>45932.0</v>
      </c>
      <c r="G376" s="47" t="s">
        <v>2957</v>
      </c>
    </row>
    <row r="377">
      <c r="A377" s="47" t="s">
        <v>3281</v>
      </c>
      <c r="B377" s="47" t="s">
        <v>527</v>
      </c>
      <c r="C377" s="47" t="s">
        <v>1466</v>
      </c>
      <c r="D377" s="48" t="b">
        <f>COUNTIF('Active Employees'!B:B, B377) &gt; 0</f>
        <v>1</v>
      </c>
      <c r="E377" s="48">
        <v>45215.0</v>
      </c>
      <c r="F377" s="48">
        <v>45932.0</v>
      </c>
      <c r="G377" s="47" t="s">
        <v>2957</v>
      </c>
    </row>
    <row r="378">
      <c r="A378" s="47" t="s">
        <v>3282</v>
      </c>
      <c r="B378" s="47" t="s">
        <v>1257</v>
      </c>
      <c r="C378" s="47" t="s">
        <v>1466</v>
      </c>
      <c r="D378" s="48" t="b">
        <f>COUNTIF('Active Employees'!B:B, B378) &gt; 0</f>
        <v>1</v>
      </c>
      <c r="E378" s="48">
        <v>45132.0</v>
      </c>
      <c r="F378" s="48">
        <v>45932.0</v>
      </c>
      <c r="G378" s="47" t="s">
        <v>2957</v>
      </c>
    </row>
    <row r="379">
      <c r="A379" s="47" t="s">
        <v>3283</v>
      </c>
      <c r="B379" s="47" t="s">
        <v>1118</v>
      </c>
      <c r="C379" s="47" t="s">
        <v>1466</v>
      </c>
      <c r="D379" s="48" t="b">
        <f>COUNTIF('Active Employees'!B:B, B379) &gt; 0</f>
        <v>1</v>
      </c>
      <c r="E379" s="48">
        <v>45456.0</v>
      </c>
      <c r="F379" s="48">
        <v>45932.0</v>
      </c>
      <c r="G379" s="47" t="s">
        <v>3284</v>
      </c>
    </row>
    <row r="380">
      <c r="A380" s="47" t="s">
        <v>3285</v>
      </c>
      <c r="B380" s="47" t="s">
        <v>1183</v>
      </c>
      <c r="C380" s="47" t="s">
        <v>1466</v>
      </c>
      <c r="D380" s="48" t="b">
        <f>COUNTIF('Active Employees'!B:B, B380) &gt; 0</f>
        <v>1</v>
      </c>
      <c r="E380" s="48">
        <v>44645.0</v>
      </c>
      <c r="F380" s="48">
        <v>45932.0</v>
      </c>
      <c r="G380" s="47" t="s">
        <v>2962</v>
      </c>
    </row>
    <row r="381">
      <c r="A381" s="47" t="s">
        <v>3286</v>
      </c>
      <c r="B381" s="47" t="s">
        <v>1132</v>
      </c>
      <c r="C381" s="47" t="s">
        <v>1466</v>
      </c>
      <c r="D381" s="48" t="b">
        <f>COUNTIF('Active Employees'!B:B, B381) &gt; 0</f>
        <v>1</v>
      </c>
      <c r="E381" s="48">
        <v>45793.0</v>
      </c>
      <c r="F381" s="48">
        <v>45932.0</v>
      </c>
      <c r="G381" s="47" t="s">
        <v>3287</v>
      </c>
    </row>
    <row r="382">
      <c r="A382" s="47" t="s">
        <v>3288</v>
      </c>
      <c r="B382" s="47" t="s">
        <v>1178</v>
      </c>
      <c r="C382" s="47" t="s">
        <v>1466</v>
      </c>
      <c r="D382" s="48" t="b">
        <f>COUNTIF('Active Employees'!B:B, B382) &gt; 0</f>
        <v>1</v>
      </c>
      <c r="E382" s="48">
        <v>44981.0</v>
      </c>
      <c r="F382" s="48">
        <v>45932.0</v>
      </c>
      <c r="G382" s="47" t="s">
        <v>2957</v>
      </c>
    </row>
    <row r="383">
      <c r="A383" s="47" t="s">
        <v>3289</v>
      </c>
      <c r="B383" s="47" t="s">
        <v>1167</v>
      </c>
      <c r="C383" s="47" t="s">
        <v>1466</v>
      </c>
      <c r="D383" s="48" t="b">
        <f>COUNTIF('Active Employees'!B:B, B383) &gt; 0</f>
        <v>1</v>
      </c>
      <c r="E383" s="48">
        <v>44474.0</v>
      </c>
      <c r="F383" s="48">
        <v>45932.0</v>
      </c>
      <c r="G383" s="47" t="s">
        <v>2962</v>
      </c>
    </row>
    <row r="384">
      <c r="A384" s="47" t="s">
        <v>3290</v>
      </c>
      <c r="B384" s="47" t="s">
        <v>49</v>
      </c>
      <c r="C384" s="47" t="s">
        <v>1466</v>
      </c>
      <c r="D384" s="48" t="b">
        <f>COUNTIF('Active Employees'!B:B, B384) &gt; 0</f>
        <v>1</v>
      </c>
      <c r="E384" s="48">
        <v>44690.0</v>
      </c>
      <c r="F384" s="48">
        <v>45932.0</v>
      </c>
      <c r="G384" s="47" t="s">
        <v>3009</v>
      </c>
    </row>
    <row r="385">
      <c r="A385" s="47" t="s">
        <v>3291</v>
      </c>
      <c r="B385" s="47" t="s">
        <v>647</v>
      </c>
      <c r="C385" s="47" t="s">
        <v>1466</v>
      </c>
      <c r="D385" s="48" t="b">
        <f>COUNTIF('Active Employees'!B:B, B385) &gt; 0</f>
        <v>1</v>
      </c>
      <c r="E385" s="48">
        <v>45217.0</v>
      </c>
      <c r="F385" s="48">
        <v>45932.0</v>
      </c>
      <c r="G385" s="47" t="s">
        <v>3292</v>
      </c>
    </row>
    <row r="386">
      <c r="A386" s="47" t="s">
        <v>3293</v>
      </c>
      <c r="B386" s="47" t="s">
        <v>55</v>
      </c>
      <c r="C386" s="47" t="s">
        <v>1466</v>
      </c>
      <c r="D386" s="48" t="b">
        <f>COUNTIF('Active Employees'!B:B, B386) &gt; 0</f>
        <v>1</v>
      </c>
      <c r="E386" s="48">
        <v>45251.0</v>
      </c>
      <c r="F386" s="48">
        <v>45932.0</v>
      </c>
      <c r="G386" s="47" t="s">
        <v>2957</v>
      </c>
    </row>
    <row r="387">
      <c r="A387" s="47" t="s">
        <v>3294</v>
      </c>
      <c r="B387" s="47" t="s">
        <v>287</v>
      </c>
      <c r="C387" s="47" t="s">
        <v>1466</v>
      </c>
      <c r="D387" s="48" t="b">
        <f>COUNTIF('Active Employees'!B:B, B387) &gt; 0</f>
        <v>1</v>
      </c>
      <c r="E387" s="48">
        <v>42461.0</v>
      </c>
      <c r="F387" s="48">
        <v>45932.0</v>
      </c>
      <c r="G387" s="47" t="s">
        <v>2962</v>
      </c>
    </row>
    <row r="388">
      <c r="A388" s="47" t="s">
        <v>3295</v>
      </c>
      <c r="B388" s="47" t="s">
        <v>926</v>
      </c>
      <c r="C388" s="47" t="s">
        <v>1466</v>
      </c>
      <c r="D388" s="48" t="b">
        <f>COUNTIF('Active Employees'!B:B, B388) &gt; 0</f>
        <v>1</v>
      </c>
      <c r="E388" s="48">
        <v>44875.0</v>
      </c>
      <c r="F388" s="48">
        <v>45932.0</v>
      </c>
      <c r="G388" s="47" t="s">
        <v>2957</v>
      </c>
    </row>
    <row r="389">
      <c r="A389" s="47" t="s">
        <v>3296</v>
      </c>
      <c r="B389" s="47" t="s">
        <v>1306</v>
      </c>
      <c r="C389" s="47" t="s">
        <v>1466</v>
      </c>
      <c r="D389" s="48" t="b">
        <f>COUNTIF('Active Employees'!B:B, B389) &gt; 0</f>
        <v>1</v>
      </c>
      <c r="E389" s="48">
        <v>45671.0</v>
      </c>
      <c r="F389" s="48">
        <v>45932.0</v>
      </c>
      <c r="G389" s="47" t="s">
        <v>2957</v>
      </c>
    </row>
    <row r="390">
      <c r="A390" s="47" t="s">
        <v>3297</v>
      </c>
      <c r="B390" s="47" t="s">
        <v>426</v>
      </c>
      <c r="C390" s="47" t="s">
        <v>1466</v>
      </c>
      <c r="D390" s="48" t="b">
        <f>COUNTIF('Active Employees'!B:B, B390) &gt; 0</f>
        <v>1</v>
      </c>
      <c r="E390" s="48">
        <v>45783.0</v>
      </c>
      <c r="F390" s="48">
        <v>45932.0</v>
      </c>
      <c r="G390" s="47" t="s">
        <v>3246</v>
      </c>
    </row>
    <row r="391">
      <c r="A391" s="47" t="s">
        <v>3298</v>
      </c>
      <c r="B391" s="47" t="s">
        <v>153</v>
      </c>
      <c r="C391" s="47" t="s">
        <v>1466</v>
      </c>
      <c r="D391" s="48" t="b">
        <f>COUNTIF('Active Employees'!B:B, B391) &gt; 0</f>
        <v>1</v>
      </c>
      <c r="E391" s="48">
        <v>45428.0</v>
      </c>
      <c r="F391" s="48">
        <v>45932.0</v>
      </c>
      <c r="G391" s="47" t="s">
        <v>2957</v>
      </c>
    </row>
    <row r="392">
      <c r="A392" s="47" t="s">
        <v>3299</v>
      </c>
      <c r="B392" s="47" t="s">
        <v>965</v>
      </c>
      <c r="C392" s="47" t="s">
        <v>1466</v>
      </c>
      <c r="D392" s="48" t="b">
        <f>COUNTIF('Active Employees'!B:B, B392) &gt; 0</f>
        <v>1</v>
      </c>
      <c r="E392" s="48">
        <v>44473.0</v>
      </c>
      <c r="F392" s="48">
        <v>45932.0</v>
      </c>
      <c r="G392" s="47" t="s">
        <v>2962</v>
      </c>
    </row>
    <row r="393">
      <c r="A393" s="47" t="s">
        <v>3300</v>
      </c>
      <c r="B393" s="47" t="s">
        <v>580</v>
      </c>
      <c r="C393" s="47" t="s">
        <v>1466</v>
      </c>
      <c r="D393" s="48" t="b">
        <f>COUNTIF('Active Employees'!B:B, B393) &gt; 0</f>
        <v>1</v>
      </c>
      <c r="E393" s="48">
        <v>44726.0</v>
      </c>
      <c r="F393" s="48">
        <v>45932.0</v>
      </c>
      <c r="G393" s="47" t="s">
        <v>3004</v>
      </c>
    </row>
    <row r="394">
      <c r="A394" s="47" t="s">
        <v>80</v>
      </c>
      <c r="B394" s="47" t="s">
        <v>1314</v>
      </c>
      <c r="C394" s="47" t="s">
        <v>1466</v>
      </c>
      <c r="D394" s="48" t="b">
        <f>COUNTIF('Active Employees'!B:B, B394) &gt; 0</f>
        <v>1</v>
      </c>
      <c r="E394" s="48">
        <v>44811.0</v>
      </c>
      <c r="F394" s="48">
        <v>45932.0</v>
      </c>
      <c r="G394" s="47" t="s">
        <v>2957</v>
      </c>
    </row>
    <row r="395">
      <c r="A395" s="47" t="s">
        <v>3301</v>
      </c>
      <c r="B395" s="47" t="s">
        <v>1024</v>
      </c>
      <c r="C395" s="47" t="s">
        <v>1466</v>
      </c>
      <c r="D395" s="48" t="b">
        <f>COUNTIF('Active Employees'!B:B, B395) &gt; 0</f>
        <v>1</v>
      </c>
      <c r="E395" s="48">
        <v>45413.0</v>
      </c>
      <c r="F395" s="48">
        <v>45932.0</v>
      </c>
      <c r="G395" s="47" t="s">
        <v>2957</v>
      </c>
    </row>
    <row r="396">
      <c r="A396" s="47" t="s">
        <v>3302</v>
      </c>
      <c r="B396" s="47" t="s">
        <v>513</v>
      </c>
      <c r="C396" s="47" t="s">
        <v>1466</v>
      </c>
      <c r="D396" s="48" t="b">
        <f>COUNTIF('Active Employees'!B:B, B396) &gt; 0</f>
        <v>1</v>
      </c>
      <c r="E396" s="48">
        <v>45034.0</v>
      </c>
      <c r="F396" s="48">
        <v>45932.0</v>
      </c>
      <c r="G396" s="47" t="s">
        <v>2957</v>
      </c>
    </row>
    <row r="397">
      <c r="A397" s="47" t="s">
        <v>183</v>
      </c>
      <c r="B397" s="47" t="s">
        <v>358</v>
      </c>
      <c r="C397" s="47" t="s">
        <v>1466</v>
      </c>
      <c r="D397" s="48" t="b">
        <f>COUNTIF('Active Employees'!B:B, B397) &gt; 0</f>
        <v>1</v>
      </c>
      <c r="E397" s="48">
        <v>45076.0</v>
      </c>
      <c r="F397" s="48">
        <v>45932.0</v>
      </c>
      <c r="G397" s="47" t="s">
        <v>3019</v>
      </c>
    </row>
    <row r="398">
      <c r="A398" s="47" t="s">
        <v>1895</v>
      </c>
      <c r="B398" s="47" t="s">
        <v>748</v>
      </c>
      <c r="C398" s="47" t="s">
        <v>1466</v>
      </c>
      <c r="D398" s="48" t="b">
        <f>COUNTIF('Active Employees'!B:B, B398) &gt; 0</f>
        <v>1</v>
      </c>
      <c r="E398" s="48">
        <v>45401.0</v>
      </c>
      <c r="F398" s="48">
        <v>45932.0</v>
      </c>
      <c r="G398" s="47" t="s">
        <v>2957</v>
      </c>
    </row>
    <row r="399">
      <c r="A399" s="47" t="s">
        <v>3303</v>
      </c>
      <c r="B399" s="47" t="s">
        <v>1297</v>
      </c>
      <c r="C399" s="47" t="s">
        <v>1466</v>
      </c>
      <c r="D399" s="48" t="b">
        <f>COUNTIF('Active Employees'!B:B, B399) &gt; 0</f>
        <v>1</v>
      </c>
      <c r="E399" s="48">
        <v>45218.0</v>
      </c>
      <c r="F399" s="48">
        <v>45932.0</v>
      </c>
      <c r="G399" s="47" t="s">
        <v>2957</v>
      </c>
    </row>
    <row r="400">
      <c r="A400" s="47" t="s">
        <v>2961</v>
      </c>
      <c r="B400" s="47" t="s">
        <v>669</v>
      </c>
      <c r="C400" s="47" t="s">
        <v>1466</v>
      </c>
      <c r="D400" s="48" t="b">
        <f>COUNTIF('Active Employees'!B:B, B400) &gt; 0</f>
        <v>1</v>
      </c>
      <c r="E400" s="48">
        <v>44735.0</v>
      </c>
      <c r="F400" s="48">
        <v>45932.0</v>
      </c>
      <c r="G400" s="47" t="s">
        <v>2962</v>
      </c>
    </row>
    <row r="401">
      <c r="A401" s="47" t="s">
        <v>3304</v>
      </c>
      <c r="B401" s="47" t="s">
        <v>663</v>
      </c>
      <c r="C401" s="47" t="s">
        <v>1466</v>
      </c>
      <c r="D401" s="48" t="b">
        <f>COUNTIF('Active Employees'!B:B, B401) &gt; 0</f>
        <v>1</v>
      </c>
      <c r="E401" s="48">
        <v>45734.0</v>
      </c>
      <c r="F401" s="48">
        <v>45932.0</v>
      </c>
      <c r="G401" s="47" t="s">
        <v>2957</v>
      </c>
    </row>
    <row r="402">
      <c r="A402" s="47" t="s">
        <v>107</v>
      </c>
      <c r="B402" s="47" t="s">
        <v>1361</v>
      </c>
      <c r="C402" s="47" t="s">
        <v>1466</v>
      </c>
      <c r="D402" s="48" t="b">
        <f>COUNTIF('Active Employees'!B:B, B402) &gt; 0</f>
        <v>1</v>
      </c>
      <c r="E402" s="48">
        <v>45363.0</v>
      </c>
      <c r="F402" s="48">
        <v>45932.0</v>
      </c>
      <c r="G402" s="47" t="s">
        <v>2962</v>
      </c>
    </row>
    <row r="403">
      <c r="A403" s="47" t="s">
        <v>360</v>
      </c>
      <c r="B403" s="47" t="s">
        <v>993</v>
      </c>
      <c r="C403" s="47" t="s">
        <v>1466</v>
      </c>
      <c r="D403" s="48" t="b">
        <f>COUNTIF('Active Employees'!B:B, B403) &gt; 0</f>
        <v>1</v>
      </c>
      <c r="E403" s="48">
        <v>45854.0</v>
      </c>
      <c r="F403" s="48">
        <v>45932.0</v>
      </c>
      <c r="G403" s="47" t="s">
        <v>2957</v>
      </c>
    </row>
    <row r="404">
      <c r="A404" s="47" t="s">
        <v>3305</v>
      </c>
      <c r="B404" s="47" t="s">
        <v>1048</v>
      </c>
      <c r="C404" s="47" t="s">
        <v>1466</v>
      </c>
      <c r="D404" s="48" t="b">
        <f>COUNTIF('Active Employees'!B:B, B404) &gt; 0</f>
        <v>1</v>
      </c>
      <c r="E404" s="48">
        <v>45876.0</v>
      </c>
      <c r="F404" s="48">
        <v>45932.0</v>
      </c>
      <c r="G404" s="47" t="s">
        <v>2957</v>
      </c>
    </row>
    <row r="405">
      <c r="A405" s="47" t="s">
        <v>3306</v>
      </c>
      <c r="B405" s="47" t="s">
        <v>893</v>
      </c>
      <c r="C405" s="47" t="s">
        <v>1466</v>
      </c>
      <c r="D405" s="48" t="b">
        <f>COUNTIF('Active Employees'!B:B, B405) &gt; 0</f>
        <v>1</v>
      </c>
      <c r="E405" s="48">
        <v>45272.0</v>
      </c>
      <c r="F405" s="48">
        <v>45932.0</v>
      </c>
      <c r="G405" s="47" t="s">
        <v>3307</v>
      </c>
    </row>
    <row r="406">
      <c r="A406" s="47" t="s">
        <v>3308</v>
      </c>
      <c r="B406" s="47" t="s">
        <v>180</v>
      </c>
      <c r="C406" s="47" t="s">
        <v>1466</v>
      </c>
      <c r="D406" s="48" t="b">
        <f>COUNTIF('Active Employees'!B:B, B406) &gt; 0</f>
        <v>1</v>
      </c>
      <c r="E406" s="48">
        <v>44503.0</v>
      </c>
      <c r="F406" s="48">
        <v>45932.0</v>
      </c>
      <c r="G406" s="47" t="s">
        <v>2962</v>
      </c>
    </row>
    <row r="407">
      <c r="A407" s="47" t="s">
        <v>3309</v>
      </c>
      <c r="B407" s="47" t="s">
        <v>1223</v>
      </c>
      <c r="C407" s="47" t="s">
        <v>1466</v>
      </c>
      <c r="D407" s="48" t="b">
        <f>COUNTIF('Active Employees'!B:B, B407) &gt; 0</f>
        <v>1</v>
      </c>
      <c r="E407" s="48">
        <v>44956.0</v>
      </c>
      <c r="F407" s="48">
        <v>45932.0</v>
      </c>
      <c r="G407" s="47" t="s">
        <v>2957</v>
      </c>
    </row>
    <row r="408">
      <c r="A408" s="47" t="s">
        <v>3310</v>
      </c>
      <c r="B408" s="47" t="s">
        <v>886</v>
      </c>
      <c r="C408" s="47" t="s">
        <v>1466</v>
      </c>
      <c r="D408" s="48" t="b">
        <f>COUNTIF('Active Employees'!B:B, B408) &gt; 0</f>
        <v>1</v>
      </c>
      <c r="E408" s="48">
        <v>45461.0</v>
      </c>
      <c r="F408" s="48">
        <v>45932.0</v>
      </c>
      <c r="G408" s="47" t="s">
        <v>2957</v>
      </c>
    </row>
    <row r="409">
      <c r="A409" s="47" t="s">
        <v>3311</v>
      </c>
      <c r="B409" s="47" t="s">
        <v>1271</v>
      </c>
      <c r="C409" s="47" t="s">
        <v>1466</v>
      </c>
      <c r="D409" s="48" t="b">
        <f>COUNTIF('Active Employees'!B:B, B409) &gt; 0</f>
        <v>1</v>
      </c>
      <c r="E409" s="48">
        <v>44782.0</v>
      </c>
      <c r="F409" s="48">
        <v>45933.0</v>
      </c>
      <c r="G409" s="47" t="s">
        <v>2999</v>
      </c>
    </row>
    <row r="410">
      <c r="A410" s="47" t="s">
        <v>3312</v>
      </c>
      <c r="B410" s="47" t="s">
        <v>1018</v>
      </c>
      <c r="C410" s="47" t="s">
        <v>1466</v>
      </c>
      <c r="D410" s="48" t="b">
        <f>COUNTIF('Active Employees'!B:B, B410) &gt; 0</f>
        <v>1</v>
      </c>
      <c r="E410" s="48">
        <v>45544.0</v>
      </c>
      <c r="F410" s="48">
        <v>45933.0</v>
      </c>
      <c r="G410" s="47" t="s">
        <v>2957</v>
      </c>
    </row>
    <row r="411">
      <c r="A411" s="47" t="s">
        <v>3313</v>
      </c>
      <c r="B411" s="47" t="s">
        <v>805</v>
      </c>
      <c r="C411" s="47" t="s">
        <v>1466</v>
      </c>
      <c r="D411" s="48" t="b">
        <f>COUNTIF('Active Employees'!B:B, B411) &gt; 0</f>
        <v>1</v>
      </c>
      <c r="E411" s="48">
        <v>45329.0</v>
      </c>
      <c r="F411" s="48">
        <v>45933.0</v>
      </c>
      <c r="G411" s="47" t="s">
        <v>2957</v>
      </c>
    </row>
    <row r="412">
      <c r="A412" s="47" t="s">
        <v>3314</v>
      </c>
      <c r="B412" s="47" t="s">
        <v>848</v>
      </c>
      <c r="C412" s="47" t="s">
        <v>1466</v>
      </c>
      <c r="D412" s="48" t="b">
        <f>COUNTIF('Active Employees'!B:B, B412) &gt; 0</f>
        <v>1</v>
      </c>
      <c r="E412" s="48">
        <v>45191.0</v>
      </c>
      <c r="F412" s="48">
        <v>45933.0</v>
      </c>
      <c r="G412" s="47" t="s">
        <v>2962</v>
      </c>
    </row>
    <row r="413">
      <c r="A413" s="47" t="s">
        <v>3315</v>
      </c>
      <c r="B413" s="47" t="s">
        <v>1074</v>
      </c>
      <c r="C413" s="47" t="s">
        <v>1466</v>
      </c>
      <c r="D413" s="48" t="b">
        <f>COUNTIF('Active Employees'!B:B, B413) &gt; 0</f>
        <v>1</v>
      </c>
      <c r="E413" s="48">
        <v>44972.0</v>
      </c>
      <c r="F413" s="48">
        <v>45933.0</v>
      </c>
      <c r="G413" s="47" t="s">
        <v>3316</v>
      </c>
    </row>
    <row r="414">
      <c r="A414" s="47" t="s">
        <v>3317</v>
      </c>
      <c r="B414" s="47" t="s">
        <v>571</v>
      </c>
      <c r="C414" s="47" t="s">
        <v>1466</v>
      </c>
      <c r="D414" s="48" t="b">
        <f>COUNTIF('Active Employees'!B:B, B414) &gt; 0</f>
        <v>1</v>
      </c>
      <c r="E414" s="48">
        <v>44851.0</v>
      </c>
      <c r="F414" s="48">
        <v>45933.0</v>
      </c>
      <c r="G414" s="47" t="s">
        <v>2962</v>
      </c>
    </row>
    <row r="415">
      <c r="A415" s="47" t="s">
        <v>3318</v>
      </c>
      <c r="B415" s="47" t="s">
        <v>575</v>
      </c>
      <c r="C415" s="47" t="s">
        <v>1466</v>
      </c>
      <c r="D415" s="48" t="b">
        <f>COUNTIF('Active Employees'!B:B, B415) &gt; 0</f>
        <v>1</v>
      </c>
      <c r="E415" s="48">
        <v>45693.0</v>
      </c>
      <c r="F415" s="48">
        <v>45933.0</v>
      </c>
      <c r="G415" s="47" t="s">
        <v>2962</v>
      </c>
    </row>
    <row r="416">
      <c r="A416" s="47" t="s">
        <v>3319</v>
      </c>
      <c r="B416" s="47" t="s">
        <v>1412</v>
      </c>
      <c r="C416" s="47" t="s">
        <v>1466</v>
      </c>
      <c r="D416" s="48" t="b">
        <f>COUNTIF('Active Employees'!B:B, B416) &gt; 0</f>
        <v>1</v>
      </c>
      <c r="E416" s="48">
        <v>45634.0</v>
      </c>
      <c r="F416" s="48">
        <v>45933.0</v>
      </c>
      <c r="G416" s="47" t="s">
        <v>2957</v>
      </c>
    </row>
    <row r="417">
      <c r="A417" s="47" t="s">
        <v>333</v>
      </c>
      <c r="B417" s="47" t="s">
        <v>240</v>
      </c>
      <c r="C417" s="47" t="s">
        <v>1466</v>
      </c>
      <c r="D417" s="48" t="b">
        <f>COUNTIF('Active Employees'!B:B, B417) &gt; 0</f>
        <v>1</v>
      </c>
      <c r="E417" s="48">
        <v>45876.0</v>
      </c>
      <c r="F417" s="48">
        <v>45933.0</v>
      </c>
      <c r="G417" s="47" t="s">
        <v>2957</v>
      </c>
    </row>
    <row r="418">
      <c r="A418" s="47" t="s">
        <v>3320</v>
      </c>
      <c r="B418" s="47" t="s">
        <v>1134</v>
      </c>
      <c r="C418" s="47" t="s">
        <v>1466</v>
      </c>
      <c r="D418" s="48" t="b">
        <f>COUNTIF('Active Employees'!B:B, B418) &gt; 0</f>
        <v>1</v>
      </c>
      <c r="E418" s="48">
        <v>45429.0</v>
      </c>
      <c r="F418" s="48">
        <v>45933.0</v>
      </c>
      <c r="G418" s="47" t="s">
        <v>2957</v>
      </c>
    </row>
    <row r="419">
      <c r="A419" s="47" t="s">
        <v>3321</v>
      </c>
      <c r="B419" s="47" t="s">
        <v>776</v>
      </c>
      <c r="C419" s="47" t="s">
        <v>1466</v>
      </c>
      <c r="D419" s="48" t="b">
        <f>COUNTIF('Active Employees'!B:B, B419) &gt; 0</f>
        <v>1</v>
      </c>
      <c r="E419" s="48">
        <v>45320.0</v>
      </c>
      <c r="F419" s="48">
        <v>45933.0</v>
      </c>
      <c r="G419" s="47" t="s">
        <v>2957</v>
      </c>
    </row>
    <row r="420">
      <c r="A420" s="47" t="s">
        <v>1950</v>
      </c>
      <c r="B420" s="47" t="s">
        <v>905</v>
      </c>
      <c r="C420" s="47" t="s">
        <v>1466</v>
      </c>
      <c r="D420" s="48" t="b">
        <f>COUNTIF('Active Employees'!B:B, B420) &gt; 0</f>
        <v>1</v>
      </c>
      <c r="E420" s="48">
        <v>43266.0</v>
      </c>
      <c r="F420" s="48">
        <v>45933.0</v>
      </c>
      <c r="G420" s="47" t="s">
        <v>2962</v>
      </c>
    </row>
    <row r="421">
      <c r="A421" s="47" t="s">
        <v>3322</v>
      </c>
      <c r="B421" s="47" t="s">
        <v>1004</v>
      </c>
      <c r="C421" s="47" t="s">
        <v>1466</v>
      </c>
      <c r="D421" s="48" t="b">
        <f>COUNTIF('Active Employees'!B:B, B421) &gt; 0</f>
        <v>1</v>
      </c>
      <c r="E421" s="48">
        <v>45826.0</v>
      </c>
      <c r="F421" s="48">
        <v>45933.0</v>
      </c>
      <c r="G421" s="47" t="s">
        <v>2957</v>
      </c>
    </row>
    <row r="422">
      <c r="A422" s="47" t="s">
        <v>3323</v>
      </c>
      <c r="B422" s="47" t="s">
        <v>3324</v>
      </c>
      <c r="C422" s="47" t="s">
        <v>1466</v>
      </c>
      <c r="D422" s="48" t="b">
        <f>COUNTIF('Active Employees'!B:B, B422) &gt; 0</f>
        <v>0</v>
      </c>
      <c r="E422" s="48">
        <v>45600.0</v>
      </c>
      <c r="F422" s="48">
        <v>45933.0</v>
      </c>
      <c r="G422" s="47" t="s">
        <v>3135</v>
      </c>
    </row>
    <row r="423">
      <c r="A423" s="21"/>
      <c r="B423" s="21"/>
      <c r="C423" s="21"/>
      <c r="D423" s="21"/>
      <c r="E423" s="21"/>
      <c r="F423" s="21"/>
      <c r="G423" s="21"/>
    </row>
    <row r="424">
      <c r="A424" s="21"/>
      <c r="B424" s="21"/>
      <c r="C424" s="21"/>
      <c r="D424" s="21"/>
      <c r="E424" s="21"/>
      <c r="F424" s="21"/>
      <c r="G424" s="21"/>
    </row>
    <row r="425">
      <c r="A425" s="21"/>
      <c r="B425" s="21"/>
      <c r="C425" s="21"/>
      <c r="D425" s="21"/>
      <c r="E425" s="21"/>
      <c r="F425" s="21"/>
      <c r="G425" s="21"/>
    </row>
    <row r="426">
      <c r="A426" s="21"/>
      <c r="B426" s="21"/>
      <c r="C426" s="21"/>
      <c r="D426" s="21"/>
      <c r="E426" s="21"/>
      <c r="F426" s="21"/>
      <c r="G426" s="21"/>
    </row>
    <row r="427">
      <c r="A427" s="21"/>
      <c r="B427" s="21"/>
      <c r="C427" s="21"/>
      <c r="D427" s="21"/>
      <c r="E427" s="21"/>
      <c r="F427" s="21"/>
      <c r="G427" s="21"/>
    </row>
    <row r="428">
      <c r="A428" s="21"/>
      <c r="B428" s="21"/>
      <c r="C428" s="21"/>
      <c r="D428" s="21"/>
      <c r="E428" s="21"/>
      <c r="F428" s="21"/>
      <c r="G428" s="21"/>
    </row>
    <row r="429">
      <c r="A429" s="21"/>
      <c r="B429" s="21"/>
      <c r="C429" s="21"/>
      <c r="D429" s="21"/>
      <c r="E429" s="21"/>
      <c r="F429" s="21"/>
      <c r="G429" s="21"/>
    </row>
    <row r="430">
      <c r="A430" s="21"/>
      <c r="B430" s="21"/>
      <c r="C430" s="21"/>
      <c r="D430" s="21"/>
      <c r="E430" s="21"/>
      <c r="F430" s="21"/>
      <c r="G430" s="21"/>
    </row>
    <row r="431">
      <c r="A431" s="21"/>
      <c r="B431" s="21"/>
      <c r="C431" s="21"/>
      <c r="D431" s="21"/>
      <c r="E431" s="21"/>
      <c r="F431" s="21"/>
      <c r="G431" s="21"/>
    </row>
    <row r="432">
      <c r="A432" s="21"/>
      <c r="B432" s="21"/>
      <c r="C432" s="21"/>
      <c r="D432" s="21"/>
      <c r="E432" s="21"/>
      <c r="F432" s="21"/>
      <c r="G432" s="21"/>
    </row>
    <row r="433">
      <c r="A433" s="21"/>
      <c r="B433" s="21"/>
      <c r="C433" s="21"/>
      <c r="D433" s="21"/>
      <c r="E433" s="21"/>
      <c r="F433" s="21"/>
      <c r="G433" s="21"/>
    </row>
    <row r="434">
      <c r="A434" s="21"/>
      <c r="B434" s="21"/>
      <c r="C434" s="21"/>
      <c r="D434" s="21"/>
      <c r="E434" s="21"/>
      <c r="F434" s="21"/>
      <c r="G434" s="21"/>
    </row>
    <row r="435">
      <c r="A435" s="21"/>
      <c r="B435" s="21"/>
      <c r="C435" s="21"/>
      <c r="D435" s="21"/>
      <c r="E435" s="21"/>
      <c r="F435" s="21"/>
      <c r="G435" s="21"/>
    </row>
    <row r="436">
      <c r="A436" s="21"/>
      <c r="B436" s="21"/>
      <c r="C436" s="21"/>
      <c r="D436" s="21"/>
      <c r="E436" s="21"/>
      <c r="F436" s="21"/>
      <c r="G436" s="21"/>
    </row>
    <row r="437">
      <c r="A437" s="21"/>
      <c r="B437" s="21"/>
      <c r="C437" s="21"/>
      <c r="D437" s="21"/>
      <c r="E437" s="21"/>
      <c r="F437" s="21"/>
      <c r="G437" s="21"/>
    </row>
    <row r="438">
      <c r="A438" s="21"/>
      <c r="B438" s="21"/>
      <c r="C438" s="21"/>
      <c r="D438" s="21"/>
      <c r="E438" s="21"/>
      <c r="F438" s="21"/>
      <c r="G438" s="21"/>
    </row>
    <row r="439">
      <c r="A439" s="21"/>
      <c r="B439" s="21"/>
      <c r="C439" s="21"/>
      <c r="D439" s="21"/>
      <c r="E439" s="21"/>
      <c r="F439" s="21"/>
      <c r="G439" s="21"/>
    </row>
    <row r="440">
      <c r="A440" s="21"/>
      <c r="B440" s="21"/>
      <c r="C440" s="21"/>
      <c r="D440" s="21"/>
      <c r="E440" s="21"/>
      <c r="F440" s="21"/>
      <c r="G440" s="21"/>
    </row>
    <row r="441">
      <c r="A441" s="21"/>
      <c r="B441" s="21"/>
      <c r="C441" s="21"/>
      <c r="D441" s="21"/>
      <c r="E441" s="21"/>
      <c r="F441" s="21"/>
      <c r="G441" s="21"/>
    </row>
    <row r="442">
      <c r="A442" s="21"/>
      <c r="B442" s="21"/>
      <c r="C442" s="21"/>
      <c r="D442" s="21"/>
      <c r="E442" s="21"/>
      <c r="F442" s="21"/>
      <c r="G442" s="21"/>
    </row>
    <row r="443">
      <c r="A443" s="21"/>
      <c r="B443" s="21"/>
      <c r="C443" s="21"/>
      <c r="D443" s="21"/>
      <c r="E443" s="21"/>
      <c r="F443" s="21"/>
      <c r="G443" s="21"/>
    </row>
    <row r="444">
      <c r="A444" s="21"/>
      <c r="B444" s="21"/>
      <c r="C444" s="21"/>
      <c r="D444" s="21"/>
      <c r="E444" s="21"/>
      <c r="F444" s="21"/>
      <c r="G444" s="21"/>
    </row>
    <row r="445">
      <c r="A445" s="21"/>
      <c r="B445" s="21"/>
      <c r="C445" s="21"/>
      <c r="D445" s="21"/>
      <c r="E445" s="21"/>
      <c r="F445" s="21"/>
      <c r="G445" s="21"/>
    </row>
    <row r="446">
      <c r="A446" s="21"/>
      <c r="B446" s="21"/>
      <c r="C446" s="21"/>
      <c r="D446" s="21"/>
      <c r="E446" s="21"/>
      <c r="F446" s="21"/>
      <c r="G446" s="21"/>
    </row>
    <row r="447">
      <c r="A447" s="21"/>
      <c r="B447" s="21"/>
      <c r="C447" s="21"/>
      <c r="D447" s="21"/>
      <c r="E447" s="21"/>
      <c r="F447" s="21"/>
      <c r="G447" s="21"/>
    </row>
    <row r="448">
      <c r="A448" s="21"/>
      <c r="B448" s="21"/>
      <c r="C448" s="21"/>
      <c r="D448" s="21"/>
      <c r="E448" s="21"/>
      <c r="F448" s="21"/>
      <c r="G448" s="21"/>
    </row>
    <row r="449">
      <c r="A449" s="21"/>
      <c r="B449" s="21"/>
      <c r="C449" s="21"/>
      <c r="D449" s="21"/>
      <c r="E449" s="21"/>
      <c r="F449" s="21"/>
      <c r="G449" s="21"/>
    </row>
    <row r="450">
      <c r="A450" s="21"/>
      <c r="B450" s="21"/>
      <c r="C450" s="21"/>
      <c r="D450" s="21"/>
      <c r="E450" s="21"/>
      <c r="F450" s="21"/>
      <c r="G450" s="21"/>
    </row>
    <row r="451">
      <c r="A451" s="21"/>
      <c r="B451" s="21"/>
      <c r="C451" s="21"/>
      <c r="D451" s="21"/>
      <c r="E451" s="21"/>
      <c r="F451" s="21"/>
      <c r="G451" s="21"/>
    </row>
    <row r="452">
      <c r="A452" s="21"/>
      <c r="B452" s="21"/>
      <c r="C452" s="21"/>
      <c r="D452" s="21"/>
      <c r="E452" s="21"/>
      <c r="F452" s="21"/>
      <c r="G452" s="21"/>
    </row>
    <row r="453">
      <c r="A453" s="21"/>
      <c r="B453" s="21"/>
      <c r="C453" s="21"/>
      <c r="D453" s="21"/>
      <c r="E453" s="21"/>
      <c r="F453" s="21"/>
      <c r="G453" s="21"/>
    </row>
    <row r="454">
      <c r="A454" s="21"/>
      <c r="B454" s="21"/>
      <c r="C454" s="21"/>
      <c r="D454" s="21"/>
      <c r="E454" s="21"/>
      <c r="F454" s="21"/>
      <c r="G454" s="21"/>
    </row>
    <row r="455">
      <c r="A455" s="21"/>
      <c r="B455" s="21"/>
      <c r="C455" s="21"/>
      <c r="D455" s="21"/>
      <c r="E455" s="21"/>
      <c r="F455" s="21"/>
      <c r="G455" s="21"/>
    </row>
    <row r="456">
      <c r="A456" s="21"/>
      <c r="B456" s="21"/>
      <c r="C456" s="21"/>
      <c r="D456" s="21"/>
      <c r="E456" s="21"/>
      <c r="F456" s="21"/>
      <c r="G456" s="21"/>
    </row>
    <row r="457">
      <c r="A457" s="21"/>
      <c r="B457" s="21"/>
      <c r="C457" s="21"/>
      <c r="D457" s="21"/>
      <c r="E457" s="21"/>
      <c r="F457" s="21"/>
      <c r="G457" s="21"/>
    </row>
    <row r="458">
      <c r="A458" s="21"/>
      <c r="B458" s="21"/>
      <c r="C458" s="21"/>
      <c r="D458" s="21"/>
      <c r="E458" s="21"/>
      <c r="F458" s="21"/>
      <c r="G458" s="21"/>
    </row>
    <row r="459">
      <c r="A459" s="21"/>
      <c r="B459" s="21"/>
      <c r="C459" s="21"/>
      <c r="D459" s="21"/>
      <c r="E459" s="21"/>
      <c r="F459" s="21"/>
      <c r="G459" s="21"/>
    </row>
    <row r="460">
      <c r="A460" s="21"/>
      <c r="B460" s="21"/>
      <c r="C460" s="21"/>
      <c r="D460" s="21"/>
      <c r="E460" s="21"/>
      <c r="F460" s="21"/>
      <c r="G460" s="21"/>
    </row>
    <row r="461">
      <c r="A461" s="21"/>
      <c r="B461" s="21"/>
      <c r="C461" s="21"/>
      <c r="D461" s="21"/>
      <c r="E461" s="21"/>
      <c r="F461" s="21"/>
      <c r="G461" s="21"/>
    </row>
    <row r="462">
      <c r="A462" s="21"/>
      <c r="B462" s="21"/>
      <c r="C462" s="21"/>
      <c r="D462" s="21"/>
      <c r="E462" s="21"/>
      <c r="F462" s="21"/>
      <c r="G462" s="21"/>
    </row>
    <row r="463">
      <c r="A463" s="21"/>
      <c r="B463" s="21"/>
      <c r="C463" s="21"/>
      <c r="D463" s="21"/>
      <c r="E463" s="21"/>
      <c r="F463" s="21"/>
      <c r="G463" s="21"/>
    </row>
    <row r="464">
      <c r="A464" s="21"/>
      <c r="B464" s="21"/>
      <c r="C464" s="21"/>
      <c r="D464" s="21"/>
      <c r="E464" s="21"/>
      <c r="F464" s="21"/>
      <c r="G464" s="21"/>
    </row>
    <row r="465">
      <c r="A465" s="21"/>
      <c r="B465" s="21"/>
      <c r="C465" s="21"/>
      <c r="D465" s="21"/>
      <c r="E465" s="21"/>
      <c r="F465" s="21"/>
      <c r="G465" s="21"/>
    </row>
    <row r="466">
      <c r="A466" s="21"/>
      <c r="B466" s="21"/>
      <c r="C466" s="21"/>
      <c r="D466" s="21"/>
      <c r="E466" s="21"/>
      <c r="F466" s="21"/>
      <c r="G466" s="21"/>
    </row>
    <row r="467">
      <c r="A467" s="21"/>
      <c r="B467" s="21"/>
      <c r="C467" s="21"/>
      <c r="D467" s="21"/>
      <c r="E467" s="21"/>
      <c r="F467" s="21"/>
      <c r="G467" s="21"/>
    </row>
    <row r="468">
      <c r="A468" s="21"/>
      <c r="B468" s="21"/>
      <c r="C468" s="21"/>
      <c r="D468" s="21"/>
      <c r="E468" s="21"/>
      <c r="F468" s="21"/>
      <c r="G468" s="21"/>
    </row>
    <row r="469">
      <c r="A469" s="21"/>
      <c r="B469" s="21"/>
      <c r="C469" s="21"/>
      <c r="D469" s="21"/>
      <c r="E469" s="21"/>
      <c r="F469" s="21"/>
      <c r="G469" s="21"/>
    </row>
    <row r="470">
      <c r="A470" s="21"/>
      <c r="B470" s="21"/>
      <c r="C470" s="21"/>
      <c r="D470" s="21"/>
      <c r="E470" s="21"/>
      <c r="F470" s="21"/>
      <c r="G470" s="21"/>
    </row>
    <row r="471">
      <c r="A471" s="21"/>
      <c r="B471" s="21"/>
      <c r="C471" s="21"/>
      <c r="D471" s="21"/>
      <c r="E471" s="21"/>
      <c r="F471" s="21"/>
      <c r="G471" s="21"/>
    </row>
    <row r="472">
      <c r="A472" s="21"/>
      <c r="B472" s="21"/>
      <c r="C472" s="21"/>
      <c r="D472" s="21"/>
      <c r="E472" s="21"/>
      <c r="F472" s="21"/>
      <c r="G472" s="21"/>
    </row>
    <row r="473">
      <c r="A473" s="21"/>
      <c r="B473" s="21"/>
      <c r="C473" s="21"/>
      <c r="D473" s="21"/>
      <c r="E473" s="21"/>
      <c r="F473" s="21"/>
      <c r="G473" s="21"/>
    </row>
    <row r="474">
      <c r="A474" s="21"/>
      <c r="B474" s="21"/>
      <c r="C474" s="21"/>
      <c r="D474" s="21"/>
      <c r="E474" s="21"/>
      <c r="F474" s="21"/>
      <c r="G474" s="21"/>
    </row>
    <row r="475">
      <c r="A475" s="21"/>
      <c r="B475" s="21"/>
      <c r="C475" s="21"/>
      <c r="D475" s="21"/>
      <c r="E475" s="21"/>
      <c r="F475" s="21"/>
      <c r="G475" s="21"/>
    </row>
    <row r="476">
      <c r="A476" s="21"/>
      <c r="B476" s="21"/>
      <c r="C476" s="21"/>
      <c r="D476" s="21"/>
      <c r="E476" s="21"/>
      <c r="F476" s="21"/>
      <c r="G476" s="21"/>
    </row>
    <row r="477">
      <c r="A477" s="21"/>
      <c r="B477" s="21"/>
      <c r="C477" s="21"/>
      <c r="D477" s="21"/>
      <c r="E477" s="21"/>
      <c r="F477" s="21"/>
      <c r="G477" s="21"/>
    </row>
    <row r="478">
      <c r="A478" s="21"/>
      <c r="B478" s="21"/>
      <c r="C478" s="21"/>
      <c r="D478" s="21"/>
      <c r="E478" s="21"/>
      <c r="F478" s="21"/>
      <c r="G478" s="21"/>
    </row>
    <row r="479">
      <c r="A479" s="21"/>
      <c r="B479" s="21"/>
      <c r="C479" s="21"/>
      <c r="D479" s="21"/>
      <c r="E479" s="21"/>
      <c r="F479" s="21"/>
      <c r="G479" s="21"/>
    </row>
    <row r="480">
      <c r="A480" s="21"/>
      <c r="B480" s="21"/>
      <c r="C480" s="21"/>
      <c r="D480" s="21"/>
      <c r="E480" s="21"/>
      <c r="F480" s="21"/>
      <c r="G480" s="21"/>
    </row>
    <row r="481">
      <c r="A481" s="21"/>
      <c r="B481" s="21"/>
      <c r="C481" s="21"/>
      <c r="D481" s="21"/>
      <c r="E481" s="21"/>
      <c r="F481" s="21"/>
      <c r="G481" s="21"/>
    </row>
    <row r="482">
      <c r="A482" s="21"/>
      <c r="B482" s="21"/>
      <c r="C482" s="21"/>
      <c r="D482" s="21"/>
      <c r="E482" s="21"/>
      <c r="F482" s="21"/>
      <c r="G482" s="21"/>
    </row>
    <row r="483">
      <c r="A483" s="21"/>
      <c r="B483" s="21"/>
      <c r="C483" s="21"/>
      <c r="D483" s="21"/>
      <c r="E483" s="21"/>
      <c r="F483" s="21"/>
      <c r="G483" s="21"/>
    </row>
    <row r="484">
      <c r="A484" s="21"/>
      <c r="B484" s="21"/>
      <c r="C484" s="21"/>
      <c r="D484" s="21"/>
      <c r="E484" s="21"/>
      <c r="F484" s="21"/>
      <c r="G484" s="21"/>
    </row>
    <row r="485">
      <c r="A485" s="21"/>
      <c r="B485" s="21"/>
      <c r="C485" s="21"/>
      <c r="D485" s="21"/>
      <c r="E485" s="21"/>
      <c r="F485" s="21"/>
      <c r="G485" s="21"/>
    </row>
    <row r="486">
      <c r="A486" s="21"/>
      <c r="B486" s="21"/>
      <c r="C486" s="21"/>
      <c r="D486" s="21"/>
      <c r="E486" s="21"/>
      <c r="F486" s="21"/>
      <c r="G486" s="21"/>
    </row>
    <row r="487">
      <c r="A487" s="21"/>
      <c r="B487" s="21"/>
      <c r="C487" s="21"/>
      <c r="D487" s="21"/>
      <c r="E487" s="21"/>
      <c r="F487" s="21"/>
      <c r="G487" s="21"/>
    </row>
    <row r="488">
      <c r="A488" s="21"/>
      <c r="B488" s="21"/>
      <c r="C488" s="21"/>
      <c r="D488" s="21"/>
      <c r="E488" s="21"/>
      <c r="F488" s="21"/>
      <c r="G488" s="21"/>
    </row>
    <row r="489">
      <c r="A489" s="21"/>
      <c r="B489" s="21"/>
      <c r="C489" s="21"/>
      <c r="D489" s="21"/>
      <c r="E489" s="21"/>
      <c r="F489" s="21"/>
      <c r="G489" s="21"/>
    </row>
    <row r="490">
      <c r="A490" s="21"/>
      <c r="B490" s="21"/>
      <c r="C490" s="21"/>
      <c r="D490" s="21"/>
      <c r="E490" s="21"/>
      <c r="F490" s="21"/>
      <c r="G490" s="21"/>
    </row>
    <row r="491">
      <c r="A491" s="21"/>
      <c r="B491" s="21"/>
      <c r="C491" s="21"/>
      <c r="D491" s="21"/>
      <c r="E491" s="21"/>
      <c r="F491" s="21"/>
      <c r="G491" s="21"/>
    </row>
    <row r="492">
      <c r="A492" s="21"/>
      <c r="B492" s="21"/>
      <c r="C492" s="21"/>
      <c r="D492" s="21"/>
      <c r="E492" s="21"/>
      <c r="F492" s="21"/>
      <c r="G492" s="21"/>
    </row>
    <row r="493">
      <c r="A493" s="21"/>
      <c r="B493" s="21"/>
      <c r="C493" s="21"/>
      <c r="D493" s="21"/>
      <c r="E493" s="21"/>
      <c r="F493" s="21"/>
      <c r="G493" s="21"/>
    </row>
    <row r="494">
      <c r="A494" s="21"/>
      <c r="B494" s="21"/>
      <c r="C494" s="21"/>
      <c r="D494" s="21"/>
      <c r="E494" s="21"/>
      <c r="F494" s="21"/>
      <c r="G494" s="21"/>
    </row>
    <row r="495">
      <c r="A495" s="21"/>
      <c r="B495" s="21"/>
      <c r="C495" s="21"/>
      <c r="D495" s="21"/>
      <c r="E495" s="21"/>
      <c r="F495" s="21"/>
      <c r="G495" s="21"/>
    </row>
    <row r="496">
      <c r="A496" s="21"/>
      <c r="B496" s="21"/>
      <c r="C496" s="21"/>
      <c r="D496" s="21"/>
      <c r="E496" s="21"/>
      <c r="F496" s="21"/>
      <c r="G496" s="21"/>
    </row>
    <row r="497">
      <c r="A497" s="21"/>
      <c r="B497" s="21"/>
      <c r="C497" s="21"/>
      <c r="D497" s="21"/>
      <c r="E497" s="21"/>
      <c r="F497" s="21"/>
      <c r="G497" s="21"/>
    </row>
    <row r="498">
      <c r="A498" s="21"/>
      <c r="B498" s="21"/>
      <c r="C498" s="21"/>
      <c r="D498" s="21"/>
      <c r="E498" s="21"/>
      <c r="F498" s="21"/>
      <c r="G498" s="21"/>
    </row>
    <row r="499">
      <c r="A499" s="21"/>
      <c r="B499" s="21"/>
      <c r="C499" s="21"/>
      <c r="D499" s="21"/>
      <c r="E499" s="21"/>
      <c r="F499" s="21"/>
      <c r="G499" s="21"/>
    </row>
    <row r="500">
      <c r="A500" s="21"/>
      <c r="B500" s="21"/>
      <c r="C500" s="21"/>
      <c r="D500" s="21"/>
      <c r="E500" s="21"/>
      <c r="F500" s="21"/>
      <c r="G500" s="21"/>
    </row>
    <row r="501">
      <c r="A501" s="21"/>
      <c r="B501" s="21"/>
      <c r="C501" s="21"/>
      <c r="D501" s="21"/>
      <c r="E501" s="21"/>
      <c r="F501" s="21"/>
      <c r="G501" s="21"/>
    </row>
    <row r="502">
      <c r="A502" s="21"/>
      <c r="B502" s="21"/>
      <c r="C502" s="21"/>
      <c r="D502" s="21"/>
      <c r="E502" s="21"/>
      <c r="F502" s="21"/>
      <c r="G502" s="21"/>
    </row>
    <row r="503">
      <c r="A503" s="21"/>
      <c r="B503" s="21"/>
      <c r="C503" s="21"/>
      <c r="D503" s="21"/>
      <c r="E503" s="21"/>
      <c r="F503" s="21"/>
      <c r="G503" s="21"/>
    </row>
    <row r="504">
      <c r="A504" s="21"/>
      <c r="B504" s="21"/>
      <c r="C504" s="21"/>
      <c r="D504" s="21"/>
      <c r="E504" s="21"/>
      <c r="F504" s="21"/>
      <c r="G504" s="21"/>
    </row>
    <row r="505">
      <c r="A505" s="21"/>
      <c r="B505" s="21"/>
      <c r="C505" s="21"/>
      <c r="D505" s="21"/>
      <c r="E505" s="21"/>
      <c r="F505" s="21"/>
      <c r="G505" s="21"/>
    </row>
    <row r="506">
      <c r="A506" s="21"/>
      <c r="B506" s="21"/>
      <c r="C506" s="21"/>
      <c r="D506" s="21"/>
      <c r="E506" s="21"/>
      <c r="F506" s="21"/>
      <c r="G506" s="21"/>
    </row>
    <row r="507">
      <c r="A507" s="21"/>
      <c r="B507" s="21"/>
      <c r="C507" s="21"/>
      <c r="D507" s="21"/>
      <c r="E507" s="21"/>
      <c r="F507" s="21"/>
      <c r="G507" s="21"/>
    </row>
    <row r="508">
      <c r="A508" s="21"/>
      <c r="B508" s="21"/>
      <c r="C508" s="21"/>
      <c r="D508" s="21"/>
      <c r="E508" s="21"/>
      <c r="F508" s="21"/>
      <c r="G508" s="21"/>
    </row>
    <row r="509">
      <c r="A509" s="21"/>
      <c r="B509" s="21"/>
      <c r="C509" s="21"/>
      <c r="D509" s="21"/>
      <c r="E509" s="21"/>
      <c r="F509" s="21"/>
      <c r="G509" s="21"/>
    </row>
    <row r="510">
      <c r="A510" s="21"/>
      <c r="B510" s="21"/>
      <c r="C510" s="21"/>
      <c r="D510" s="21"/>
      <c r="E510" s="21"/>
      <c r="F510" s="21"/>
      <c r="G510" s="21"/>
    </row>
    <row r="511">
      <c r="A511" s="21"/>
      <c r="B511" s="21"/>
      <c r="C511" s="21"/>
      <c r="D511" s="21"/>
      <c r="E511" s="21"/>
      <c r="F511" s="21"/>
      <c r="G511" s="21"/>
    </row>
    <row r="512">
      <c r="A512" s="21"/>
      <c r="B512" s="21"/>
      <c r="C512" s="21"/>
      <c r="D512" s="21"/>
      <c r="E512" s="21"/>
      <c r="F512" s="21"/>
      <c r="G512" s="21"/>
    </row>
    <row r="513">
      <c r="A513" s="21"/>
      <c r="B513" s="21"/>
      <c r="C513" s="21"/>
      <c r="D513" s="21"/>
      <c r="E513" s="21"/>
      <c r="F513" s="21"/>
      <c r="G513" s="21"/>
    </row>
    <row r="514">
      <c r="A514" s="21"/>
      <c r="B514" s="21"/>
      <c r="C514" s="21"/>
      <c r="D514" s="21"/>
      <c r="E514" s="21"/>
      <c r="F514" s="21"/>
      <c r="G514" s="21"/>
    </row>
    <row r="515">
      <c r="A515" s="21"/>
      <c r="B515" s="21"/>
      <c r="C515" s="21"/>
      <c r="D515" s="21"/>
      <c r="E515" s="21"/>
      <c r="F515" s="21"/>
      <c r="G515" s="21"/>
    </row>
    <row r="516">
      <c r="A516" s="21"/>
      <c r="B516" s="21"/>
      <c r="C516" s="21"/>
      <c r="D516" s="21"/>
      <c r="E516" s="21"/>
      <c r="F516" s="21"/>
      <c r="G516" s="21"/>
    </row>
    <row r="517">
      <c r="A517" s="21"/>
      <c r="B517" s="21"/>
      <c r="C517" s="21"/>
      <c r="D517" s="21"/>
      <c r="E517" s="21"/>
      <c r="F517" s="21"/>
      <c r="G517" s="21"/>
    </row>
    <row r="518">
      <c r="A518" s="21"/>
      <c r="B518" s="21"/>
      <c r="C518" s="21"/>
      <c r="D518" s="21"/>
      <c r="E518" s="21"/>
      <c r="F518" s="21"/>
      <c r="G518" s="21"/>
    </row>
    <row r="519">
      <c r="A519" s="21"/>
      <c r="B519" s="21"/>
      <c r="C519" s="21"/>
      <c r="D519" s="21"/>
      <c r="E519" s="21"/>
      <c r="F519" s="21"/>
      <c r="G519" s="21"/>
    </row>
    <row r="520">
      <c r="A520" s="21"/>
      <c r="B520" s="21"/>
      <c r="C520" s="21"/>
      <c r="D520" s="21"/>
      <c r="E520" s="21"/>
      <c r="F520" s="21"/>
      <c r="G520" s="21"/>
    </row>
    <row r="521">
      <c r="A521" s="21"/>
      <c r="B521" s="21"/>
      <c r="C521" s="21"/>
      <c r="D521" s="21"/>
      <c r="E521" s="21"/>
      <c r="F521" s="21"/>
      <c r="G521" s="21"/>
    </row>
    <row r="522">
      <c r="A522" s="21"/>
      <c r="B522" s="21"/>
      <c r="C522" s="21"/>
      <c r="D522" s="21"/>
      <c r="E522" s="21"/>
      <c r="F522" s="21"/>
      <c r="G522" s="21"/>
    </row>
    <row r="523">
      <c r="A523" s="21"/>
      <c r="B523" s="21"/>
      <c r="C523" s="21"/>
      <c r="D523" s="21"/>
      <c r="E523" s="21"/>
      <c r="F523" s="21"/>
      <c r="G523" s="21"/>
    </row>
    <row r="524">
      <c r="A524" s="21"/>
      <c r="B524" s="21"/>
      <c r="C524" s="21"/>
      <c r="D524" s="21"/>
      <c r="E524" s="21"/>
      <c r="F524" s="21"/>
      <c r="G524" s="21"/>
    </row>
    <row r="525">
      <c r="A525" s="21"/>
      <c r="B525" s="21"/>
      <c r="C525" s="21"/>
      <c r="D525" s="21"/>
      <c r="E525" s="21"/>
      <c r="F525" s="21"/>
      <c r="G525" s="21"/>
    </row>
    <row r="526">
      <c r="A526" s="21"/>
      <c r="B526" s="21"/>
      <c r="C526" s="21"/>
      <c r="D526" s="21"/>
      <c r="E526" s="21"/>
      <c r="F526" s="21"/>
      <c r="G526" s="21"/>
    </row>
    <row r="527">
      <c r="A527" s="21"/>
      <c r="B527" s="21"/>
      <c r="C527" s="21"/>
      <c r="D527" s="21"/>
      <c r="E527" s="21"/>
      <c r="F527" s="21"/>
      <c r="G527" s="21"/>
    </row>
    <row r="528">
      <c r="A528" s="21"/>
      <c r="B528" s="21"/>
      <c r="C528" s="21"/>
      <c r="D528" s="21"/>
      <c r="E528" s="21"/>
      <c r="F528" s="21"/>
      <c r="G528" s="21"/>
    </row>
    <row r="529">
      <c r="A529" s="21"/>
      <c r="B529" s="21"/>
      <c r="C529" s="21"/>
      <c r="D529" s="21"/>
      <c r="E529" s="21"/>
      <c r="F529" s="21"/>
      <c r="G529" s="21"/>
    </row>
    <row r="530">
      <c r="A530" s="21"/>
      <c r="B530" s="21"/>
      <c r="C530" s="21"/>
      <c r="D530" s="21"/>
      <c r="E530" s="21"/>
      <c r="F530" s="21"/>
      <c r="G530" s="21"/>
    </row>
    <row r="531">
      <c r="A531" s="21"/>
      <c r="B531" s="21"/>
      <c r="C531" s="21"/>
      <c r="D531" s="21"/>
      <c r="E531" s="21"/>
      <c r="F531" s="21"/>
      <c r="G531" s="21"/>
    </row>
    <row r="532">
      <c r="A532" s="21"/>
      <c r="B532" s="21"/>
      <c r="C532" s="21"/>
      <c r="D532" s="21"/>
      <c r="E532" s="21"/>
      <c r="F532" s="21"/>
      <c r="G532" s="21"/>
    </row>
    <row r="533">
      <c r="A533" s="21"/>
      <c r="B533" s="21"/>
      <c r="C533" s="21"/>
      <c r="D533" s="21"/>
      <c r="E533" s="21"/>
      <c r="F533" s="21"/>
      <c r="G533" s="21"/>
    </row>
    <row r="534">
      <c r="A534" s="21"/>
      <c r="B534" s="21"/>
      <c r="C534" s="21"/>
      <c r="D534" s="21"/>
      <c r="E534" s="21"/>
      <c r="F534" s="21"/>
      <c r="G534" s="21"/>
    </row>
    <row r="535">
      <c r="A535" s="21"/>
      <c r="B535" s="21"/>
      <c r="C535" s="21"/>
      <c r="D535" s="21"/>
      <c r="E535" s="21"/>
      <c r="F535" s="21"/>
      <c r="G535" s="21"/>
    </row>
    <row r="536">
      <c r="A536" s="21"/>
      <c r="B536" s="21"/>
      <c r="C536" s="21"/>
      <c r="D536" s="21"/>
      <c r="E536" s="21"/>
      <c r="F536" s="21"/>
      <c r="G536" s="21"/>
    </row>
    <row r="537">
      <c r="A537" s="21"/>
      <c r="B537" s="21"/>
      <c r="C537" s="21"/>
      <c r="D537" s="21"/>
      <c r="E537" s="21"/>
      <c r="F537" s="21"/>
      <c r="G537" s="21"/>
    </row>
    <row r="538">
      <c r="A538" s="21"/>
      <c r="B538" s="21"/>
      <c r="C538" s="21"/>
      <c r="D538" s="21"/>
      <c r="E538" s="21"/>
      <c r="F538" s="21"/>
      <c r="G538" s="21"/>
    </row>
    <row r="539">
      <c r="A539" s="21"/>
      <c r="B539" s="21"/>
      <c r="C539" s="21"/>
      <c r="D539" s="21"/>
      <c r="E539" s="21"/>
      <c r="F539" s="21"/>
      <c r="G539" s="21"/>
    </row>
    <row r="540">
      <c r="A540" s="21"/>
      <c r="B540" s="21"/>
      <c r="C540" s="21"/>
      <c r="D540" s="21"/>
      <c r="E540" s="21"/>
      <c r="F540" s="21"/>
      <c r="G540" s="21"/>
    </row>
    <row r="541">
      <c r="A541" s="21"/>
      <c r="B541" s="21"/>
      <c r="C541" s="21"/>
      <c r="D541" s="21"/>
      <c r="E541" s="21"/>
      <c r="F541" s="21"/>
      <c r="G541" s="21"/>
    </row>
    <row r="542">
      <c r="A542" s="21"/>
      <c r="B542" s="21"/>
      <c r="C542" s="21"/>
      <c r="D542" s="21"/>
      <c r="E542" s="21"/>
      <c r="F542" s="21"/>
      <c r="G542" s="21"/>
    </row>
    <row r="543">
      <c r="A543" s="21"/>
      <c r="B543" s="21"/>
      <c r="C543" s="21"/>
      <c r="D543" s="21"/>
      <c r="E543" s="21"/>
      <c r="F543" s="21"/>
      <c r="G543" s="21"/>
    </row>
    <row r="544">
      <c r="A544" s="21"/>
      <c r="B544" s="21"/>
      <c r="C544" s="21"/>
      <c r="D544" s="21"/>
      <c r="E544" s="21"/>
      <c r="F544" s="21"/>
      <c r="G544" s="21"/>
    </row>
    <row r="545">
      <c r="A545" s="21"/>
      <c r="B545" s="21"/>
      <c r="C545" s="21"/>
      <c r="D545" s="21"/>
      <c r="E545" s="21"/>
      <c r="F545" s="21"/>
      <c r="G545" s="21"/>
    </row>
    <row r="546">
      <c r="A546" s="21"/>
      <c r="B546" s="21"/>
      <c r="C546" s="21"/>
      <c r="D546" s="21"/>
      <c r="E546" s="21"/>
      <c r="F546" s="21"/>
      <c r="G546" s="21"/>
    </row>
    <row r="547">
      <c r="A547" s="21"/>
      <c r="B547" s="21"/>
      <c r="C547" s="21"/>
      <c r="D547" s="21"/>
      <c r="E547" s="21"/>
      <c r="F547" s="21"/>
      <c r="G547" s="21"/>
    </row>
    <row r="548">
      <c r="A548" s="21"/>
      <c r="B548" s="21"/>
      <c r="C548" s="21"/>
      <c r="D548" s="21"/>
      <c r="E548" s="21"/>
      <c r="F548" s="21"/>
      <c r="G548" s="21"/>
    </row>
    <row r="549">
      <c r="A549" s="21"/>
      <c r="B549" s="21"/>
      <c r="C549" s="21"/>
      <c r="D549" s="21"/>
      <c r="E549" s="21"/>
      <c r="F549" s="21"/>
      <c r="G549" s="21"/>
    </row>
    <row r="550">
      <c r="A550" s="21"/>
      <c r="B550" s="21"/>
      <c r="C550" s="21"/>
      <c r="D550" s="21"/>
      <c r="E550" s="21"/>
      <c r="F550" s="21"/>
      <c r="G550" s="21"/>
    </row>
    <row r="551">
      <c r="A551" s="21"/>
      <c r="B551" s="21"/>
      <c r="C551" s="21"/>
      <c r="D551" s="21"/>
      <c r="E551" s="21"/>
      <c r="F551" s="21"/>
      <c r="G551" s="21"/>
    </row>
    <row r="552">
      <c r="A552" s="21"/>
      <c r="B552" s="21"/>
      <c r="C552" s="21"/>
      <c r="D552" s="21"/>
      <c r="E552" s="21"/>
      <c r="F552" s="21"/>
      <c r="G552" s="21"/>
    </row>
    <row r="553">
      <c r="A553" s="21"/>
      <c r="B553" s="21"/>
      <c r="C553" s="21"/>
      <c r="D553" s="21"/>
      <c r="E553" s="21"/>
      <c r="F553" s="21"/>
      <c r="G553" s="21"/>
    </row>
    <row r="554">
      <c r="A554" s="21"/>
      <c r="B554" s="21"/>
      <c r="C554" s="21"/>
      <c r="D554" s="21"/>
      <c r="E554" s="21"/>
      <c r="F554" s="21"/>
      <c r="G554" s="21"/>
    </row>
    <row r="555">
      <c r="A555" s="21"/>
      <c r="B555" s="21"/>
      <c r="C555" s="21"/>
      <c r="D555" s="21"/>
      <c r="E555" s="21"/>
      <c r="F555" s="21"/>
      <c r="G555" s="21"/>
    </row>
    <row r="556">
      <c r="A556" s="21"/>
      <c r="B556" s="21"/>
      <c r="C556" s="21"/>
      <c r="D556" s="21"/>
      <c r="E556" s="21"/>
      <c r="F556" s="21"/>
      <c r="G556" s="21"/>
    </row>
    <row r="557">
      <c r="A557" s="21"/>
      <c r="B557" s="21"/>
      <c r="C557" s="21"/>
      <c r="D557" s="21"/>
      <c r="E557" s="21"/>
      <c r="F557" s="21"/>
      <c r="G557" s="21"/>
    </row>
    <row r="558">
      <c r="A558" s="21"/>
      <c r="B558" s="21"/>
      <c r="C558" s="21"/>
      <c r="D558" s="21"/>
      <c r="E558" s="21"/>
      <c r="F558" s="21"/>
      <c r="G558" s="21"/>
    </row>
    <row r="559">
      <c r="A559" s="21"/>
      <c r="B559" s="21"/>
      <c r="C559" s="21"/>
      <c r="D559" s="21"/>
      <c r="E559" s="21"/>
      <c r="F559" s="21"/>
      <c r="G559" s="21"/>
    </row>
    <row r="560">
      <c r="A560" s="21"/>
      <c r="B560" s="21"/>
      <c r="C560" s="21"/>
      <c r="D560" s="21"/>
      <c r="E560" s="21"/>
      <c r="F560" s="21"/>
      <c r="G560" s="21"/>
    </row>
    <row r="561">
      <c r="A561" s="21"/>
      <c r="B561" s="21"/>
      <c r="C561" s="21"/>
      <c r="D561" s="21"/>
      <c r="E561" s="21"/>
      <c r="F561" s="21"/>
      <c r="G561" s="21"/>
    </row>
    <row r="562">
      <c r="A562" s="21"/>
      <c r="B562" s="21"/>
      <c r="C562" s="21"/>
      <c r="D562" s="21"/>
      <c r="E562" s="21"/>
      <c r="F562" s="21"/>
      <c r="G562" s="21"/>
    </row>
    <row r="563">
      <c r="A563" s="21"/>
      <c r="B563" s="21"/>
      <c r="C563" s="21"/>
      <c r="D563" s="21"/>
      <c r="E563" s="21"/>
      <c r="F563" s="21"/>
      <c r="G563" s="21"/>
    </row>
    <row r="564">
      <c r="A564" s="21"/>
      <c r="B564" s="21"/>
      <c r="C564" s="21"/>
      <c r="D564" s="21"/>
      <c r="E564" s="21"/>
      <c r="F564" s="21"/>
      <c r="G564" s="21"/>
    </row>
    <row r="565">
      <c r="A565" s="21"/>
      <c r="B565" s="21"/>
      <c r="C565" s="21"/>
      <c r="D565" s="21"/>
      <c r="E565" s="21"/>
      <c r="F565" s="21"/>
      <c r="G565" s="21"/>
    </row>
    <row r="566">
      <c r="A566" s="21"/>
      <c r="B566" s="21"/>
      <c r="C566" s="21"/>
      <c r="D566" s="21"/>
      <c r="E566" s="21"/>
      <c r="F566" s="21"/>
      <c r="G566" s="21"/>
    </row>
    <row r="567">
      <c r="A567" s="21"/>
      <c r="B567" s="21"/>
      <c r="C567" s="21"/>
      <c r="D567" s="21"/>
      <c r="E567" s="21"/>
      <c r="F567" s="21"/>
      <c r="G567" s="21"/>
    </row>
    <row r="568">
      <c r="A568" s="21"/>
      <c r="B568" s="21"/>
      <c r="C568" s="21"/>
      <c r="D568" s="21"/>
      <c r="E568" s="21"/>
      <c r="F568" s="21"/>
      <c r="G568" s="21"/>
    </row>
    <row r="569">
      <c r="A569" s="21"/>
      <c r="B569" s="21"/>
      <c r="C569" s="21"/>
      <c r="D569" s="21"/>
      <c r="E569" s="21"/>
      <c r="F569" s="21"/>
      <c r="G569" s="21"/>
    </row>
    <row r="570">
      <c r="A570" s="21"/>
      <c r="B570" s="21"/>
      <c r="C570" s="21"/>
      <c r="D570" s="21"/>
      <c r="E570" s="21"/>
      <c r="F570" s="21"/>
      <c r="G570" s="21"/>
    </row>
    <row r="571">
      <c r="A571" s="21"/>
      <c r="B571" s="21"/>
      <c r="C571" s="21"/>
      <c r="D571" s="21"/>
      <c r="E571" s="21"/>
      <c r="F571" s="21"/>
      <c r="G571" s="21"/>
    </row>
    <row r="572">
      <c r="A572" s="21"/>
      <c r="B572" s="21"/>
      <c r="C572" s="21"/>
      <c r="D572" s="21"/>
      <c r="E572" s="21"/>
      <c r="F572" s="21"/>
      <c r="G572" s="21"/>
    </row>
    <row r="573">
      <c r="A573" s="21"/>
      <c r="B573" s="21"/>
      <c r="C573" s="21"/>
      <c r="D573" s="21"/>
      <c r="E573" s="21"/>
      <c r="F573" s="21"/>
      <c r="G573" s="21"/>
    </row>
    <row r="574">
      <c r="A574" s="21"/>
      <c r="B574" s="21"/>
      <c r="C574" s="21"/>
      <c r="D574" s="21"/>
      <c r="E574" s="21"/>
      <c r="F574" s="21"/>
      <c r="G574" s="21"/>
    </row>
    <row r="575">
      <c r="A575" s="21"/>
      <c r="B575" s="21"/>
      <c r="C575" s="21"/>
      <c r="D575" s="21"/>
      <c r="E575" s="21"/>
      <c r="F575" s="21"/>
      <c r="G575" s="21"/>
    </row>
    <row r="576">
      <c r="A576" s="21"/>
      <c r="B576" s="21"/>
      <c r="C576" s="21"/>
      <c r="D576" s="21"/>
      <c r="E576" s="21"/>
      <c r="F576" s="21"/>
      <c r="G576" s="21"/>
    </row>
    <row r="577">
      <c r="A577" s="21"/>
      <c r="B577" s="21"/>
      <c r="C577" s="21"/>
      <c r="D577" s="21"/>
      <c r="E577" s="21"/>
      <c r="F577" s="21"/>
      <c r="G577" s="21"/>
    </row>
    <row r="578">
      <c r="A578" s="21"/>
      <c r="B578" s="21"/>
      <c r="C578" s="21"/>
      <c r="D578" s="21"/>
      <c r="E578" s="21"/>
      <c r="F578" s="21"/>
      <c r="G578" s="21"/>
    </row>
    <row r="579">
      <c r="A579" s="21"/>
      <c r="B579" s="21"/>
      <c r="C579" s="21"/>
      <c r="D579" s="21"/>
      <c r="E579" s="21"/>
      <c r="F579" s="21"/>
      <c r="G579" s="21"/>
    </row>
    <row r="580">
      <c r="A580" s="21"/>
      <c r="B580" s="21"/>
      <c r="C580" s="21"/>
      <c r="D580" s="21"/>
      <c r="E580" s="21"/>
      <c r="F580" s="21"/>
      <c r="G580" s="21"/>
    </row>
    <row r="581">
      <c r="A581" s="21"/>
      <c r="B581" s="21"/>
      <c r="C581" s="21"/>
      <c r="D581" s="21"/>
      <c r="E581" s="21"/>
      <c r="F581" s="21"/>
      <c r="G581" s="21"/>
    </row>
    <row r="582">
      <c r="A582" s="21"/>
      <c r="B582" s="21"/>
      <c r="C582" s="21"/>
      <c r="D582" s="21"/>
      <c r="E582" s="21"/>
      <c r="F582" s="21"/>
      <c r="G582" s="21"/>
    </row>
    <row r="583">
      <c r="A583" s="21"/>
      <c r="B583" s="21"/>
      <c r="C583" s="21"/>
      <c r="D583" s="21"/>
      <c r="E583" s="21"/>
      <c r="F583" s="21"/>
      <c r="G583" s="21"/>
    </row>
    <row r="584">
      <c r="A584" s="21"/>
      <c r="B584" s="21"/>
      <c r="C584" s="21"/>
      <c r="D584" s="21"/>
      <c r="E584" s="21"/>
      <c r="F584" s="21"/>
      <c r="G584" s="21"/>
    </row>
    <row r="585">
      <c r="A585" s="21"/>
      <c r="B585" s="21"/>
      <c r="C585" s="21"/>
      <c r="D585" s="21"/>
      <c r="E585" s="21"/>
      <c r="F585" s="21"/>
      <c r="G585" s="21"/>
    </row>
    <row r="586">
      <c r="A586" s="21"/>
      <c r="B586" s="21"/>
      <c r="C586" s="21"/>
      <c r="D586" s="21"/>
      <c r="E586" s="21"/>
      <c r="F586" s="21"/>
      <c r="G586" s="21"/>
    </row>
    <row r="587">
      <c r="A587" s="21"/>
      <c r="B587" s="21"/>
      <c r="C587" s="21"/>
      <c r="D587" s="21"/>
      <c r="E587" s="21"/>
      <c r="F587" s="21"/>
      <c r="G587" s="21"/>
    </row>
    <row r="588">
      <c r="A588" s="21"/>
      <c r="B588" s="21"/>
      <c r="C588" s="21"/>
      <c r="D588" s="21"/>
      <c r="E588" s="21"/>
      <c r="F588" s="21"/>
      <c r="G588" s="21"/>
    </row>
    <row r="589">
      <c r="A589" s="21"/>
      <c r="B589" s="21"/>
      <c r="C589" s="21"/>
      <c r="D589" s="21"/>
      <c r="E589" s="21"/>
      <c r="F589" s="21"/>
      <c r="G589" s="21"/>
    </row>
    <row r="590">
      <c r="A590" s="21"/>
      <c r="B590" s="21"/>
      <c r="C590" s="21"/>
      <c r="D590" s="21"/>
      <c r="E590" s="21"/>
      <c r="F590" s="21"/>
      <c r="G590" s="21"/>
    </row>
    <row r="591">
      <c r="A591" s="21"/>
      <c r="B591" s="21"/>
      <c r="C591" s="21"/>
      <c r="D591" s="21"/>
      <c r="E591" s="21"/>
      <c r="F591" s="21"/>
      <c r="G591" s="21"/>
    </row>
    <row r="592">
      <c r="A592" s="21"/>
      <c r="B592" s="21"/>
      <c r="C592" s="21"/>
      <c r="D592" s="21"/>
      <c r="E592" s="21"/>
      <c r="F592" s="21"/>
      <c r="G592" s="21"/>
    </row>
    <row r="593">
      <c r="A593" s="21"/>
      <c r="B593" s="21"/>
      <c r="C593" s="21"/>
      <c r="D593" s="21"/>
      <c r="E593" s="21"/>
      <c r="F593" s="21"/>
      <c r="G593" s="21"/>
    </row>
    <row r="594">
      <c r="A594" s="21"/>
      <c r="B594" s="21"/>
      <c r="C594" s="21"/>
      <c r="D594" s="21"/>
      <c r="E594" s="21"/>
      <c r="F594" s="21"/>
      <c r="G594" s="21"/>
    </row>
    <row r="595">
      <c r="A595" s="21"/>
      <c r="B595" s="21"/>
      <c r="C595" s="21"/>
      <c r="D595" s="21"/>
      <c r="E595" s="21"/>
      <c r="F595" s="21"/>
      <c r="G595" s="21"/>
    </row>
    <row r="596">
      <c r="A596" s="21"/>
      <c r="B596" s="21"/>
      <c r="C596" s="21"/>
      <c r="D596" s="21"/>
      <c r="E596" s="21"/>
      <c r="F596" s="21"/>
      <c r="G596" s="21"/>
    </row>
    <row r="597">
      <c r="A597" s="21"/>
      <c r="B597" s="21"/>
      <c r="C597" s="21"/>
      <c r="D597" s="21"/>
      <c r="E597" s="21"/>
      <c r="F597" s="21"/>
      <c r="G597" s="21"/>
    </row>
    <row r="598">
      <c r="A598" s="21"/>
      <c r="B598" s="21"/>
      <c r="C598" s="21"/>
      <c r="D598" s="21"/>
      <c r="E598" s="21"/>
      <c r="F598" s="21"/>
      <c r="G598" s="21"/>
    </row>
    <row r="599">
      <c r="A599" s="21"/>
      <c r="B599" s="21"/>
      <c r="C599" s="21"/>
      <c r="D599" s="21"/>
      <c r="E599" s="21"/>
      <c r="F599" s="21"/>
      <c r="G599" s="21"/>
    </row>
    <row r="600">
      <c r="A600" s="21"/>
      <c r="B600" s="21"/>
      <c r="C600" s="21"/>
      <c r="D600" s="21"/>
      <c r="E600" s="21"/>
      <c r="F600" s="21"/>
      <c r="G600" s="21"/>
    </row>
    <row r="601">
      <c r="A601" s="21"/>
      <c r="B601" s="21"/>
      <c r="C601" s="21"/>
      <c r="D601" s="21"/>
      <c r="E601" s="21"/>
      <c r="F601" s="21"/>
      <c r="G601" s="21"/>
    </row>
    <row r="602">
      <c r="A602" s="21"/>
      <c r="B602" s="21"/>
      <c r="C602" s="21"/>
      <c r="D602" s="21"/>
      <c r="E602" s="21"/>
      <c r="F602" s="21"/>
      <c r="G602" s="21"/>
    </row>
    <row r="603">
      <c r="A603" s="21"/>
      <c r="B603" s="21"/>
      <c r="C603" s="21"/>
      <c r="D603" s="21"/>
      <c r="E603" s="21"/>
      <c r="F603" s="21"/>
      <c r="G603" s="21"/>
    </row>
    <row r="604">
      <c r="A604" s="21"/>
      <c r="B604" s="21"/>
      <c r="C604" s="21"/>
      <c r="D604" s="21"/>
      <c r="E604" s="21"/>
      <c r="F604" s="21"/>
      <c r="G604" s="21"/>
    </row>
    <row r="605">
      <c r="A605" s="21"/>
      <c r="B605" s="21"/>
      <c r="C605" s="21"/>
      <c r="D605" s="21"/>
      <c r="E605" s="21"/>
      <c r="F605" s="21"/>
      <c r="G605" s="21"/>
    </row>
    <row r="606">
      <c r="A606" s="21"/>
      <c r="B606" s="21"/>
      <c r="C606" s="21"/>
      <c r="D606" s="21"/>
      <c r="E606" s="21"/>
      <c r="F606" s="21"/>
      <c r="G606" s="21"/>
    </row>
    <row r="607">
      <c r="A607" s="21"/>
      <c r="B607" s="21"/>
      <c r="C607" s="21"/>
      <c r="D607" s="21"/>
      <c r="E607" s="21"/>
      <c r="F607" s="21"/>
      <c r="G607" s="21"/>
    </row>
    <row r="608">
      <c r="A608" s="21"/>
      <c r="B608" s="21"/>
      <c r="C608" s="21"/>
      <c r="D608" s="21"/>
      <c r="E608" s="21"/>
      <c r="F608" s="21"/>
      <c r="G608" s="21"/>
    </row>
    <row r="609">
      <c r="A609" s="21"/>
      <c r="B609" s="21"/>
      <c r="C609" s="21"/>
      <c r="D609" s="21"/>
      <c r="E609" s="21"/>
      <c r="F609" s="21"/>
      <c r="G609" s="21"/>
    </row>
    <row r="610">
      <c r="A610" s="21"/>
      <c r="B610" s="21"/>
      <c r="C610" s="21"/>
      <c r="D610" s="21"/>
      <c r="E610" s="21"/>
      <c r="F610" s="21"/>
      <c r="G610" s="21"/>
    </row>
    <row r="611">
      <c r="A611" s="21"/>
      <c r="B611" s="21"/>
      <c r="C611" s="21"/>
      <c r="D611" s="21"/>
      <c r="E611" s="21"/>
      <c r="F611" s="21"/>
      <c r="G611" s="21"/>
    </row>
    <row r="612">
      <c r="A612" s="21"/>
      <c r="B612" s="21"/>
      <c r="C612" s="21"/>
      <c r="D612" s="21"/>
      <c r="E612" s="21"/>
      <c r="F612" s="21"/>
      <c r="G612" s="21"/>
    </row>
    <row r="613">
      <c r="A613" s="21"/>
      <c r="B613" s="21"/>
      <c r="C613" s="21"/>
      <c r="D613" s="21"/>
      <c r="E613" s="21"/>
      <c r="F613" s="21"/>
      <c r="G613" s="21"/>
    </row>
    <row r="614">
      <c r="A614" s="21"/>
      <c r="B614" s="21"/>
      <c r="C614" s="21"/>
      <c r="D614" s="21"/>
      <c r="E614" s="21"/>
      <c r="F614" s="21"/>
      <c r="G614" s="21"/>
    </row>
    <row r="615">
      <c r="A615" s="21"/>
      <c r="B615" s="21"/>
      <c r="C615" s="21"/>
      <c r="D615" s="21"/>
      <c r="E615" s="21"/>
      <c r="F615" s="21"/>
      <c r="G615" s="21"/>
    </row>
    <row r="616">
      <c r="A616" s="21"/>
      <c r="B616" s="21"/>
      <c r="C616" s="21"/>
      <c r="D616" s="21"/>
      <c r="E616" s="21"/>
      <c r="F616" s="21"/>
      <c r="G616" s="21"/>
    </row>
    <row r="617">
      <c r="A617" s="21"/>
      <c r="B617" s="21"/>
      <c r="C617" s="21"/>
      <c r="D617" s="21"/>
      <c r="E617" s="21"/>
      <c r="F617" s="21"/>
      <c r="G617" s="21"/>
    </row>
    <row r="618">
      <c r="A618" s="21"/>
      <c r="B618" s="21"/>
      <c r="C618" s="21"/>
      <c r="D618" s="21"/>
      <c r="E618" s="21"/>
      <c r="F618" s="21"/>
      <c r="G618" s="21"/>
    </row>
    <row r="619">
      <c r="A619" s="21"/>
      <c r="B619" s="21"/>
      <c r="C619" s="21"/>
      <c r="D619" s="21"/>
      <c r="E619" s="21"/>
      <c r="F619" s="21"/>
      <c r="G619" s="21"/>
    </row>
    <row r="620">
      <c r="A620" s="21"/>
      <c r="B620" s="21"/>
      <c r="C620" s="21"/>
      <c r="D620" s="21"/>
      <c r="E620" s="21"/>
      <c r="F620" s="21"/>
      <c r="G620" s="21"/>
    </row>
    <row r="621">
      <c r="A621" s="21"/>
      <c r="B621" s="21"/>
      <c r="C621" s="21"/>
      <c r="D621" s="21"/>
      <c r="E621" s="21"/>
      <c r="F621" s="21"/>
      <c r="G621" s="21"/>
    </row>
    <row r="622">
      <c r="A622" s="21"/>
      <c r="B622" s="21"/>
      <c r="C622" s="21"/>
      <c r="D622" s="21"/>
      <c r="E622" s="21"/>
      <c r="F622" s="21"/>
      <c r="G622" s="21"/>
    </row>
    <row r="623">
      <c r="A623" s="21"/>
      <c r="B623" s="21"/>
      <c r="C623" s="21"/>
      <c r="D623" s="21"/>
      <c r="E623" s="21"/>
      <c r="F623" s="21"/>
      <c r="G623" s="21"/>
    </row>
    <row r="624">
      <c r="A624" s="21"/>
      <c r="B624" s="21"/>
      <c r="C624" s="21"/>
      <c r="D624" s="21"/>
      <c r="E624" s="21"/>
      <c r="F624" s="21"/>
      <c r="G624" s="21"/>
    </row>
    <row r="625">
      <c r="A625" s="21"/>
      <c r="B625" s="21"/>
      <c r="C625" s="21"/>
      <c r="D625" s="21"/>
      <c r="E625" s="21"/>
      <c r="F625" s="21"/>
      <c r="G625" s="21"/>
    </row>
    <row r="626">
      <c r="A626" s="21"/>
      <c r="B626" s="21"/>
      <c r="C626" s="21"/>
      <c r="D626" s="21"/>
      <c r="E626" s="21"/>
      <c r="F626" s="21"/>
      <c r="G626" s="21"/>
    </row>
    <row r="627">
      <c r="A627" s="21"/>
      <c r="B627" s="21"/>
      <c r="C627" s="21"/>
      <c r="D627" s="21"/>
      <c r="E627" s="21"/>
      <c r="F627" s="21"/>
      <c r="G627" s="21"/>
    </row>
    <row r="628">
      <c r="A628" s="21"/>
      <c r="B628" s="21"/>
      <c r="C628" s="21"/>
      <c r="D628" s="21"/>
      <c r="E628" s="21"/>
      <c r="F628" s="21"/>
      <c r="G628" s="21"/>
    </row>
    <row r="629">
      <c r="A629" s="21"/>
      <c r="B629" s="21"/>
      <c r="C629" s="21"/>
      <c r="D629" s="21"/>
      <c r="E629" s="21"/>
      <c r="F629" s="21"/>
      <c r="G629" s="21"/>
    </row>
    <row r="630">
      <c r="A630" s="21"/>
      <c r="B630" s="21"/>
      <c r="C630" s="21"/>
      <c r="D630" s="21"/>
      <c r="E630" s="21"/>
      <c r="F630" s="21"/>
      <c r="G630" s="21"/>
    </row>
    <row r="631">
      <c r="A631" s="21"/>
      <c r="B631" s="21"/>
      <c r="C631" s="21"/>
      <c r="D631" s="21"/>
      <c r="E631" s="21"/>
      <c r="F631" s="21"/>
      <c r="G631" s="21"/>
    </row>
    <row r="632">
      <c r="A632" s="21"/>
      <c r="B632" s="21"/>
      <c r="C632" s="21"/>
      <c r="D632" s="21"/>
      <c r="E632" s="21"/>
      <c r="F632" s="21"/>
      <c r="G632" s="21"/>
    </row>
    <row r="633">
      <c r="A633" s="21"/>
      <c r="B633" s="21"/>
      <c r="C633" s="21"/>
      <c r="D633" s="21"/>
      <c r="E633" s="21"/>
      <c r="F633" s="21"/>
      <c r="G633" s="21"/>
    </row>
    <row r="634">
      <c r="A634" s="21"/>
      <c r="B634" s="21"/>
      <c r="C634" s="21"/>
      <c r="D634" s="21"/>
      <c r="E634" s="21"/>
      <c r="F634" s="21"/>
      <c r="G634" s="21"/>
    </row>
    <row r="635">
      <c r="A635" s="21"/>
      <c r="B635" s="21"/>
      <c r="C635" s="21"/>
      <c r="D635" s="21"/>
      <c r="E635" s="21"/>
      <c r="F635" s="21"/>
      <c r="G635" s="21"/>
    </row>
    <row r="636">
      <c r="A636" s="21"/>
      <c r="B636" s="21"/>
      <c r="C636" s="21"/>
      <c r="D636" s="21"/>
      <c r="E636" s="21"/>
      <c r="F636" s="21"/>
      <c r="G636" s="21"/>
    </row>
    <row r="637">
      <c r="A637" s="21"/>
      <c r="B637" s="21"/>
      <c r="C637" s="21"/>
      <c r="D637" s="21"/>
      <c r="E637" s="21"/>
      <c r="F637" s="21"/>
      <c r="G637" s="21"/>
    </row>
    <row r="638">
      <c r="A638" s="21"/>
      <c r="B638" s="21"/>
      <c r="C638" s="21"/>
      <c r="D638" s="21"/>
      <c r="E638" s="21"/>
      <c r="F638" s="21"/>
      <c r="G638" s="21"/>
    </row>
    <row r="639">
      <c r="A639" s="21"/>
      <c r="B639" s="21"/>
      <c r="C639" s="21"/>
      <c r="D639" s="21"/>
      <c r="E639" s="21"/>
      <c r="F639" s="21"/>
      <c r="G639" s="21"/>
    </row>
    <row r="640">
      <c r="A640" s="21"/>
      <c r="B640" s="21"/>
      <c r="C640" s="21"/>
      <c r="D640" s="21"/>
      <c r="E640" s="21"/>
      <c r="F640" s="21"/>
      <c r="G640" s="21"/>
    </row>
    <row r="641">
      <c r="A641" s="21"/>
      <c r="B641" s="21"/>
      <c r="C641" s="21"/>
      <c r="D641" s="21"/>
      <c r="E641" s="21"/>
      <c r="F641" s="21"/>
      <c r="G641" s="21"/>
    </row>
    <row r="642">
      <c r="A642" s="21"/>
      <c r="B642" s="21"/>
      <c r="C642" s="21"/>
      <c r="D642" s="21"/>
      <c r="E642" s="21"/>
      <c r="F642" s="21"/>
      <c r="G642" s="21"/>
    </row>
    <row r="643">
      <c r="A643" s="21"/>
      <c r="B643" s="21"/>
      <c r="C643" s="21"/>
      <c r="D643" s="21"/>
      <c r="E643" s="21"/>
      <c r="F643" s="21"/>
      <c r="G643" s="21"/>
    </row>
    <row r="644">
      <c r="A644" s="21"/>
      <c r="B644" s="21"/>
      <c r="C644" s="21"/>
      <c r="D644" s="21"/>
      <c r="E644" s="21"/>
      <c r="F644" s="21"/>
      <c r="G644" s="21"/>
    </row>
    <row r="645">
      <c r="A645" s="21"/>
      <c r="B645" s="21"/>
      <c r="C645" s="21"/>
      <c r="D645" s="21"/>
      <c r="E645" s="21"/>
      <c r="F645" s="21"/>
      <c r="G645" s="21"/>
    </row>
    <row r="646">
      <c r="A646" s="21"/>
      <c r="B646" s="21"/>
      <c r="C646" s="21"/>
      <c r="D646" s="21"/>
      <c r="E646" s="21"/>
      <c r="F646" s="21"/>
      <c r="G646" s="21"/>
    </row>
    <row r="647">
      <c r="A647" s="21"/>
      <c r="B647" s="21"/>
      <c r="C647" s="21"/>
      <c r="D647" s="21"/>
      <c r="E647" s="21"/>
      <c r="F647" s="21"/>
      <c r="G647" s="21"/>
    </row>
    <row r="648">
      <c r="A648" s="21"/>
      <c r="B648" s="21"/>
      <c r="C648" s="21"/>
      <c r="D648" s="21"/>
      <c r="E648" s="21"/>
      <c r="F648" s="21"/>
      <c r="G648" s="21"/>
    </row>
    <row r="649">
      <c r="A649" s="21"/>
      <c r="B649" s="21"/>
      <c r="C649" s="21"/>
      <c r="D649" s="21"/>
      <c r="E649" s="21"/>
      <c r="F649" s="21"/>
      <c r="G649" s="21"/>
    </row>
    <row r="650">
      <c r="A650" s="21"/>
      <c r="B650" s="21"/>
      <c r="C650" s="21"/>
      <c r="D650" s="21"/>
      <c r="E650" s="21"/>
      <c r="F650" s="21"/>
      <c r="G650" s="21"/>
    </row>
    <row r="651">
      <c r="A651" s="21"/>
      <c r="B651" s="21"/>
      <c r="C651" s="21"/>
      <c r="D651" s="21"/>
      <c r="E651" s="21"/>
      <c r="F651" s="21"/>
      <c r="G651" s="21"/>
    </row>
    <row r="652">
      <c r="A652" s="21"/>
      <c r="B652" s="21"/>
      <c r="C652" s="21"/>
      <c r="D652" s="21"/>
      <c r="E652" s="21"/>
      <c r="F652" s="21"/>
      <c r="G652" s="21"/>
    </row>
    <row r="653">
      <c r="A653" s="21"/>
      <c r="B653" s="21"/>
      <c r="C653" s="21"/>
      <c r="D653" s="21"/>
      <c r="E653" s="21"/>
      <c r="F653" s="21"/>
      <c r="G653" s="21"/>
    </row>
    <row r="654">
      <c r="A654" s="21"/>
      <c r="B654" s="21"/>
      <c r="C654" s="21"/>
      <c r="D654" s="21"/>
      <c r="E654" s="21"/>
      <c r="F654" s="21"/>
      <c r="G654" s="21"/>
    </row>
    <row r="655">
      <c r="A655" s="21"/>
      <c r="B655" s="21"/>
      <c r="C655" s="21"/>
      <c r="D655" s="21"/>
      <c r="E655" s="21"/>
      <c r="F655" s="21"/>
      <c r="G655" s="21"/>
    </row>
    <row r="656">
      <c r="A656" s="21"/>
      <c r="B656" s="21"/>
      <c r="C656" s="21"/>
      <c r="D656" s="21"/>
      <c r="E656" s="21"/>
      <c r="F656" s="21"/>
      <c r="G656" s="21"/>
    </row>
    <row r="657">
      <c r="A657" s="21"/>
      <c r="B657" s="21"/>
      <c r="C657" s="21"/>
      <c r="D657" s="21"/>
      <c r="E657" s="21"/>
      <c r="F657" s="21"/>
      <c r="G657" s="21"/>
    </row>
    <row r="658">
      <c r="A658" s="21"/>
      <c r="B658" s="21"/>
      <c r="C658" s="21"/>
      <c r="D658" s="21"/>
      <c r="E658" s="21"/>
      <c r="F658" s="21"/>
      <c r="G658" s="21"/>
    </row>
    <row r="659">
      <c r="A659" s="21"/>
      <c r="B659" s="21"/>
      <c r="C659" s="21"/>
      <c r="D659" s="21"/>
      <c r="E659" s="21"/>
      <c r="F659" s="21"/>
      <c r="G659" s="21"/>
    </row>
    <row r="660">
      <c r="A660" s="21"/>
      <c r="B660" s="21"/>
      <c r="C660" s="21"/>
      <c r="D660" s="21"/>
      <c r="E660" s="21"/>
      <c r="F660" s="21"/>
      <c r="G660" s="21"/>
    </row>
    <row r="661">
      <c r="A661" s="21"/>
      <c r="B661" s="21"/>
      <c r="C661" s="21"/>
      <c r="D661" s="21"/>
      <c r="E661" s="21"/>
      <c r="F661" s="21"/>
      <c r="G661" s="21"/>
    </row>
    <row r="662">
      <c r="A662" s="21"/>
      <c r="B662" s="21"/>
      <c r="C662" s="21"/>
      <c r="D662" s="21"/>
      <c r="E662" s="21"/>
      <c r="F662" s="21"/>
      <c r="G662" s="21"/>
    </row>
    <row r="663">
      <c r="A663" s="21"/>
      <c r="B663" s="21"/>
      <c r="C663" s="21"/>
      <c r="D663" s="21"/>
      <c r="E663" s="21"/>
      <c r="F663" s="21"/>
      <c r="G663" s="21"/>
    </row>
    <row r="664">
      <c r="A664" s="21"/>
      <c r="B664" s="21"/>
      <c r="C664" s="21"/>
      <c r="D664" s="21"/>
      <c r="E664" s="21"/>
      <c r="F664" s="21"/>
      <c r="G664" s="21"/>
    </row>
    <row r="665">
      <c r="A665" s="21"/>
      <c r="B665" s="21"/>
      <c r="C665" s="21"/>
      <c r="D665" s="21"/>
      <c r="E665" s="21"/>
      <c r="F665" s="21"/>
      <c r="G665" s="21"/>
    </row>
    <row r="666">
      <c r="A666" s="21"/>
      <c r="B666" s="21"/>
      <c r="C666" s="21"/>
      <c r="D666" s="21"/>
      <c r="E666" s="21"/>
      <c r="F666" s="21"/>
      <c r="G666" s="21"/>
    </row>
    <row r="667">
      <c r="A667" s="21"/>
      <c r="B667" s="21"/>
      <c r="C667" s="21"/>
      <c r="D667" s="21"/>
      <c r="E667" s="21"/>
      <c r="F667" s="21"/>
      <c r="G667" s="21"/>
    </row>
    <row r="668">
      <c r="A668" s="21"/>
      <c r="B668" s="21"/>
      <c r="C668" s="21"/>
      <c r="D668" s="21"/>
      <c r="E668" s="21"/>
      <c r="F668" s="21"/>
      <c r="G668" s="21"/>
    </row>
    <row r="669">
      <c r="A669" s="21"/>
      <c r="B669" s="21"/>
      <c r="C669" s="21"/>
      <c r="D669" s="21"/>
      <c r="E669" s="21"/>
      <c r="F669" s="21"/>
      <c r="G669" s="21"/>
    </row>
    <row r="670">
      <c r="A670" s="21"/>
      <c r="B670" s="21"/>
      <c r="C670" s="21"/>
      <c r="D670" s="21"/>
      <c r="E670" s="21"/>
      <c r="F670" s="21"/>
      <c r="G670" s="21"/>
    </row>
    <row r="671">
      <c r="A671" s="21"/>
      <c r="B671" s="21"/>
      <c r="C671" s="21"/>
      <c r="D671" s="21"/>
      <c r="E671" s="21"/>
      <c r="F671" s="21"/>
      <c r="G671" s="21"/>
    </row>
    <row r="672">
      <c r="A672" s="21"/>
      <c r="B672" s="21"/>
      <c r="C672" s="21"/>
      <c r="D672" s="21"/>
      <c r="E672" s="21"/>
      <c r="F672" s="21"/>
      <c r="G672" s="21"/>
    </row>
    <row r="673">
      <c r="A673" s="21"/>
      <c r="B673" s="21"/>
      <c r="C673" s="21"/>
      <c r="D673" s="21"/>
      <c r="E673" s="21"/>
      <c r="F673" s="21"/>
      <c r="G673" s="21"/>
    </row>
    <row r="674">
      <c r="A674" s="21"/>
      <c r="B674" s="21"/>
      <c r="C674" s="21"/>
      <c r="D674" s="21"/>
      <c r="E674" s="21"/>
      <c r="F674" s="21"/>
      <c r="G674" s="21"/>
    </row>
    <row r="675">
      <c r="A675" s="21"/>
      <c r="B675" s="21"/>
      <c r="C675" s="21"/>
      <c r="D675" s="21"/>
      <c r="E675" s="21"/>
      <c r="F675" s="21"/>
      <c r="G675" s="21"/>
    </row>
    <row r="676">
      <c r="A676" s="21"/>
      <c r="B676" s="21"/>
      <c r="C676" s="21"/>
      <c r="D676" s="21"/>
      <c r="E676" s="21"/>
      <c r="F676" s="21"/>
      <c r="G676" s="21"/>
    </row>
    <row r="677">
      <c r="A677" s="21"/>
      <c r="B677" s="21"/>
      <c r="C677" s="21"/>
      <c r="D677" s="21"/>
      <c r="E677" s="21"/>
      <c r="F677" s="21"/>
      <c r="G677" s="21"/>
    </row>
    <row r="678">
      <c r="A678" s="21"/>
      <c r="B678" s="21"/>
      <c r="C678" s="21"/>
      <c r="D678" s="21"/>
      <c r="E678" s="21"/>
      <c r="F678" s="21"/>
      <c r="G678" s="21"/>
    </row>
    <row r="679">
      <c r="A679" s="21"/>
      <c r="B679" s="21"/>
      <c r="C679" s="21"/>
      <c r="D679" s="21"/>
      <c r="E679" s="21"/>
      <c r="F679" s="21"/>
      <c r="G679" s="21"/>
    </row>
    <row r="680">
      <c r="A680" s="21"/>
      <c r="B680" s="21"/>
      <c r="C680" s="21"/>
      <c r="D680" s="21"/>
      <c r="E680" s="21"/>
      <c r="F680" s="21"/>
      <c r="G680" s="21"/>
    </row>
    <row r="681">
      <c r="A681" s="21"/>
      <c r="B681" s="21"/>
      <c r="C681" s="21"/>
      <c r="D681" s="21"/>
      <c r="E681" s="21"/>
      <c r="F681" s="21"/>
      <c r="G681" s="21"/>
    </row>
    <row r="682">
      <c r="A682" s="21"/>
      <c r="B682" s="21"/>
      <c r="C682" s="21"/>
      <c r="D682" s="21"/>
      <c r="E682" s="21"/>
      <c r="F682" s="21"/>
      <c r="G682" s="21"/>
    </row>
    <row r="683">
      <c r="A683" s="21"/>
      <c r="B683" s="21"/>
      <c r="C683" s="21"/>
      <c r="D683" s="21"/>
      <c r="E683" s="21"/>
      <c r="F683" s="21"/>
      <c r="G683" s="21"/>
    </row>
    <row r="684">
      <c r="A684" s="21"/>
      <c r="B684" s="21"/>
      <c r="C684" s="21"/>
      <c r="D684" s="21"/>
      <c r="E684" s="21"/>
      <c r="F684" s="21"/>
      <c r="G684" s="21"/>
    </row>
    <row r="685">
      <c r="A685" s="21"/>
      <c r="B685" s="21"/>
      <c r="C685" s="21"/>
      <c r="D685" s="21"/>
      <c r="E685" s="21"/>
      <c r="F685" s="21"/>
      <c r="G685" s="21"/>
    </row>
    <row r="686">
      <c r="A686" s="21"/>
      <c r="B686" s="21"/>
      <c r="C686" s="21"/>
      <c r="D686" s="21"/>
      <c r="E686" s="21"/>
      <c r="F686" s="21"/>
      <c r="G686" s="21"/>
    </row>
    <row r="687">
      <c r="A687" s="21"/>
      <c r="B687" s="21"/>
      <c r="C687" s="21"/>
      <c r="D687" s="21"/>
      <c r="E687" s="21"/>
      <c r="F687" s="21"/>
      <c r="G687" s="21"/>
    </row>
    <row r="688">
      <c r="A688" s="21"/>
      <c r="B688" s="21"/>
      <c r="C688" s="21"/>
      <c r="D688" s="21"/>
      <c r="E688" s="21"/>
      <c r="F688" s="21"/>
      <c r="G688" s="21"/>
    </row>
    <row r="689">
      <c r="A689" s="21"/>
      <c r="B689" s="21"/>
      <c r="C689" s="21"/>
      <c r="D689" s="21"/>
      <c r="E689" s="21"/>
      <c r="F689" s="21"/>
      <c r="G689" s="21"/>
    </row>
    <row r="690">
      <c r="A690" s="21"/>
      <c r="B690" s="21"/>
      <c r="C690" s="21"/>
      <c r="D690" s="21"/>
      <c r="E690" s="21"/>
      <c r="F690" s="21"/>
      <c r="G690" s="21"/>
    </row>
    <row r="691">
      <c r="A691" s="21"/>
      <c r="B691" s="21"/>
      <c r="C691" s="21"/>
      <c r="D691" s="21"/>
      <c r="E691" s="21"/>
      <c r="F691" s="21"/>
      <c r="G691" s="21"/>
    </row>
    <row r="692">
      <c r="A692" s="21"/>
      <c r="B692" s="21"/>
      <c r="C692" s="21"/>
      <c r="D692" s="21"/>
      <c r="E692" s="21"/>
      <c r="F692" s="21"/>
      <c r="G692" s="21"/>
    </row>
    <row r="693">
      <c r="A693" s="21"/>
      <c r="B693" s="21"/>
      <c r="C693" s="21"/>
      <c r="D693" s="21"/>
      <c r="E693" s="21"/>
      <c r="F693" s="21"/>
      <c r="G693" s="21"/>
    </row>
    <row r="694">
      <c r="A694" s="21"/>
      <c r="B694" s="21"/>
      <c r="C694" s="21"/>
      <c r="D694" s="21"/>
      <c r="E694" s="21"/>
      <c r="F694" s="21"/>
      <c r="G694" s="21"/>
    </row>
    <row r="695">
      <c r="A695" s="21"/>
      <c r="B695" s="21"/>
      <c r="C695" s="21"/>
      <c r="D695" s="21"/>
      <c r="E695" s="21"/>
      <c r="F695" s="21"/>
      <c r="G695" s="21"/>
    </row>
    <row r="696">
      <c r="A696" s="21"/>
      <c r="B696" s="21"/>
      <c r="C696" s="21"/>
      <c r="D696" s="21"/>
      <c r="E696" s="21"/>
      <c r="F696" s="21"/>
      <c r="G696" s="21"/>
    </row>
    <row r="697">
      <c r="A697" s="21"/>
      <c r="B697" s="21"/>
      <c r="C697" s="21"/>
      <c r="D697" s="21"/>
      <c r="E697" s="21"/>
      <c r="F697" s="21"/>
      <c r="G697" s="21"/>
    </row>
    <row r="698">
      <c r="A698" s="21"/>
      <c r="B698" s="21"/>
      <c r="C698" s="21"/>
      <c r="D698" s="21"/>
      <c r="E698" s="21"/>
      <c r="F698" s="21"/>
      <c r="G698" s="21"/>
    </row>
    <row r="699">
      <c r="A699" s="21"/>
      <c r="B699" s="21"/>
      <c r="C699" s="21"/>
      <c r="D699" s="21"/>
      <c r="E699" s="21"/>
      <c r="F699" s="21"/>
      <c r="G699" s="21"/>
    </row>
    <row r="700">
      <c r="A700" s="21"/>
      <c r="B700" s="21"/>
      <c r="C700" s="21"/>
      <c r="D700" s="21"/>
      <c r="E700" s="21"/>
      <c r="F700" s="21"/>
      <c r="G700" s="21"/>
    </row>
    <row r="701">
      <c r="A701" s="21"/>
      <c r="B701" s="21"/>
      <c r="C701" s="21"/>
      <c r="D701" s="21"/>
      <c r="E701" s="21"/>
      <c r="F701" s="21"/>
      <c r="G701" s="21"/>
    </row>
    <row r="702">
      <c r="A702" s="21"/>
      <c r="B702" s="21"/>
      <c r="C702" s="21"/>
      <c r="D702" s="21"/>
      <c r="E702" s="21"/>
      <c r="F702" s="21"/>
      <c r="G702" s="21"/>
    </row>
    <row r="703">
      <c r="A703" s="21"/>
      <c r="B703" s="21"/>
      <c r="C703" s="21"/>
      <c r="D703" s="21"/>
      <c r="E703" s="21"/>
      <c r="F703" s="21"/>
      <c r="G703" s="21"/>
    </row>
    <row r="704">
      <c r="A704" s="21"/>
      <c r="B704" s="21"/>
      <c r="C704" s="21"/>
      <c r="D704" s="21"/>
      <c r="E704" s="21"/>
      <c r="F704" s="21"/>
      <c r="G704" s="21"/>
    </row>
    <row r="705">
      <c r="A705" s="21"/>
      <c r="B705" s="21"/>
      <c r="C705" s="21"/>
      <c r="D705" s="21"/>
      <c r="E705" s="21"/>
      <c r="F705" s="21"/>
      <c r="G705" s="21"/>
    </row>
    <row r="706">
      <c r="A706" s="21"/>
      <c r="B706" s="21"/>
      <c r="C706" s="21"/>
      <c r="D706" s="21"/>
      <c r="E706" s="21"/>
      <c r="F706" s="21"/>
      <c r="G706" s="21"/>
    </row>
    <row r="707">
      <c r="A707" s="21"/>
      <c r="B707" s="21"/>
      <c r="C707" s="21"/>
      <c r="D707" s="21"/>
      <c r="E707" s="21"/>
      <c r="F707" s="21"/>
      <c r="G707" s="21"/>
    </row>
    <row r="708">
      <c r="A708" s="21"/>
      <c r="B708" s="21"/>
      <c r="C708" s="21"/>
      <c r="D708" s="21"/>
      <c r="E708" s="21"/>
      <c r="F708" s="21"/>
      <c r="G708" s="21"/>
    </row>
    <row r="709">
      <c r="A709" s="21"/>
      <c r="B709" s="21"/>
      <c r="C709" s="21"/>
      <c r="D709" s="21"/>
      <c r="E709" s="21"/>
      <c r="F709" s="21"/>
      <c r="G709" s="21"/>
    </row>
    <row r="710">
      <c r="A710" s="21"/>
      <c r="B710" s="21"/>
      <c r="C710" s="21"/>
      <c r="D710" s="21"/>
      <c r="E710" s="21"/>
      <c r="F710" s="21"/>
      <c r="G710" s="21"/>
    </row>
    <row r="711">
      <c r="A711" s="21"/>
      <c r="B711" s="21"/>
      <c r="C711" s="21"/>
      <c r="D711" s="21"/>
      <c r="E711" s="21"/>
      <c r="F711" s="21"/>
      <c r="G711" s="21"/>
    </row>
    <row r="712">
      <c r="A712" s="21"/>
      <c r="B712" s="21"/>
      <c r="C712" s="21"/>
      <c r="D712" s="21"/>
      <c r="E712" s="21"/>
      <c r="F712" s="21"/>
      <c r="G712" s="21"/>
    </row>
    <row r="713">
      <c r="A713" s="21"/>
      <c r="B713" s="21"/>
      <c r="C713" s="21"/>
      <c r="D713" s="21"/>
      <c r="E713" s="21"/>
      <c r="F713" s="21"/>
      <c r="G713" s="21"/>
    </row>
    <row r="714">
      <c r="A714" s="21"/>
      <c r="B714" s="21"/>
      <c r="C714" s="21"/>
      <c r="D714" s="21"/>
      <c r="E714" s="21"/>
      <c r="F714" s="21"/>
      <c r="G714" s="21"/>
    </row>
    <row r="715">
      <c r="A715" s="21"/>
      <c r="B715" s="21"/>
      <c r="C715" s="21"/>
      <c r="D715" s="21"/>
      <c r="E715" s="21"/>
      <c r="F715" s="21"/>
      <c r="G715" s="21"/>
    </row>
    <row r="716">
      <c r="A716" s="21"/>
      <c r="B716" s="21"/>
      <c r="C716" s="21"/>
      <c r="D716" s="21"/>
      <c r="E716" s="21"/>
      <c r="F716" s="21"/>
      <c r="G716" s="21"/>
    </row>
    <row r="717">
      <c r="A717" s="21"/>
      <c r="B717" s="21"/>
      <c r="C717" s="21"/>
      <c r="D717" s="21"/>
      <c r="E717" s="21"/>
      <c r="F717" s="21"/>
      <c r="G717" s="21"/>
    </row>
    <row r="718">
      <c r="A718" s="21"/>
      <c r="B718" s="21"/>
      <c r="C718" s="21"/>
      <c r="D718" s="21"/>
      <c r="E718" s="21"/>
      <c r="F718" s="21"/>
      <c r="G718" s="21"/>
    </row>
    <row r="719">
      <c r="A719" s="21"/>
      <c r="B719" s="21"/>
      <c r="C719" s="21"/>
      <c r="D719" s="21"/>
      <c r="E719" s="21"/>
      <c r="F719" s="21"/>
      <c r="G719" s="21"/>
    </row>
    <row r="720">
      <c r="A720" s="21"/>
      <c r="B720" s="21"/>
      <c r="C720" s="21"/>
      <c r="D720" s="21"/>
      <c r="E720" s="21"/>
      <c r="F720" s="21"/>
      <c r="G720" s="21"/>
    </row>
    <row r="721">
      <c r="A721" s="21"/>
      <c r="B721" s="21"/>
      <c r="C721" s="21"/>
      <c r="D721" s="21"/>
      <c r="E721" s="21"/>
      <c r="F721" s="21"/>
      <c r="G721" s="21"/>
    </row>
    <row r="722">
      <c r="A722" s="21"/>
      <c r="B722" s="21"/>
      <c r="C722" s="21"/>
      <c r="D722" s="21"/>
      <c r="E722" s="21"/>
      <c r="F722" s="21"/>
      <c r="G722" s="21"/>
    </row>
    <row r="723">
      <c r="A723" s="21"/>
      <c r="B723" s="21"/>
      <c r="C723" s="21"/>
      <c r="D723" s="21"/>
      <c r="E723" s="21"/>
      <c r="F723" s="21"/>
      <c r="G723" s="21"/>
    </row>
    <row r="724">
      <c r="A724" s="21"/>
      <c r="B724" s="21"/>
      <c r="C724" s="21"/>
      <c r="D724" s="21"/>
      <c r="E724" s="21"/>
      <c r="F724" s="21"/>
      <c r="G724" s="21"/>
    </row>
    <row r="725">
      <c r="A725" s="21"/>
      <c r="B725" s="21"/>
      <c r="C725" s="21"/>
      <c r="D725" s="21"/>
      <c r="E725" s="21"/>
      <c r="F725" s="21"/>
      <c r="G725" s="21"/>
    </row>
    <row r="726">
      <c r="A726" s="21"/>
      <c r="B726" s="21"/>
      <c r="C726" s="21"/>
      <c r="D726" s="21"/>
      <c r="E726" s="21"/>
      <c r="F726" s="21"/>
      <c r="G726" s="21"/>
    </row>
    <row r="727">
      <c r="A727" s="21"/>
      <c r="B727" s="21"/>
      <c r="C727" s="21"/>
      <c r="D727" s="21"/>
      <c r="E727" s="21"/>
      <c r="F727" s="21"/>
      <c r="G727" s="21"/>
    </row>
    <row r="728">
      <c r="A728" s="21"/>
      <c r="B728" s="21"/>
      <c r="C728" s="21"/>
      <c r="D728" s="21"/>
      <c r="E728" s="21"/>
      <c r="F728" s="21"/>
      <c r="G728" s="21"/>
    </row>
    <row r="729">
      <c r="A729" s="21"/>
      <c r="B729" s="21"/>
      <c r="C729" s="21"/>
      <c r="D729" s="21"/>
      <c r="E729" s="21"/>
      <c r="F729" s="21"/>
      <c r="G729" s="21"/>
    </row>
    <row r="730">
      <c r="A730" s="21"/>
      <c r="B730" s="21"/>
      <c r="C730" s="21"/>
      <c r="D730" s="21"/>
      <c r="E730" s="21"/>
      <c r="F730" s="21"/>
      <c r="G730" s="21"/>
    </row>
    <row r="731">
      <c r="A731" s="21"/>
      <c r="B731" s="21"/>
      <c r="C731" s="21"/>
      <c r="D731" s="21"/>
      <c r="E731" s="21"/>
      <c r="F731" s="21"/>
      <c r="G731" s="21"/>
    </row>
    <row r="732">
      <c r="A732" s="21"/>
      <c r="B732" s="21"/>
      <c r="C732" s="21"/>
      <c r="D732" s="21"/>
      <c r="E732" s="21"/>
      <c r="F732" s="21"/>
      <c r="G732" s="21"/>
    </row>
    <row r="733">
      <c r="A733" s="21"/>
      <c r="B733" s="21"/>
      <c r="C733" s="21"/>
      <c r="D733" s="21"/>
      <c r="E733" s="21"/>
      <c r="F733" s="21"/>
      <c r="G733" s="21"/>
    </row>
    <row r="734">
      <c r="A734" s="21"/>
      <c r="B734" s="21"/>
      <c r="C734" s="21"/>
      <c r="D734" s="21"/>
      <c r="E734" s="21"/>
      <c r="F734" s="21"/>
      <c r="G734" s="21"/>
    </row>
    <row r="735">
      <c r="A735" s="21"/>
      <c r="B735" s="21"/>
      <c r="C735" s="21"/>
      <c r="D735" s="21"/>
      <c r="E735" s="21"/>
      <c r="F735" s="21"/>
      <c r="G735" s="21"/>
    </row>
    <row r="736">
      <c r="A736" s="21"/>
      <c r="B736" s="21"/>
      <c r="C736" s="21"/>
      <c r="D736" s="21"/>
      <c r="E736" s="21"/>
      <c r="F736" s="21"/>
      <c r="G736" s="21"/>
    </row>
    <row r="737">
      <c r="A737" s="21"/>
      <c r="B737" s="21"/>
      <c r="C737" s="21"/>
      <c r="D737" s="21"/>
      <c r="E737" s="21"/>
      <c r="F737" s="21"/>
      <c r="G737" s="21"/>
    </row>
    <row r="738">
      <c r="A738" s="21"/>
      <c r="B738" s="21"/>
      <c r="C738" s="21"/>
      <c r="D738" s="21"/>
      <c r="E738" s="21"/>
      <c r="F738" s="21"/>
      <c r="G738" s="21"/>
    </row>
    <row r="739">
      <c r="A739" s="21"/>
      <c r="B739" s="21"/>
      <c r="C739" s="21"/>
      <c r="D739" s="21"/>
      <c r="E739" s="21"/>
      <c r="F739" s="21"/>
      <c r="G739" s="21"/>
    </row>
    <row r="740">
      <c r="A740" s="21"/>
      <c r="B740" s="21"/>
      <c r="C740" s="21"/>
      <c r="D740" s="21"/>
      <c r="E740" s="21"/>
      <c r="F740" s="21"/>
      <c r="G740" s="21"/>
    </row>
    <row r="741">
      <c r="A741" s="21"/>
      <c r="B741" s="21"/>
      <c r="C741" s="21"/>
      <c r="D741" s="21"/>
      <c r="E741" s="21"/>
      <c r="F741" s="21"/>
      <c r="G741" s="21"/>
    </row>
    <row r="742">
      <c r="A742" s="21"/>
      <c r="B742" s="21"/>
      <c r="C742" s="21"/>
      <c r="D742" s="21"/>
      <c r="E742" s="21"/>
      <c r="F742" s="21"/>
      <c r="G742" s="21"/>
    </row>
    <row r="743">
      <c r="A743" s="21"/>
      <c r="B743" s="21"/>
      <c r="C743" s="21"/>
      <c r="D743" s="21"/>
      <c r="E743" s="21"/>
      <c r="F743" s="21"/>
      <c r="G743" s="21"/>
    </row>
    <row r="744">
      <c r="A744" s="21"/>
      <c r="B744" s="21"/>
      <c r="C744" s="21"/>
      <c r="D744" s="21"/>
      <c r="E744" s="21"/>
      <c r="F744" s="21"/>
      <c r="G744" s="21"/>
    </row>
    <row r="745">
      <c r="A745" s="21"/>
      <c r="B745" s="21"/>
      <c r="C745" s="21"/>
      <c r="D745" s="21"/>
      <c r="E745" s="21"/>
      <c r="F745" s="21"/>
      <c r="G745" s="21"/>
    </row>
    <row r="746">
      <c r="A746" s="21"/>
      <c r="B746" s="21"/>
      <c r="C746" s="21"/>
      <c r="D746" s="21"/>
      <c r="E746" s="21"/>
      <c r="F746" s="21"/>
      <c r="G746" s="21"/>
    </row>
    <row r="747">
      <c r="A747" s="21"/>
      <c r="B747" s="21"/>
      <c r="C747" s="21"/>
      <c r="D747" s="21"/>
      <c r="E747" s="21"/>
      <c r="F747" s="21"/>
      <c r="G747" s="21"/>
    </row>
    <row r="748">
      <c r="A748" s="21"/>
      <c r="B748" s="21"/>
      <c r="C748" s="21"/>
      <c r="D748" s="21"/>
      <c r="E748" s="21"/>
      <c r="F748" s="21"/>
      <c r="G748" s="21"/>
    </row>
    <row r="749">
      <c r="A749" s="21"/>
      <c r="B749" s="21"/>
      <c r="C749" s="21"/>
      <c r="D749" s="21"/>
      <c r="E749" s="21"/>
      <c r="F749" s="21"/>
      <c r="G749" s="21"/>
    </row>
    <row r="750">
      <c r="A750" s="21"/>
      <c r="B750" s="21"/>
      <c r="C750" s="21"/>
      <c r="D750" s="21"/>
      <c r="E750" s="21"/>
      <c r="F750" s="21"/>
      <c r="G750" s="21"/>
    </row>
    <row r="751">
      <c r="A751" s="21"/>
      <c r="B751" s="21"/>
      <c r="C751" s="21"/>
      <c r="D751" s="21"/>
      <c r="E751" s="21"/>
      <c r="F751" s="21"/>
      <c r="G751" s="21"/>
    </row>
    <row r="752">
      <c r="A752" s="21"/>
      <c r="B752" s="21"/>
      <c r="C752" s="21"/>
      <c r="D752" s="21"/>
      <c r="E752" s="21"/>
      <c r="F752" s="21"/>
      <c r="G752" s="21"/>
    </row>
    <row r="753">
      <c r="A753" s="21"/>
      <c r="B753" s="21"/>
      <c r="C753" s="21"/>
      <c r="D753" s="21"/>
      <c r="E753" s="21"/>
      <c r="F753" s="21"/>
      <c r="G753" s="21"/>
    </row>
    <row r="754">
      <c r="A754" s="21"/>
      <c r="B754" s="21"/>
      <c r="C754" s="21"/>
      <c r="D754" s="21"/>
      <c r="E754" s="21"/>
      <c r="F754" s="21"/>
      <c r="G754" s="21"/>
    </row>
    <row r="755">
      <c r="A755" s="21"/>
      <c r="B755" s="21"/>
      <c r="C755" s="21"/>
      <c r="D755" s="21"/>
      <c r="E755" s="21"/>
      <c r="F755" s="21"/>
      <c r="G755" s="21"/>
    </row>
    <row r="756">
      <c r="A756" s="21"/>
      <c r="B756" s="21"/>
      <c r="C756" s="21"/>
      <c r="D756" s="21"/>
      <c r="E756" s="21"/>
      <c r="F756" s="21"/>
      <c r="G756" s="21"/>
    </row>
    <row r="757">
      <c r="A757" s="21"/>
      <c r="B757" s="21"/>
      <c r="C757" s="21"/>
      <c r="D757" s="21"/>
      <c r="E757" s="21"/>
      <c r="F757" s="21"/>
      <c r="G757" s="21"/>
    </row>
    <row r="758">
      <c r="A758" s="21"/>
      <c r="B758" s="21"/>
      <c r="C758" s="21"/>
      <c r="D758" s="21"/>
      <c r="E758" s="21"/>
      <c r="F758" s="21"/>
      <c r="G758" s="21"/>
    </row>
    <row r="759">
      <c r="A759" s="21"/>
      <c r="B759" s="21"/>
      <c r="C759" s="21"/>
      <c r="D759" s="21"/>
      <c r="E759" s="21"/>
      <c r="F759" s="21"/>
      <c r="G759" s="21"/>
    </row>
    <row r="760">
      <c r="A760" s="21"/>
      <c r="B760" s="21"/>
      <c r="C760" s="21"/>
      <c r="D760" s="21"/>
      <c r="E760" s="21"/>
      <c r="F760" s="21"/>
      <c r="G760" s="21"/>
    </row>
    <row r="761">
      <c r="A761" s="21"/>
      <c r="B761" s="21"/>
      <c r="C761" s="21"/>
      <c r="D761" s="21"/>
      <c r="E761" s="21"/>
      <c r="F761" s="21"/>
      <c r="G761" s="21"/>
    </row>
    <row r="762">
      <c r="A762" s="21"/>
      <c r="B762" s="21"/>
      <c r="C762" s="21"/>
      <c r="D762" s="21"/>
      <c r="E762" s="21"/>
      <c r="F762" s="21"/>
      <c r="G762" s="21"/>
    </row>
    <row r="763">
      <c r="A763" s="21"/>
      <c r="B763" s="21"/>
      <c r="C763" s="21"/>
      <c r="D763" s="21"/>
      <c r="E763" s="21"/>
      <c r="F763" s="21"/>
      <c r="G763" s="21"/>
    </row>
    <row r="764">
      <c r="A764" s="21"/>
      <c r="B764" s="21"/>
      <c r="C764" s="21"/>
      <c r="D764" s="21"/>
      <c r="E764" s="21"/>
      <c r="F764" s="21"/>
      <c r="G764" s="21"/>
    </row>
    <row r="765">
      <c r="A765" s="21"/>
      <c r="B765" s="21"/>
      <c r="C765" s="21"/>
      <c r="D765" s="21"/>
      <c r="E765" s="21"/>
      <c r="F765" s="21"/>
      <c r="G765" s="21"/>
    </row>
    <row r="766">
      <c r="A766" s="21"/>
      <c r="B766" s="21"/>
      <c r="C766" s="21"/>
      <c r="D766" s="21"/>
      <c r="E766" s="21"/>
      <c r="F766" s="21"/>
      <c r="G766" s="21"/>
    </row>
    <row r="767">
      <c r="A767" s="21"/>
      <c r="B767" s="21"/>
      <c r="C767" s="21"/>
      <c r="D767" s="21"/>
      <c r="E767" s="21"/>
      <c r="F767" s="21"/>
      <c r="G767" s="21"/>
    </row>
    <row r="768">
      <c r="A768" s="21"/>
      <c r="B768" s="21"/>
      <c r="C768" s="21"/>
      <c r="D768" s="21"/>
      <c r="E768" s="21"/>
      <c r="F768" s="21"/>
      <c r="G768" s="21"/>
    </row>
    <row r="769">
      <c r="A769" s="21"/>
      <c r="B769" s="21"/>
      <c r="C769" s="21"/>
      <c r="D769" s="21"/>
      <c r="E769" s="21"/>
      <c r="F769" s="21"/>
      <c r="G769" s="21"/>
    </row>
    <row r="770">
      <c r="A770" s="21"/>
      <c r="B770" s="21"/>
      <c r="C770" s="21"/>
      <c r="D770" s="21"/>
      <c r="E770" s="21"/>
      <c r="F770" s="21"/>
      <c r="G770" s="21"/>
    </row>
    <row r="771">
      <c r="A771" s="21"/>
      <c r="B771" s="21"/>
      <c r="C771" s="21"/>
      <c r="D771" s="21"/>
      <c r="E771" s="21"/>
      <c r="F771" s="21"/>
      <c r="G771" s="21"/>
    </row>
    <row r="772">
      <c r="A772" s="21"/>
      <c r="B772" s="21"/>
      <c r="C772" s="21"/>
      <c r="D772" s="21"/>
      <c r="E772" s="21"/>
      <c r="F772" s="21"/>
      <c r="G772" s="21"/>
    </row>
    <row r="773">
      <c r="A773" s="21"/>
      <c r="B773" s="21"/>
      <c r="C773" s="21"/>
      <c r="D773" s="21"/>
      <c r="E773" s="21"/>
      <c r="F773" s="21"/>
      <c r="G773" s="21"/>
    </row>
    <row r="774">
      <c r="A774" s="21"/>
      <c r="B774" s="21"/>
      <c r="C774" s="21"/>
      <c r="D774" s="21"/>
      <c r="E774" s="21"/>
      <c r="F774" s="21"/>
      <c r="G774" s="21"/>
    </row>
    <row r="775">
      <c r="A775" s="21"/>
      <c r="B775" s="21"/>
      <c r="C775" s="21"/>
      <c r="D775" s="21"/>
      <c r="E775" s="21"/>
      <c r="F775" s="21"/>
      <c r="G775" s="21"/>
    </row>
    <row r="776">
      <c r="A776" s="21"/>
      <c r="B776" s="21"/>
      <c r="C776" s="21"/>
      <c r="D776" s="21"/>
      <c r="E776" s="21"/>
      <c r="F776" s="21"/>
      <c r="G776" s="21"/>
    </row>
    <row r="777">
      <c r="A777" s="21"/>
      <c r="B777" s="21"/>
      <c r="C777" s="21"/>
      <c r="D777" s="21"/>
      <c r="E777" s="21"/>
      <c r="F777" s="21"/>
      <c r="G777" s="21"/>
    </row>
    <row r="778">
      <c r="A778" s="21"/>
      <c r="B778" s="21"/>
      <c r="C778" s="21"/>
      <c r="D778" s="21"/>
      <c r="E778" s="21"/>
      <c r="F778" s="21"/>
      <c r="G778" s="21"/>
    </row>
    <row r="779">
      <c r="A779" s="21"/>
      <c r="B779" s="21"/>
      <c r="C779" s="21"/>
      <c r="D779" s="21"/>
      <c r="E779" s="21"/>
      <c r="F779" s="21"/>
      <c r="G779" s="21"/>
    </row>
    <row r="780">
      <c r="A780" s="21"/>
      <c r="B780" s="21"/>
      <c r="C780" s="21"/>
      <c r="D780" s="21"/>
      <c r="E780" s="21"/>
      <c r="F780" s="21"/>
      <c r="G780" s="21"/>
    </row>
    <row r="781">
      <c r="A781" s="21"/>
      <c r="B781" s="21"/>
      <c r="C781" s="21"/>
      <c r="D781" s="21"/>
      <c r="E781" s="21"/>
      <c r="F781" s="21"/>
      <c r="G781" s="21"/>
    </row>
    <row r="782">
      <c r="A782" s="21"/>
      <c r="B782" s="21"/>
      <c r="C782" s="21"/>
      <c r="D782" s="21"/>
      <c r="E782" s="21"/>
      <c r="F782" s="21"/>
      <c r="G782" s="21"/>
    </row>
    <row r="783">
      <c r="A783" s="21"/>
      <c r="B783" s="21"/>
      <c r="C783" s="21"/>
      <c r="D783" s="21"/>
      <c r="E783" s="21"/>
      <c r="F783" s="21"/>
      <c r="G783" s="21"/>
    </row>
    <row r="784">
      <c r="A784" s="21"/>
      <c r="B784" s="21"/>
      <c r="C784" s="21"/>
      <c r="D784" s="21"/>
      <c r="E784" s="21"/>
      <c r="F784" s="21"/>
      <c r="G784" s="21"/>
    </row>
    <row r="785">
      <c r="A785" s="21"/>
      <c r="B785" s="21"/>
      <c r="C785" s="21"/>
      <c r="D785" s="21"/>
      <c r="E785" s="21"/>
      <c r="F785" s="21"/>
      <c r="G785" s="21"/>
    </row>
    <row r="786">
      <c r="A786" s="21"/>
      <c r="B786" s="21"/>
      <c r="C786" s="21"/>
      <c r="D786" s="21"/>
      <c r="E786" s="21"/>
      <c r="F786" s="21"/>
      <c r="G786" s="21"/>
    </row>
    <row r="787">
      <c r="A787" s="21"/>
      <c r="B787" s="21"/>
      <c r="C787" s="21"/>
      <c r="D787" s="21"/>
      <c r="E787" s="21"/>
      <c r="F787" s="21"/>
      <c r="G787" s="21"/>
    </row>
    <row r="788">
      <c r="A788" s="21"/>
      <c r="B788" s="21"/>
      <c r="C788" s="21"/>
      <c r="D788" s="21"/>
      <c r="E788" s="21"/>
      <c r="F788" s="21"/>
      <c r="G788" s="21"/>
    </row>
    <row r="789">
      <c r="A789" s="21"/>
      <c r="B789" s="21"/>
      <c r="C789" s="21"/>
      <c r="D789" s="21"/>
      <c r="E789" s="21"/>
      <c r="F789" s="21"/>
      <c r="G789" s="21"/>
    </row>
    <row r="790">
      <c r="A790" s="21"/>
      <c r="B790" s="21"/>
      <c r="C790" s="21"/>
      <c r="D790" s="21"/>
      <c r="E790" s="21"/>
      <c r="F790" s="21"/>
      <c r="G790" s="21"/>
    </row>
    <row r="791">
      <c r="A791" s="21"/>
      <c r="B791" s="21"/>
      <c r="C791" s="21"/>
      <c r="D791" s="21"/>
      <c r="E791" s="21"/>
      <c r="F791" s="21"/>
      <c r="G791" s="21"/>
    </row>
    <row r="792">
      <c r="A792" s="21"/>
      <c r="B792" s="21"/>
      <c r="C792" s="21"/>
      <c r="D792" s="21"/>
      <c r="E792" s="21"/>
      <c r="F792" s="21"/>
      <c r="G792" s="21"/>
    </row>
    <row r="793">
      <c r="A793" s="21"/>
      <c r="B793" s="21"/>
      <c r="C793" s="21"/>
      <c r="D793" s="21"/>
      <c r="E793" s="21"/>
      <c r="F793" s="21"/>
      <c r="G793" s="21"/>
    </row>
    <row r="794">
      <c r="A794" s="21"/>
      <c r="B794" s="21"/>
      <c r="C794" s="21"/>
      <c r="D794" s="21"/>
      <c r="E794" s="21"/>
      <c r="F794" s="21"/>
      <c r="G794" s="21"/>
    </row>
    <row r="795">
      <c r="A795" s="21"/>
      <c r="B795" s="21"/>
      <c r="C795" s="21"/>
      <c r="D795" s="21"/>
      <c r="E795" s="21"/>
      <c r="F795" s="21"/>
      <c r="G795" s="21"/>
    </row>
    <row r="796">
      <c r="A796" s="21"/>
      <c r="B796" s="21"/>
      <c r="C796" s="21"/>
      <c r="D796" s="21"/>
      <c r="E796" s="21"/>
      <c r="F796" s="21"/>
      <c r="G796" s="21"/>
    </row>
    <row r="797">
      <c r="A797" s="21"/>
      <c r="B797" s="21"/>
      <c r="C797" s="21"/>
      <c r="D797" s="21"/>
      <c r="E797" s="21"/>
      <c r="F797" s="21"/>
      <c r="G797" s="21"/>
    </row>
    <row r="798">
      <c r="A798" s="21"/>
      <c r="B798" s="21"/>
      <c r="C798" s="21"/>
      <c r="D798" s="21"/>
      <c r="E798" s="21"/>
      <c r="F798" s="21"/>
      <c r="G798" s="21"/>
    </row>
    <row r="799">
      <c r="A799" s="21"/>
      <c r="B799" s="21"/>
      <c r="C799" s="21"/>
      <c r="D799" s="21"/>
      <c r="E799" s="21"/>
      <c r="F799" s="21"/>
      <c r="G799" s="21"/>
    </row>
    <row r="800">
      <c r="A800" s="21"/>
      <c r="B800" s="21"/>
      <c r="C800" s="21"/>
      <c r="D800" s="21"/>
      <c r="E800" s="21"/>
      <c r="F800" s="21"/>
      <c r="G800" s="21"/>
    </row>
    <row r="801">
      <c r="A801" s="21"/>
      <c r="B801" s="21"/>
      <c r="C801" s="21"/>
      <c r="D801" s="21"/>
      <c r="E801" s="21"/>
      <c r="F801" s="21"/>
      <c r="G801" s="21"/>
    </row>
    <row r="802">
      <c r="A802" s="21"/>
      <c r="B802" s="21"/>
      <c r="C802" s="21"/>
      <c r="D802" s="21"/>
      <c r="E802" s="21"/>
      <c r="F802" s="21"/>
      <c r="G802" s="21"/>
    </row>
    <row r="803">
      <c r="A803" s="21"/>
      <c r="B803" s="21"/>
      <c r="C803" s="21"/>
      <c r="D803" s="21"/>
      <c r="E803" s="21"/>
      <c r="F803" s="21"/>
      <c r="G803" s="21"/>
    </row>
    <row r="804">
      <c r="A804" s="21"/>
      <c r="B804" s="21"/>
      <c r="C804" s="21"/>
      <c r="D804" s="21"/>
      <c r="E804" s="21"/>
      <c r="F804" s="21"/>
      <c r="G804" s="21"/>
    </row>
    <row r="805">
      <c r="A805" s="21"/>
      <c r="B805" s="21"/>
      <c r="C805" s="21"/>
      <c r="D805" s="21"/>
      <c r="E805" s="21"/>
      <c r="F805" s="21"/>
      <c r="G805" s="21"/>
    </row>
    <row r="806">
      <c r="A806" s="21"/>
      <c r="B806" s="21"/>
      <c r="C806" s="21"/>
      <c r="D806" s="21"/>
      <c r="E806" s="21"/>
      <c r="F806" s="21"/>
      <c r="G806" s="21"/>
    </row>
    <row r="807">
      <c r="A807" s="21"/>
      <c r="B807" s="21"/>
      <c r="C807" s="21"/>
      <c r="D807" s="21"/>
      <c r="E807" s="21"/>
      <c r="F807" s="21"/>
      <c r="G807" s="21"/>
    </row>
    <row r="808">
      <c r="A808" s="21"/>
      <c r="B808" s="21"/>
      <c r="C808" s="21"/>
      <c r="D808" s="21"/>
      <c r="E808" s="21"/>
      <c r="F808" s="21"/>
      <c r="G808" s="21"/>
    </row>
    <row r="809">
      <c r="A809" s="21"/>
      <c r="B809" s="21"/>
      <c r="C809" s="21"/>
      <c r="D809" s="21"/>
      <c r="E809" s="21"/>
      <c r="F809" s="21"/>
      <c r="G809" s="21"/>
    </row>
    <row r="810">
      <c r="A810" s="21"/>
      <c r="B810" s="21"/>
      <c r="C810" s="21"/>
      <c r="D810" s="21"/>
      <c r="E810" s="21"/>
      <c r="F810" s="21"/>
      <c r="G810" s="21"/>
    </row>
    <row r="811">
      <c r="A811" s="21"/>
      <c r="B811" s="21"/>
      <c r="C811" s="21"/>
      <c r="D811" s="21"/>
      <c r="E811" s="21"/>
      <c r="F811" s="21"/>
      <c r="G811" s="21"/>
    </row>
    <row r="812">
      <c r="A812" s="21"/>
      <c r="B812" s="21"/>
      <c r="C812" s="21"/>
      <c r="D812" s="21"/>
      <c r="E812" s="21"/>
      <c r="F812" s="21"/>
      <c r="G812" s="21"/>
    </row>
    <row r="813">
      <c r="A813" s="21"/>
      <c r="B813" s="21"/>
      <c r="C813" s="21"/>
      <c r="D813" s="21"/>
      <c r="E813" s="21"/>
      <c r="F813" s="21"/>
      <c r="G813" s="21"/>
    </row>
    <row r="814">
      <c r="A814" s="21"/>
      <c r="B814" s="21"/>
      <c r="C814" s="21"/>
      <c r="D814" s="21"/>
      <c r="E814" s="21"/>
      <c r="F814" s="21"/>
      <c r="G814" s="21"/>
    </row>
    <row r="815">
      <c r="A815" s="21"/>
      <c r="B815" s="21"/>
      <c r="C815" s="21"/>
      <c r="D815" s="21"/>
      <c r="E815" s="21"/>
      <c r="F815" s="21"/>
      <c r="G815" s="21"/>
    </row>
    <row r="816">
      <c r="A816" s="21"/>
      <c r="B816" s="21"/>
      <c r="C816" s="21"/>
      <c r="D816" s="21"/>
      <c r="E816" s="21"/>
      <c r="F816" s="21"/>
      <c r="G816" s="21"/>
    </row>
    <row r="817">
      <c r="A817" s="21"/>
      <c r="B817" s="21"/>
      <c r="C817" s="21"/>
      <c r="D817" s="21"/>
      <c r="E817" s="21"/>
      <c r="F817" s="21"/>
      <c r="G817" s="21"/>
    </row>
    <row r="818">
      <c r="A818" s="21"/>
      <c r="B818" s="21"/>
      <c r="C818" s="21"/>
      <c r="D818" s="21"/>
      <c r="E818" s="21"/>
      <c r="F818" s="21"/>
      <c r="G818" s="21"/>
    </row>
    <row r="819">
      <c r="A819" s="21"/>
      <c r="B819" s="21"/>
      <c r="C819" s="21"/>
      <c r="D819" s="21"/>
      <c r="E819" s="21"/>
      <c r="F819" s="21"/>
      <c r="G819" s="21"/>
    </row>
    <row r="820">
      <c r="A820" s="21"/>
      <c r="B820" s="21"/>
      <c r="C820" s="21"/>
      <c r="D820" s="21"/>
      <c r="E820" s="21"/>
      <c r="F820" s="21"/>
      <c r="G820" s="21"/>
    </row>
    <row r="821">
      <c r="A821" s="21"/>
      <c r="B821" s="21"/>
      <c r="C821" s="21"/>
      <c r="D821" s="21"/>
      <c r="E821" s="21"/>
      <c r="F821" s="21"/>
      <c r="G821" s="21"/>
    </row>
    <row r="822">
      <c r="A822" s="21"/>
      <c r="B822" s="21"/>
      <c r="C822" s="21"/>
      <c r="D822" s="21"/>
      <c r="E822" s="21"/>
      <c r="F822" s="21"/>
      <c r="G822" s="21"/>
    </row>
    <row r="823">
      <c r="A823" s="21"/>
      <c r="B823" s="21"/>
      <c r="C823" s="21"/>
      <c r="D823" s="21"/>
      <c r="E823" s="21"/>
      <c r="F823" s="21"/>
      <c r="G823" s="21"/>
    </row>
    <row r="824">
      <c r="A824" s="21"/>
      <c r="B824" s="21"/>
      <c r="C824" s="21"/>
      <c r="D824" s="21"/>
      <c r="E824" s="21"/>
      <c r="F824" s="21"/>
      <c r="G824" s="21"/>
    </row>
    <row r="825">
      <c r="A825" s="21"/>
      <c r="B825" s="21"/>
      <c r="C825" s="21"/>
      <c r="D825" s="21"/>
      <c r="E825" s="21"/>
      <c r="F825" s="21"/>
      <c r="G825" s="21"/>
    </row>
    <row r="826">
      <c r="A826" s="21"/>
      <c r="B826" s="21"/>
      <c r="C826" s="21"/>
      <c r="D826" s="21"/>
      <c r="E826" s="21"/>
      <c r="F826" s="21"/>
      <c r="G826" s="21"/>
    </row>
    <row r="827">
      <c r="A827" s="21"/>
      <c r="B827" s="21"/>
      <c r="C827" s="21"/>
      <c r="D827" s="21"/>
      <c r="E827" s="21"/>
      <c r="F827" s="21"/>
      <c r="G827" s="21"/>
    </row>
    <row r="828">
      <c r="A828" s="21"/>
      <c r="B828" s="21"/>
      <c r="C828" s="21"/>
      <c r="D828" s="21"/>
      <c r="E828" s="21"/>
      <c r="F828" s="21"/>
      <c r="G828" s="21"/>
    </row>
    <row r="829">
      <c r="A829" s="21"/>
      <c r="B829" s="21"/>
      <c r="C829" s="21"/>
      <c r="D829" s="21"/>
      <c r="E829" s="21"/>
      <c r="F829" s="21"/>
      <c r="G829" s="21"/>
    </row>
    <row r="830">
      <c r="A830" s="21"/>
      <c r="B830" s="21"/>
      <c r="C830" s="21"/>
      <c r="D830" s="21"/>
      <c r="E830" s="21"/>
      <c r="F830" s="21"/>
      <c r="G830" s="21"/>
    </row>
    <row r="831">
      <c r="A831" s="21"/>
      <c r="B831" s="21"/>
      <c r="C831" s="21"/>
      <c r="D831" s="21"/>
      <c r="E831" s="21"/>
      <c r="F831" s="21"/>
      <c r="G831" s="21"/>
    </row>
    <row r="832">
      <c r="A832" s="21"/>
      <c r="B832" s="21"/>
      <c r="C832" s="21"/>
      <c r="D832" s="21"/>
      <c r="E832" s="21"/>
      <c r="F832" s="21"/>
      <c r="G832" s="21"/>
    </row>
    <row r="833">
      <c r="A833" s="21"/>
      <c r="B833" s="21"/>
      <c r="C833" s="21"/>
      <c r="D833" s="21"/>
      <c r="E833" s="21"/>
      <c r="F833" s="21"/>
      <c r="G833" s="21"/>
    </row>
    <row r="834">
      <c r="A834" s="21"/>
      <c r="B834" s="21"/>
      <c r="C834" s="21"/>
      <c r="D834" s="21"/>
      <c r="E834" s="21"/>
      <c r="F834" s="21"/>
      <c r="G834" s="21"/>
    </row>
    <row r="835">
      <c r="A835" s="21"/>
      <c r="B835" s="21"/>
      <c r="C835" s="21"/>
      <c r="D835" s="21"/>
      <c r="E835" s="21"/>
      <c r="F835" s="21"/>
      <c r="G835" s="21"/>
    </row>
    <row r="836">
      <c r="A836" s="21"/>
      <c r="B836" s="21"/>
      <c r="C836" s="21"/>
      <c r="D836" s="21"/>
      <c r="E836" s="21"/>
      <c r="F836" s="21"/>
      <c r="G836" s="21"/>
    </row>
    <row r="837">
      <c r="A837" s="21"/>
      <c r="B837" s="21"/>
      <c r="C837" s="21"/>
      <c r="D837" s="21"/>
      <c r="E837" s="21"/>
      <c r="F837" s="21"/>
      <c r="G837" s="21"/>
    </row>
    <row r="838">
      <c r="A838" s="21"/>
      <c r="B838" s="21"/>
      <c r="C838" s="21"/>
      <c r="D838" s="21"/>
      <c r="E838" s="21"/>
      <c r="F838" s="21"/>
      <c r="G838" s="21"/>
    </row>
    <row r="839">
      <c r="A839" s="21"/>
      <c r="B839" s="21"/>
      <c r="C839" s="21"/>
      <c r="D839" s="21"/>
      <c r="E839" s="21"/>
      <c r="F839" s="21"/>
      <c r="G839" s="21"/>
    </row>
    <row r="840">
      <c r="A840" s="21"/>
      <c r="B840" s="21"/>
      <c r="C840" s="21"/>
      <c r="D840" s="21"/>
      <c r="E840" s="21"/>
      <c r="F840" s="21"/>
      <c r="G840" s="21"/>
    </row>
    <row r="841">
      <c r="A841" s="21"/>
      <c r="B841" s="21"/>
      <c r="C841" s="21"/>
      <c r="D841" s="21"/>
      <c r="E841" s="21"/>
      <c r="F841" s="21"/>
      <c r="G841" s="21"/>
    </row>
    <row r="842">
      <c r="A842" s="21"/>
      <c r="B842" s="21"/>
      <c r="C842" s="21"/>
      <c r="D842" s="21"/>
      <c r="E842" s="21"/>
      <c r="F842" s="21"/>
      <c r="G842" s="21"/>
    </row>
    <row r="843">
      <c r="A843" s="21"/>
      <c r="B843" s="21"/>
      <c r="C843" s="21"/>
      <c r="D843" s="21"/>
      <c r="E843" s="21"/>
      <c r="F843" s="21"/>
      <c r="G843" s="21"/>
    </row>
    <row r="844">
      <c r="A844" s="21"/>
      <c r="B844" s="21"/>
      <c r="C844" s="21"/>
      <c r="D844" s="21"/>
      <c r="E844" s="21"/>
      <c r="F844" s="21"/>
      <c r="G844" s="21"/>
    </row>
    <row r="845">
      <c r="A845" s="21"/>
      <c r="B845" s="21"/>
      <c r="C845" s="21"/>
      <c r="D845" s="21"/>
      <c r="E845" s="21"/>
      <c r="F845" s="21"/>
      <c r="G845" s="21"/>
    </row>
    <row r="846">
      <c r="A846" s="21"/>
      <c r="B846" s="21"/>
      <c r="C846" s="21"/>
      <c r="D846" s="21"/>
      <c r="E846" s="21"/>
      <c r="F846" s="21"/>
      <c r="G846" s="21"/>
    </row>
    <row r="847">
      <c r="A847" s="21"/>
      <c r="B847" s="21"/>
      <c r="C847" s="21"/>
      <c r="D847" s="21"/>
      <c r="E847" s="21"/>
      <c r="F847" s="21"/>
      <c r="G847" s="21"/>
    </row>
    <row r="848">
      <c r="A848" s="21"/>
      <c r="B848" s="21"/>
      <c r="C848" s="21"/>
      <c r="D848" s="21"/>
      <c r="E848" s="21"/>
      <c r="F848" s="21"/>
      <c r="G848" s="21"/>
    </row>
    <row r="849">
      <c r="A849" s="21"/>
      <c r="B849" s="21"/>
      <c r="C849" s="21"/>
      <c r="D849" s="21"/>
      <c r="E849" s="21"/>
      <c r="F849" s="21"/>
      <c r="G849" s="21"/>
    </row>
    <row r="850">
      <c r="A850" s="21"/>
      <c r="B850" s="21"/>
      <c r="C850" s="21"/>
      <c r="D850" s="21"/>
      <c r="E850" s="21"/>
      <c r="F850" s="21"/>
      <c r="G850" s="21"/>
    </row>
    <row r="851">
      <c r="A851" s="21"/>
      <c r="B851" s="21"/>
      <c r="C851" s="21"/>
      <c r="D851" s="21"/>
      <c r="E851" s="21"/>
      <c r="F851" s="21"/>
      <c r="G851" s="21"/>
    </row>
    <row r="852">
      <c r="A852" s="21"/>
      <c r="B852" s="21"/>
      <c r="C852" s="21"/>
      <c r="D852" s="21"/>
      <c r="E852" s="21"/>
      <c r="F852" s="21"/>
      <c r="G852" s="21"/>
    </row>
    <row r="853">
      <c r="A853" s="21"/>
      <c r="B853" s="21"/>
      <c r="C853" s="21"/>
      <c r="D853" s="21"/>
      <c r="E853" s="21"/>
      <c r="F853" s="21"/>
      <c r="G853" s="21"/>
    </row>
    <row r="854">
      <c r="A854" s="21"/>
      <c r="B854" s="21"/>
      <c r="C854" s="21"/>
      <c r="D854" s="21"/>
      <c r="E854" s="21"/>
      <c r="F854" s="21"/>
      <c r="G854" s="21"/>
    </row>
    <row r="855">
      <c r="A855" s="21"/>
      <c r="B855" s="21"/>
      <c r="C855" s="21"/>
      <c r="D855" s="21"/>
      <c r="E855" s="21"/>
      <c r="F855" s="21"/>
      <c r="G855" s="21"/>
    </row>
    <row r="856">
      <c r="A856" s="21"/>
      <c r="B856" s="21"/>
      <c r="C856" s="21"/>
      <c r="D856" s="21"/>
      <c r="E856" s="21"/>
      <c r="F856" s="21"/>
      <c r="G856" s="21"/>
    </row>
    <row r="857">
      <c r="A857" s="21"/>
      <c r="B857" s="21"/>
      <c r="C857" s="21"/>
      <c r="D857" s="21"/>
      <c r="E857" s="21"/>
      <c r="F857" s="21"/>
      <c r="G857" s="21"/>
    </row>
    <row r="858">
      <c r="A858" s="21"/>
      <c r="B858" s="21"/>
      <c r="C858" s="21"/>
      <c r="D858" s="21"/>
      <c r="E858" s="21"/>
      <c r="F858" s="21"/>
      <c r="G858" s="21"/>
    </row>
    <row r="859">
      <c r="A859" s="21"/>
      <c r="B859" s="21"/>
      <c r="C859" s="21"/>
      <c r="D859" s="21"/>
      <c r="E859" s="21"/>
      <c r="F859" s="21"/>
      <c r="G859" s="21"/>
    </row>
    <row r="860">
      <c r="A860" s="21"/>
      <c r="B860" s="21"/>
      <c r="C860" s="21"/>
      <c r="D860" s="21"/>
      <c r="E860" s="21"/>
      <c r="F860" s="21"/>
      <c r="G860" s="21"/>
    </row>
    <row r="861">
      <c r="A861" s="21"/>
      <c r="B861" s="21"/>
      <c r="C861" s="21"/>
      <c r="D861" s="21"/>
      <c r="E861" s="21"/>
      <c r="F861" s="21"/>
      <c r="G861" s="21"/>
    </row>
    <row r="862">
      <c r="A862" s="21"/>
      <c r="B862" s="21"/>
      <c r="C862" s="21"/>
      <c r="D862" s="21"/>
      <c r="E862" s="21"/>
      <c r="F862" s="21"/>
      <c r="G862" s="21"/>
    </row>
    <row r="863">
      <c r="A863" s="21"/>
      <c r="B863" s="21"/>
      <c r="C863" s="21"/>
      <c r="D863" s="21"/>
      <c r="E863" s="21"/>
      <c r="F863" s="21"/>
      <c r="G863" s="21"/>
    </row>
    <row r="864">
      <c r="A864" s="21"/>
      <c r="B864" s="21"/>
      <c r="C864" s="21"/>
      <c r="D864" s="21"/>
      <c r="E864" s="21"/>
      <c r="F864" s="21"/>
      <c r="G864" s="21"/>
    </row>
    <row r="865">
      <c r="A865" s="21"/>
      <c r="B865" s="21"/>
      <c r="C865" s="21"/>
      <c r="D865" s="21"/>
      <c r="E865" s="21"/>
      <c r="F865" s="21"/>
      <c r="G865" s="21"/>
    </row>
    <row r="866">
      <c r="A866" s="21"/>
      <c r="B866" s="21"/>
      <c r="C866" s="21"/>
      <c r="D866" s="21"/>
      <c r="E866" s="21"/>
      <c r="F866" s="21"/>
      <c r="G866" s="21"/>
    </row>
    <row r="867">
      <c r="A867" s="21"/>
      <c r="B867" s="21"/>
      <c r="C867" s="21"/>
      <c r="D867" s="21"/>
      <c r="E867" s="21"/>
      <c r="F867" s="21"/>
      <c r="G867" s="21"/>
    </row>
    <row r="868">
      <c r="A868" s="21"/>
      <c r="B868" s="21"/>
      <c r="C868" s="21"/>
      <c r="D868" s="21"/>
      <c r="E868" s="21"/>
      <c r="F868" s="21"/>
      <c r="G868" s="21"/>
    </row>
    <row r="869">
      <c r="A869" s="21"/>
      <c r="B869" s="21"/>
      <c r="C869" s="21"/>
      <c r="D869" s="21"/>
      <c r="E869" s="21"/>
      <c r="F869" s="21"/>
      <c r="G869" s="21"/>
    </row>
    <row r="870">
      <c r="A870" s="21"/>
      <c r="B870" s="21"/>
      <c r="C870" s="21"/>
      <c r="D870" s="21"/>
      <c r="E870" s="21"/>
      <c r="F870" s="21"/>
      <c r="G870" s="21"/>
    </row>
    <row r="871">
      <c r="A871" s="21"/>
      <c r="B871" s="21"/>
      <c r="C871" s="21"/>
      <c r="D871" s="21"/>
      <c r="E871" s="21"/>
      <c r="F871" s="21"/>
      <c r="G871" s="21"/>
    </row>
    <row r="872">
      <c r="A872" s="21"/>
      <c r="B872" s="21"/>
      <c r="C872" s="21"/>
      <c r="D872" s="21"/>
      <c r="E872" s="21"/>
      <c r="F872" s="21"/>
      <c r="G872" s="21"/>
    </row>
    <row r="873">
      <c r="A873" s="21"/>
      <c r="B873" s="21"/>
      <c r="C873" s="21"/>
      <c r="D873" s="21"/>
      <c r="E873" s="21"/>
      <c r="F873" s="21"/>
      <c r="G873" s="21"/>
    </row>
    <row r="874">
      <c r="A874" s="21"/>
      <c r="B874" s="21"/>
      <c r="C874" s="21"/>
      <c r="D874" s="21"/>
      <c r="E874" s="21"/>
      <c r="F874" s="21"/>
      <c r="G874" s="21"/>
    </row>
    <row r="875">
      <c r="A875" s="21"/>
      <c r="B875" s="21"/>
      <c r="C875" s="21"/>
      <c r="D875" s="21"/>
      <c r="E875" s="21"/>
      <c r="F875" s="21"/>
      <c r="G875" s="21"/>
    </row>
    <row r="876">
      <c r="A876" s="21"/>
      <c r="B876" s="21"/>
      <c r="C876" s="21"/>
      <c r="D876" s="21"/>
      <c r="E876" s="21"/>
      <c r="F876" s="21"/>
      <c r="G876" s="21"/>
    </row>
    <row r="877">
      <c r="A877" s="21"/>
      <c r="B877" s="21"/>
      <c r="C877" s="21"/>
      <c r="D877" s="21"/>
      <c r="E877" s="21"/>
      <c r="F877" s="21"/>
      <c r="G877" s="21"/>
    </row>
    <row r="878">
      <c r="A878" s="21"/>
      <c r="B878" s="21"/>
      <c r="C878" s="21"/>
      <c r="D878" s="21"/>
      <c r="E878" s="21"/>
      <c r="F878" s="21"/>
      <c r="G878" s="21"/>
    </row>
    <row r="879">
      <c r="A879" s="21"/>
      <c r="B879" s="21"/>
      <c r="C879" s="21"/>
      <c r="D879" s="21"/>
      <c r="E879" s="21"/>
      <c r="F879" s="21"/>
      <c r="G879" s="21"/>
    </row>
    <row r="880">
      <c r="A880" s="21"/>
      <c r="B880" s="21"/>
      <c r="C880" s="21"/>
      <c r="D880" s="21"/>
      <c r="E880" s="21"/>
      <c r="F880" s="21"/>
      <c r="G880" s="21"/>
    </row>
    <row r="881">
      <c r="A881" s="21"/>
      <c r="B881" s="21"/>
      <c r="C881" s="21"/>
      <c r="D881" s="21"/>
      <c r="E881" s="21"/>
      <c r="F881" s="21"/>
      <c r="G881" s="21"/>
    </row>
    <row r="882">
      <c r="A882" s="21"/>
      <c r="B882" s="21"/>
      <c r="C882" s="21"/>
      <c r="D882" s="21"/>
      <c r="E882" s="21"/>
      <c r="F882" s="21"/>
      <c r="G882" s="21"/>
    </row>
    <row r="883">
      <c r="A883" s="21"/>
      <c r="B883" s="21"/>
      <c r="C883" s="21"/>
      <c r="D883" s="21"/>
      <c r="E883" s="21"/>
      <c r="F883" s="21"/>
      <c r="G883" s="21"/>
    </row>
    <row r="884">
      <c r="A884" s="21"/>
      <c r="B884" s="21"/>
      <c r="C884" s="21"/>
      <c r="D884" s="21"/>
      <c r="E884" s="21"/>
      <c r="F884" s="21"/>
      <c r="G884" s="21"/>
    </row>
    <row r="885">
      <c r="A885" s="21"/>
      <c r="B885" s="21"/>
      <c r="C885" s="21"/>
      <c r="D885" s="21"/>
      <c r="E885" s="21"/>
      <c r="F885" s="21"/>
      <c r="G885" s="21"/>
    </row>
    <row r="886">
      <c r="A886" s="21"/>
      <c r="B886" s="21"/>
      <c r="C886" s="21"/>
      <c r="D886" s="21"/>
      <c r="E886" s="21"/>
      <c r="F886" s="21"/>
      <c r="G886" s="21"/>
    </row>
    <row r="887">
      <c r="A887" s="21"/>
      <c r="B887" s="21"/>
      <c r="C887" s="21"/>
      <c r="D887" s="21"/>
      <c r="E887" s="21"/>
      <c r="F887" s="21"/>
      <c r="G887" s="21"/>
    </row>
    <row r="888">
      <c r="A888" s="21"/>
      <c r="B888" s="21"/>
      <c r="C888" s="21"/>
      <c r="D888" s="21"/>
      <c r="E888" s="21"/>
      <c r="F888" s="21"/>
      <c r="G888" s="21"/>
    </row>
    <row r="889">
      <c r="A889" s="21"/>
      <c r="B889" s="21"/>
      <c r="C889" s="21"/>
      <c r="D889" s="21"/>
      <c r="E889" s="21"/>
      <c r="F889" s="21"/>
      <c r="G889" s="21"/>
    </row>
    <row r="890">
      <c r="A890" s="21"/>
      <c r="B890" s="21"/>
      <c r="C890" s="21"/>
      <c r="D890" s="21"/>
      <c r="E890" s="21"/>
      <c r="F890" s="21"/>
      <c r="G890" s="21"/>
    </row>
    <row r="891">
      <c r="A891" s="21"/>
      <c r="B891" s="21"/>
      <c r="C891" s="21"/>
      <c r="D891" s="21"/>
      <c r="E891" s="21"/>
      <c r="F891" s="21"/>
      <c r="G891" s="21"/>
    </row>
    <row r="892">
      <c r="A892" s="21"/>
      <c r="B892" s="21"/>
      <c r="C892" s="21"/>
      <c r="D892" s="21"/>
      <c r="E892" s="21"/>
      <c r="F892" s="21"/>
      <c r="G892" s="21"/>
    </row>
    <row r="893">
      <c r="A893" s="21"/>
      <c r="B893" s="21"/>
      <c r="C893" s="21"/>
      <c r="D893" s="21"/>
      <c r="E893" s="21"/>
      <c r="F893" s="21"/>
      <c r="G893" s="21"/>
    </row>
    <row r="894">
      <c r="A894" s="21"/>
      <c r="B894" s="21"/>
      <c r="C894" s="21"/>
      <c r="D894" s="21"/>
      <c r="E894" s="21"/>
      <c r="F894" s="21"/>
      <c r="G894" s="21"/>
    </row>
    <row r="895">
      <c r="A895" s="21"/>
      <c r="B895" s="21"/>
      <c r="C895" s="21"/>
      <c r="D895" s="21"/>
      <c r="E895" s="21"/>
      <c r="F895" s="21"/>
      <c r="G895" s="21"/>
    </row>
    <row r="896">
      <c r="A896" s="21"/>
      <c r="B896" s="21"/>
      <c r="C896" s="21"/>
      <c r="D896" s="21"/>
      <c r="E896" s="21"/>
      <c r="F896" s="21"/>
      <c r="G896" s="21"/>
    </row>
    <row r="897">
      <c r="A897" s="21"/>
      <c r="B897" s="21"/>
      <c r="C897" s="21"/>
      <c r="D897" s="21"/>
      <c r="E897" s="21"/>
      <c r="F897" s="21"/>
      <c r="G897" s="21"/>
    </row>
    <row r="898">
      <c r="A898" s="21"/>
      <c r="B898" s="21"/>
      <c r="C898" s="21"/>
      <c r="D898" s="21"/>
      <c r="E898" s="21"/>
      <c r="F898" s="21"/>
      <c r="G898" s="21"/>
    </row>
    <row r="899">
      <c r="A899" s="21"/>
      <c r="B899" s="21"/>
      <c r="C899" s="21"/>
      <c r="D899" s="21"/>
      <c r="E899" s="21"/>
      <c r="F899" s="21"/>
      <c r="G899" s="21"/>
    </row>
    <row r="900">
      <c r="A900" s="21"/>
      <c r="B900" s="21"/>
      <c r="C900" s="21"/>
      <c r="D900" s="21"/>
      <c r="E900" s="21"/>
      <c r="F900" s="21"/>
      <c r="G900" s="21"/>
    </row>
    <row r="901">
      <c r="A901" s="21"/>
      <c r="B901" s="21"/>
      <c r="C901" s="21"/>
      <c r="D901" s="21"/>
      <c r="E901" s="21"/>
      <c r="F901" s="21"/>
      <c r="G901" s="21"/>
    </row>
    <row r="902">
      <c r="A902" s="21"/>
      <c r="B902" s="21"/>
      <c r="C902" s="21"/>
      <c r="D902" s="21"/>
      <c r="E902" s="21"/>
      <c r="F902" s="21"/>
      <c r="G902" s="21"/>
    </row>
    <row r="903">
      <c r="A903" s="21"/>
      <c r="B903" s="21"/>
      <c r="C903" s="21"/>
      <c r="D903" s="21"/>
      <c r="E903" s="21"/>
      <c r="F903" s="21"/>
      <c r="G903" s="21"/>
    </row>
    <row r="904">
      <c r="A904" s="21"/>
      <c r="B904" s="21"/>
      <c r="C904" s="21"/>
      <c r="D904" s="21"/>
      <c r="E904" s="21"/>
      <c r="F904" s="21"/>
      <c r="G904" s="21"/>
    </row>
    <row r="905">
      <c r="A905" s="21"/>
      <c r="B905" s="21"/>
      <c r="C905" s="21"/>
      <c r="D905" s="21"/>
      <c r="E905" s="21"/>
      <c r="F905" s="21"/>
      <c r="G905" s="21"/>
    </row>
    <row r="906">
      <c r="A906" s="21"/>
      <c r="B906" s="21"/>
      <c r="C906" s="21"/>
      <c r="D906" s="21"/>
      <c r="E906" s="21"/>
      <c r="F906" s="21"/>
      <c r="G906" s="21"/>
    </row>
    <row r="907">
      <c r="A907" s="21"/>
      <c r="B907" s="21"/>
      <c r="C907" s="21"/>
      <c r="D907" s="21"/>
      <c r="E907" s="21"/>
      <c r="F907" s="21"/>
      <c r="G907" s="21"/>
    </row>
    <row r="908">
      <c r="A908" s="21"/>
      <c r="B908" s="21"/>
      <c r="C908" s="21"/>
      <c r="D908" s="21"/>
      <c r="E908" s="21"/>
      <c r="F908" s="21"/>
      <c r="G908" s="21"/>
    </row>
    <row r="909">
      <c r="A909" s="21"/>
      <c r="B909" s="21"/>
      <c r="C909" s="21"/>
      <c r="D909" s="21"/>
      <c r="E909" s="21"/>
      <c r="F909" s="21"/>
      <c r="G909" s="21"/>
    </row>
    <row r="910">
      <c r="A910" s="21"/>
      <c r="B910" s="21"/>
      <c r="C910" s="21"/>
      <c r="D910" s="21"/>
      <c r="E910" s="21"/>
      <c r="F910" s="21"/>
      <c r="G910" s="21"/>
    </row>
    <row r="911">
      <c r="A911" s="21"/>
      <c r="B911" s="21"/>
      <c r="C911" s="21"/>
      <c r="D911" s="21"/>
      <c r="E911" s="21"/>
      <c r="F911" s="21"/>
      <c r="G911" s="21"/>
    </row>
    <row r="912">
      <c r="A912" s="21"/>
      <c r="B912" s="21"/>
      <c r="C912" s="21"/>
      <c r="D912" s="21"/>
      <c r="E912" s="21"/>
      <c r="F912" s="21"/>
      <c r="G912" s="21"/>
    </row>
    <row r="913">
      <c r="A913" s="21"/>
      <c r="B913" s="21"/>
      <c r="C913" s="21"/>
      <c r="D913" s="21"/>
      <c r="E913" s="21"/>
      <c r="F913" s="21"/>
      <c r="G913" s="21"/>
    </row>
    <row r="914">
      <c r="A914" s="21"/>
      <c r="B914" s="21"/>
      <c r="C914" s="21"/>
      <c r="D914" s="21"/>
      <c r="E914" s="21"/>
      <c r="F914" s="21"/>
      <c r="G914" s="21"/>
    </row>
    <row r="915">
      <c r="A915" s="21"/>
      <c r="B915" s="21"/>
      <c r="C915" s="21"/>
      <c r="D915" s="21"/>
      <c r="E915" s="21"/>
      <c r="F915" s="21"/>
      <c r="G915" s="21"/>
    </row>
    <row r="916">
      <c r="A916" s="21"/>
      <c r="B916" s="21"/>
      <c r="C916" s="21"/>
      <c r="D916" s="21"/>
      <c r="E916" s="21"/>
      <c r="F916" s="21"/>
      <c r="G916" s="21"/>
    </row>
    <row r="917">
      <c r="A917" s="21"/>
      <c r="B917" s="21"/>
      <c r="C917" s="21"/>
      <c r="D917" s="21"/>
      <c r="E917" s="21"/>
      <c r="F917" s="21"/>
      <c r="G917" s="21"/>
    </row>
    <row r="918">
      <c r="A918" s="21"/>
      <c r="B918" s="21"/>
      <c r="C918" s="21"/>
      <c r="D918" s="21"/>
      <c r="E918" s="21"/>
      <c r="F918" s="21"/>
      <c r="G918" s="21"/>
    </row>
    <row r="919">
      <c r="A919" s="21"/>
      <c r="B919" s="21"/>
      <c r="C919" s="21"/>
      <c r="D919" s="21"/>
      <c r="E919" s="21"/>
      <c r="F919" s="21"/>
      <c r="G919" s="21"/>
    </row>
    <row r="920">
      <c r="A920" s="21"/>
      <c r="B920" s="21"/>
      <c r="C920" s="21"/>
      <c r="D920" s="21"/>
      <c r="E920" s="21"/>
      <c r="F920" s="21"/>
      <c r="G920" s="21"/>
    </row>
    <row r="921">
      <c r="A921" s="21"/>
      <c r="B921" s="21"/>
      <c r="C921" s="21"/>
      <c r="D921" s="21"/>
      <c r="E921" s="21"/>
      <c r="F921" s="21"/>
      <c r="G921" s="21"/>
    </row>
    <row r="922">
      <c r="A922" s="21"/>
      <c r="B922" s="21"/>
      <c r="C922" s="21"/>
      <c r="D922" s="21"/>
      <c r="E922" s="21"/>
      <c r="F922" s="21"/>
      <c r="G922" s="21"/>
    </row>
    <row r="923">
      <c r="A923" s="21"/>
      <c r="B923" s="21"/>
      <c r="C923" s="21"/>
      <c r="D923" s="21"/>
      <c r="E923" s="21"/>
      <c r="F923" s="21"/>
      <c r="G923" s="21"/>
    </row>
    <row r="924">
      <c r="A924" s="21"/>
      <c r="B924" s="21"/>
      <c r="C924" s="21"/>
      <c r="D924" s="21"/>
      <c r="E924" s="21"/>
      <c r="F924" s="21"/>
      <c r="G924" s="21"/>
    </row>
    <row r="925">
      <c r="A925" s="21"/>
      <c r="B925" s="21"/>
      <c r="C925" s="21"/>
      <c r="D925" s="21"/>
      <c r="E925" s="21"/>
      <c r="F925" s="21"/>
      <c r="G925" s="21"/>
    </row>
    <row r="926">
      <c r="A926" s="21"/>
      <c r="B926" s="21"/>
      <c r="C926" s="21"/>
      <c r="D926" s="21"/>
      <c r="E926" s="21"/>
      <c r="F926" s="21"/>
      <c r="G926" s="21"/>
    </row>
    <row r="927">
      <c r="A927" s="21"/>
      <c r="B927" s="21"/>
      <c r="C927" s="21"/>
      <c r="D927" s="21"/>
      <c r="E927" s="21"/>
      <c r="F927" s="21"/>
      <c r="G927" s="21"/>
    </row>
    <row r="928">
      <c r="A928" s="21"/>
      <c r="B928" s="21"/>
      <c r="C928" s="21"/>
      <c r="D928" s="21"/>
      <c r="E928" s="21"/>
      <c r="F928" s="21"/>
      <c r="G928" s="21"/>
    </row>
    <row r="929">
      <c r="A929" s="21"/>
      <c r="B929" s="21"/>
      <c r="C929" s="21"/>
      <c r="D929" s="21"/>
      <c r="E929" s="21"/>
      <c r="F929" s="21"/>
      <c r="G929" s="21"/>
    </row>
    <row r="930">
      <c r="A930" s="21"/>
      <c r="B930" s="21"/>
      <c r="C930" s="21"/>
      <c r="D930" s="21"/>
      <c r="E930" s="21"/>
      <c r="F930" s="21"/>
      <c r="G930" s="21"/>
    </row>
    <row r="931">
      <c r="A931" s="21"/>
      <c r="B931" s="21"/>
      <c r="C931" s="21"/>
      <c r="D931" s="21"/>
      <c r="E931" s="21"/>
      <c r="F931" s="21"/>
      <c r="G931" s="21"/>
    </row>
    <row r="932">
      <c r="A932" s="21"/>
      <c r="B932" s="21"/>
      <c r="C932" s="21"/>
      <c r="D932" s="21"/>
      <c r="E932" s="21"/>
      <c r="F932" s="21"/>
      <c r="G932" s="21"/>
    </row>
    <row r="933">
      <c r="A933" s="21"/>
      <c r="B933" s="21"/>
      <c r="C933" s="21"/>
      <c r="D933" s="21"/>
      <c r="E933" s="21"/>
      <c r="F933" s="21"/>
      <c r="G933" s="21"/>
    </row>
    <row r="934">
      <c r="A934" s="21"/>
      <c r="B934" s="21"/>
      <c r="C934" s="21"/>
      <c r="D934" s="21"/>
      <c r="E934" s="21"/>
      <c r="F934" s="21"/>
      <c r="G934" s="21"/>
    </row>
    <row r="935">
      <c r="A935" s="21"/>
      <c r="B935" s="21"/>
      <c r="C935" s="21"/>
      <c r="D935" s="21"/>
      <c r="E935" s="21"/>
      <c r="F935" s="21"/>
      <c r="G935" s="21"/>
    </row>
    <row r="936">
      <c r="A936" s="21"/>
      <c r="B936" s="21"/>
      <c r="C936" s="21"/>
      <c r="D936" s="21"/>
      <c r="E936" s="21"/>
      <c r="F936" s="21"/>
      <c r="G936" s="21"/>
    </row>
    <row r="937">
      <c r="A937" s="21"/>
      <c r="B937" s="21"/>
      <c r="C937" s="21"/>
      <c r="D937" s="21"/>
      <c r="E937" s="21"/>
      <c r="F937" s="21"/>
      <c r="G937" s="21"/>
    </row>
    <row r="938">
      <c r="A938" s="21"/>
      <c r="B938" s="21"/>
      <c r="C938" s="21"/>
      <c r="D938" s="21"/>
      <c r="E938" s="21"/>
      <c r="F938" s="21"/>
      <c r="G938" s="21"/>
    </row>
    <row r="939">
      <c r="A939" s="21"/>
      <c r="B939" s="21"/>
      <c r="C939" s="21"/>
      <c r="D939" s="21"/>
      <c r="E939" s="21"/>
      <c r="F939" s="21"/>
      <c r="G939" s="21"/>
    </row>
    <row r="940">
      <c r="A940" s="21"/>
      <c r="B940" s="21"/>
      <c r="C940" s="21"/>
      <c r="D940" s="21"/>
      <c r="E940" s="21"/>
      <c r="F940" s="21"/>
      <c r="G940" s="21"/>
    </row>
    <row r="941">
      <c r="A941" s="21"/>
      <c r="B941" s="21"/>
      <c r="C941" s="21"/>
      <c r="D941" s="21"/>
      <c r="E941" s="21"/>
      <c r="F941" s="21"/>
      <c r="G941" s="21"/>
    </row>
    <row r="942">
      <c r="A942" s="21"/>
      <c r="B942" s="21"/>
      <c r="C942" s="21"/>
      <c r="D942" s="21"/>
      <c r="E942" s="21"/>
      <c r="F942" s="21"/>
      <c r="G942" s="21"/>
    </row>
    <row r="943">
      <c r="A943" s="21"/>
      <c r="B943" s="21"/>
      <c r="C943" s="21"/>
      <c r="D943" s="21"/>
      <c r="E943" s="21"/>
      <c r="F943" s="21"/>
      <c r="G943" s="21"/>
    </row>
    <row r="944">
      <c r="A944" s="21"/>
      <c r="B944" s="21"/>
      <c r="C944" s="21"/>
      <c r="D944" s="21"/>
      <c r="E944" s="21"/>
      <c r="F944" s="21"/>
      <c r="G944" s="21"/>
    </row>
    <row r="945">
      <c r="A945" s="21"/>
      <c r="B945" s="21"/>
      <c r="C945" s="21"/>
      <c r="D945" s="21"/>
      <c r="E945" s="21"/>
      <c r="F945" s="21"/>
      <c r="G945" s="21"/>
    </row>
    <row r="946">
      <c r="A946" s="21"/>
      <c r="B946" s="21"/>
      <c r="C946" s="21"/>
      <c r="D946" s="21"/>
      <c r="E946" s="21"/>
      <c r="F946" s="21"/>
      <c r="G946" s="21"/>
    </row>
    <row r="947">
      <c r="A947" s="21"/>
      <c r="B947" s="21"/>
      <c r="C947" s="21"/>
      <c r="D947" s="21"/>
      <c r="E947" s="21"/>
      <c r="F947" s="21"/>
      <c r="G947" s="21"/>
    </row>
    <row r="948">
      <c r="A948" s="21"/>
      <c r="B948" s="21"/>
      <c r="C948" s="21"/>
      <c r="D948" s="21"/>
      <c r="E948" s="21"/>
      <c r="F948" s="21"/>
      <c r="G948" s="21"/>
    </row>
    <row r="949">
      <c r="A949" s="21"/>
      <c r="B949" s="21"/>
      <c r="C949" s="21"/>
      <c r="D949" s="21"/>
      <c r="E949" s="21"/>
      <c r="F949" s="21"/>
      <c r="G949" s="21"/>
    </row>
    <row r="950">
      <c r="A950" s="21"/>
      <c r="B950" s="21"/>
      <c r="C950" s="21"/>
      <c r="D950" s="21"/>
      <c r="E950" s="21"/>
      <c r="F950" s="21"/>
      <c r="G950" s="21"/>
    </row>
    <row r="951">
      <c r="A951" s="21"/>
      <c r="B951" s="21"/>
      <c r="C951" s="21"/>
      <c r="D951" s="21"/>
      <c r="E951" s="21"/>
      <c r="F951" s="21"/>
      <c r="G951" s="21"/>
    </row>
    <row r="952">
      <c r="A952" s="21"/>
      <c r="B952" s="21"/>
      <c r="C952" s="21"/>
      <c r="D952" s="21"/>
      <c r="E952" s="21"/>
      <c r="F952" s="21"/>
      <c r="G952" s="21"/>
    </row>
    <row r="953">
      <c r="A953" s="21"/>
      <c r="B953" s="21"/>
      <c r="C953" s="21"/>
      <c r="D953" s="21"/>
      <c r="E953" s="21"/>
      <c r="F953" s="21"/>
      <c r="G953" s="21"/>
    </row>
    <row r="954">
      <c r="A954" s="21"/>
      <c r="B954" s="21"/>
      <c r="C954" s="21"/>
      <c r="D954" s="21"/>
      <c r="E954" s="21"/>
      <c r="F954" s="21"/>
      <c r="G954" s="21"/>
    </row>
    <row r="955">
      <c r="A955" s="21"/>
      <c r="B955" s="21"/>
      <c r="C955" s="21"/>
      <c r="D955" s="21"/>
      <c r="E955" s="21"/>
      <c r="F955" s="21"/>
      <c r="G955" s="21"/>
    </row>
    <row r="956">
      <c r="A956" s="21"/>
      <c r="B956" s="21"/>
      <c r="C956" s="21"/>
      <c r="D956" s="21"/>
      <c r="E956" s="21"/>
      <c r="F956" s="21"/>
      <c r="G956" s="21"/>
    </row>
    <row r="957">
      <c r="A957" s="21"/>
      <c r="B957" s="21"/>
      <c r="C957" s="21"/>
      <c r="D957" s="21"/>
      <c r="E957" s="21"/>
      <c r="F957" s="21"/>
      <c r="G957" s="21"/>
    </row>
    <row r="958">
      <c r="A958" s="21"/>
      <c r="B958" s="21"/>
      <c r="C958" s="21"/>
      <c r="D958" s="21"/>
      <c r="E958" s="21"/>
      <c r="F958" s="21"/>
      <c r="G958" s="21"/>
    </row>
    <row r="959">
      <c r="A959" s="21"/>
      <c r="B959" s="21"/>
      <c r="C959" s="21"/>
      <c r="D959" s="21"/>
      <c r="E959" s="21"/>
      <c r="F959" s="21"/>
      <c r="G959" s="21"/>
    </row>
    <row r="960">
      <c r="A960" s="21"/>
      <c r="B960" s="21"/>
      <c r="C960" s="21"/>
      <c r="D960" s="21"/>
      <c r="E960" s="21"/>
      <c r="F960" s="21"/>
      <c r="G960" s="21"/>
    </row>
    <row r="961">
      <c r="A961" s="21"/>
      <c r="B961" s="21"/>
      <c r="C961" s="21"/>
      <c r="D961" s="21"/>
      <c r="E961" s="21"/>
      <c r="F961" s="21"/>
      <c r="G961" s="21"/>
    </row>
    <row r="962">
      <c r="A962" s="21"/>
      <c r="B962" s="21"/>
      <c r="C962" s="21"/>
      <c r="D962" s="21"/>
      <c r="E962" s="21"/>
      <c r="F962" s="21"/>
      <c r="G962" s="21"/>
    </row>
    <row r="963">
      <c r="A963" s="21"/>
      <c r="B963" s="21"/>
      <c r="C963" s="21"/>
      <c r="D963" s="21"/>
      <c r="E963" s="21"/>
      <c r="F963" s="21"/>
      <c r="G963" s="21"/>
    </row>
    <row r="964">
      <c r="A964" s="21"/>
      <c r="B964" s="21"/>
      <c r="C964" s="21"/>
      <c r="D964" s="21"/>
      <c r="E964" s="21"/>
      <c r="F964" s="21"/>
      <c r="G964" s="21"/>
    </row>
    <row r="965">
      <c r="A965" s="21"/>
      <c r="B965" s="21"/>
      <c r="C965" s="21"/>
      <c r="D965" s="21"/>
      <c r="E965" s="21"/>
      <c r="F965" s="21"/>
      <c r="G965" s="21"/>
    </row>
    <row r="966">
      <c r="A966" s="21"/>
      <c r="B966" s="21"/>
      <c r="C966" s="21"/>
      <c r="D966" s="21"/>
      <c r="E966" s="21"/>
      <c r="F966" s="21"/>
      <c r="G966" s="21"/>
    </row>
    <row r="967">
      <c r="A967" s="21"/>
      <c r="B967" s="21"/>
      <c r="C967" s="21"/>
      <c r="D967" s="21"/>
      <c r="E967" s="21"/>
      <c r="F967" s="21"/>
      <c r="G967" s="21"/>
    </row>
    <row r="968">
      <c r="A968" s="21"/>
      <c r="B968" s="21"/>
      <c r="C968" s="21"/>
      <c r="D968" s="21"/>
      <c r="E968" s="21"/>
      <c r="F968" s="21"/>
      <c r="G968" s="21"/>
    </row>
    <row r="969">
      <c r="A969" s="21"/>
      <c r="B969" s="21"/>
      <c r="C969" s="21"/>
      <c r="D969" s="21"/>
      <c r="E969" s="21"/>
      <c r="F969" s="21"/>
      <c r="G969" s="21"/>
    </row>
    <row r="970">
      <c r="A970" s="21"/>
      <c r="B970" s="21"/>
      <c r="C970" s="21"/>
      <c r="D970" s="21"/>
      <c r="E970" s="21"/>
      <c r="F970" s="21"/>
      <c r="G970" s="21"/>
    </row>
    <row r="971">
      <c r="A971" s="21"/>
      <c r="B971" s="21"/>
      <c r="C971" s="21"/>
      <c r="D971" s="21"/>
      <c r="E971" s="21"/>
      <c r="F971" s="21"/>
      <c r="G971" s="21"/>
    </row>
    <row r="972">
      <c r="A972" s="21"/>
      <c r="B972" s="21"/>
      <c r="C972" s="21"/>
      <c r="D972" s="21"/>
      <c r="E972" s="21"/>
      <c r="F972" s="21"/>
      <c r="G972" s="21"/>
    </row>
    <row r="973">
      <c r="A973" s="21"/>
      <c r="B973" s="21"/>
      <c r="C973" s="21"/>
      <c r="D973" s="21"/>
      <c r="E973" s="21"/>
      <c r="F973" s="21"/>
      <c r="G973" s="21"/>
    </row>
    <row r="974">
      <c r="A974" s="21"/>
      <c r="B974" s="21"/>
      <c r="C974" s="21"/>
      <c r="D974" s="21"/>
      <c r="E974" s="21"/>
      <c r="F974" s="21"/>
      <c r="G974" s="21"/>
    </row>
    <row r="975">
      <c r="A975" s="21"/>
      <c r="B975" s="21"/>
      <c r="C975" s="21"/>
      <c r="D975" s="21"/>
      <c r="E975" s="21"/>
      <c r="F975" s="21"/>
      <c r="G975" s="21"/>
    </row>
    <row r="976">
      <c r="A976" s="21"/>
      <c r="B976" s="21"/>
      <c r="C976" s="21"/>
      <c r="D976" s="21"/>
      <c r="E976" s="21"/>
      <c r="F976" s="21"/>
      <c r="G976" s="21"/>
    </row>
    <row r="977">
      <c r="A977" s="21"/>
      <c r="B977" s="21"/>
      <c r="C977" s="21"/>
      <c r="D977" s="21"/>
      <c r="E977" s="21"/>
      <c r="F977" s="21"/>
      <c r="G977" s="21"/>
    </row>
    <row r="978">
      <c r="A978" s="21"/>
      <c r="B978" s="21"/>
      <c r="C978" s="21"/>
      <c r="D978" s="21"/>
      <c r="E978" s="21"/>
      <c r="F978" s="21"/>
      <c r="G978" s="21"/>
    </row>
    <row r="979">
      <c r="A979" s="21"/>
      <c r="B979" s="21"/>
      <c r="C979" s="21"/>
      <c r="D979" s="21"/>
      <c r="E979" s="21"/>
      <c r="F979" s="21"/>
      <c r="G979" s="21"/>
    </row>
    <row r="980">
      <c r="A980" s="21"/>
      <c r="B980" s="21"/>
      <c r="C980" s="21"/>
      <c r="D980" s="21"/>
      <c r="E980" s="21"/>
      <c r="F980" s="21"/>
      <c r="G980" s="21"/>
    </row>
    <row r="981">
      <c r="A981" s="21"/>
      <c r="B981" s="21"/>
      <c r="C981" s="21"/>
      <c r="D981" s="21"/>
      <c r="E981" s="21"/>
      <c r="F981" s="21"/>
      <c r="G981" s="21"/>
    </row>
    <row r="982">
      <c r="A982" s="21"/>
      <c r="B982" s="21"/>
      <c r="C982" s="21"/>
      <c r="D982" s="21"/>
      <c r="E982" s="21"/>
      <c r="F982" s="21"/>
      <c r="G982" s="21"/>
    </row>
    <row r="983">
      <c r="A983" s="21"/>
      <c r="B983" s="21"/>
      <c r="C983" s="21"/>
      <c r="D983" s="21"/>
      <c r="E983" s="21"/>
      <c r="F983" s="21"/>
      <c r="G983" s="21"/>
    </row>
    <row r="984">
      <c r="A984" s="21"/>
      <c r="B984" s="21"/>
      <c r="C984" s="21"/>
      <c r="D984" s="21"/>
      <c r="E984" s="21"/>
      <c r="F984" s="21"/>
      <c r="G984" s="21"/>
    </row>
    <row r="985">
      <c r="A985" s="21"/>
      <c r="B985" s="21"/>
      <c r="C985" s="21"/>
      <c r="D985" s="21"/>
      <c r="E985" s="21"/>
      <c r="F985" s="21"/>
      <c r="G985" s="21"/>
    </row>
    <row r="986">
      <c r="A986" s="21"/>
      <c r="B986" s="21"/>
      <c r="C986" s="21"/>
      <c r="D986" s="21"/>
      <c r="E986" s="21"/>
      <c r="F986" s="21"/>
      <c r="G986" s="21"/>
    </row>
    <row r="987">
      <c r="A987" s="21"/>
      <c r="B987" s="21"/>
      <c r="C987" s="21"/>
      <c r="D987" s="21"/>
      <c r="E987" s="21"/>
      <c r="F987" s="21"/>
      <c r="G987" s="21"/>
    </row>
    <row r="988">
      <c r="A988" s="21"/>
      <c r="B988" s="21"/>
      <c r="C988" s="21"/>
      <c r="D988" s="21"/>
      <c r="E988" s="21"/>
      <c r="F988" s="21"/>
      <c r="G988" s="21"/>
    </row>
    <row r="989">
      <c r="A989" s="21"/>
      <c r="B989" s="21"/>
      <c r="C989" s="21"/>
      <c r="D989" s="21"/>
      <c r="E989" s="21"/>
      <c r="F989" s="21"/>
      <c r="G989" s="21"/>
    </row>
    <row r="990">
      <c r="A990" s="21"/>
      <c r="B990" s="21"/>
      <c r="C990" s="21"/>
      <c r="D990" s="21"/>
      <c r="E990" s="21"/>
      <c r="F990" s="21"/>
      <c r="G990" s="21"/>
    </row>
    <row r="991">
      <c r="A991" s="21"/>
      <c r="B991" s="21"/>
      <c r="C991" s="21"/>
      <c r="D991" s="21"/>
      <c r="E991" s="21"/>
      <c r="F991" s="21"/>
      <c r="G991" s="21"/>
    </row>
    <row r="992">
      <c r="A992" s="21"/>
      <c r="B992" s="21"/>
      <c r="C992" s="21"/>
      <c r="D992" s="21"/>
      <c r="E992" s="21"/>
      <c r="F992" s="21"/>
      <c r="G992" s="21"/>
    </row>
    <row r="993">
      <c r="A993" s="21"/>
      <c r="B993" s="21"/>
      <c r="C993" s="21"/>
      <c r="D993" s="21"/>
      <c r="E993" s="21"/>
      <c r="F993" s="21"/>
      <c r="G993" s="21"/>
    </row>
    <row r="994">
      <c r="A994" s="21"/>
      <c r="B994" s="21"/>
      <c r="C994" s="21"/>
      <c r="D994" s="21"/>
      <c r="E994" s="21"/>
      <c r="F994" s="21"/>
      <c r="G994" s="21"/>
    </row>
    <row r="995">
      <c r="A995" s="21"/>
      <c r="B995" s="21"/>
      <c r="C995" s="21"/>
      <c r="D995" s="21"/>
      <c r="E995" s="21"/>
      <c r="F995" s="21"/>
      <c r="G995" s="21"/>
    </row>
    <row r="996">
      <c r="A996" s="21"/>
      <c r="B996" s="21"/>
      <c r="C996" s="21"/>
      <c r="D996" s="21"/>
      <c r="E996" s="21"/>
      <c r="F996" s="21"/>
      <c r="G996" s="21"/>
    </row>
    <row r="997">
      <c r="A997" s="21"/>
      <c r="B997" s="21"/>
      <c r="C997" s="21"/>
      <c r="D997" s="21"/>
      <c r="E997" s="21"/>
      <c r="F997" s="21"/>
      <c r="G997" s="21"/>
    </row>
    <row r="998">
      <c r="A998" s="21"/>
      <c r="B998" s="21"/>
      <c r="C998" s="21"/>
      <c r="D998" s="21"/>
      <c r="E998" s="21"/>
      <c r="F998" s="21"/>
      <c r="G998" s="21"/>
    </row>
    <row r="999">
      <c r="A999" s="21"/>
      <c r="B999" s="21"/>
      <c r="C999" s="21"/>
      <c r="D999" s="21"/>
      <c r="E999" s="21"/>
      <c r="F999" s="21"/>
      <c r="G999" s="21"/>
    </row>
    <row r="1000">
      <c r="A1000" s="21"/>
      <c r="B1000" s="21"/>
      <c r="C1000" s="21"/>
      <c r="D1000" s="21"/>
      <c r="E1000" s="21"/>
      <c r="F1000" s="21"/>
      <c r="G1000" s="21"/>
    </row>
  </sheetData>
  <autoFilter ref="$A$1:$AA$1000">
    <sortState ref="A1:AA1000">
      <sortCondition ref="F1:F1000"/>
    </sortState>
  </autoFilter>
  <conditionalFormatting sqref="D1:D1000">
    <cfRule type="containsText" dxfId="0" priority="1" operator="containsText" text="FALSE">
      <formula>NOT(ISERROR(SEARCH(("FALSE"),(D1))))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31.75"/>
    <col customWidth="1" min="3" max="3" width="19.63"/>
    <col customWidth="1" min="4" max="5" width="28.25"/>
    <col customWidth="1" min="6" max="6" width="29.25"/>
    <col customWidth="1" min="7" max="7" width="19.75"/>
  </cols>
  <sheetData>
    <row r="1">
      <c r="A1" s="51" t="s">
        <v>3325</v>
      </c>
      <c r="B1" s="51" t="s">
        <v>2023</v>
      </c>
      <c r="C1" s="51" t="s">
        <v>3326</v>
      </c>
      <c r="D1" s="51" t="s">
        <v>3327</v>
      </c>
      <c r="E1" s="51" t="s">
        <v>3328</v>
      </c>
      <c r="F1" s="51" t="s">
        <v>3329</v>
      </c>
      <c r="G1" s="8" t="s">
        <v>1461</v>
      </c>
    </row>
    <row r="2">
      <c r="A2" s="52" t="s">
        <v>2945</v>
      </c>
      <c r="B2" s="52" t="s">
        <v>2946</v>
      </c>
      <c r="C2" s="52" t="s">
        <v>1466</v>
      </c>
      <c r="D2" s="47" t="s">
        <v>2947</v>
      </c>
      <c r="E2" s="53">
        <v>45173.0</v>
      </c>
      <c r="F2" s="53">
        <v>1.0</v>
      </c>
      <c r="G2" s="49" t="s">
        <v>3330</v>
      </c>
    </row>
    <row r="3">
      <c r="A3" s="52" t="s">
        <v>2958</v>
      </c>
      <c r="B3" s="52" t="s">
        <v>1145</v>
      </c>
      <c r="C3" s="52" t="s">
        <v>1466</v>
      </c>
      <c r="D3" s="47" t="s">
        <v>2959</v>
      </c>
      <c r="E3" s="53">
        <v>43032.0</v>
      </c>
      <c r="F3" s="53">
        <v>45488.0</v>
      </c>
    </row>
    <row r="4">
      <c r="A4" s="52" t="s">
        <v>2998</v>
      </c>
      <c r="B4" s="52" t="s">
        <v>1139</v>
      </c>
      <c r="C4" s="52" t="s">
        <v>1466</v>
      </c>
      <c r="D4" s="47" t="s">
        <v>2999</v>
      </c>
      <c r="E4" s="53">
        <v>45723.0</v>
      </c>
      <c r="F4" s="53">
        <v>45803.0</v>
      </c>
    </row>
    <row r="5">
      <c r="A5" s="52" t="s">
        <v>595</v>
      </c>
      <c r="B5" s="52" t="s">
        <v>3001</v>
      </c>
      <c r="C5" s="52" t="s">
        <v>1466</v>
      </c>
      <c r="D5" s="47" t="s">
        <v>3002</v>
      </c>
      <c r="E5" s="53">
        <v>45315.0</v>
      </c>
      <c r="F5" s="53">
        <v>45805.0</v>
      </c>
    </row>
    <row r="6">
      <c r="A6" s="52" t="s">
        <v>3109</v>
      </c>
      <c r="B6" s="52" t="s">
        <v>1034</v>
      </c>
      <c r="C6" s="52" t="s">
        <v>1466</v>
      </c>
      <c r="D6" s="47" t="s">
        <v>3110</v>
      </c>
      <c r="E6" s="53">
        <v>44726.0</v>
      </c>
      <c r="F6" s="53">
        <v>45903.0</v>
      </c>
    </row>
    <row r="7">
      <c r="A7" s="52" t="s">
        <v>15</v>
      </c>
      <c r="B7" s="52" t="s">
        <v>1006</v>
      </c>
      <c r="C7" s="52" t="s">
        <v>1466</v>
      </c>
      <c r="D7" s="47" t="s">
        <v>3139</v>
      </c>
      <c r="E7" s="53">
        <v>45912.0</v>
      </c>
      <c r="F7" s="53">
        <v>45912.0</v>
      </c>
    </row>
    <row r="8">
      <c r="A8" s="52" t="s">
        <v>429</v>
      </c>
      <c r="B8" s="52" t="s">
        <v>794</v>
      </c>
      <c r="C8" s="52" t="s">
        <v>1466</v>
      </c>
      <c r="D8" s="47" t="s">
        <v>3142</v>
      </c>
      <c r="E8" s="53">
        <v>45212.0</v>
      </c>
      <c r="F8" s="53">
        <v>45913.0</v>
      </c>
    </row>
    <row r="9">
      <c r="A9" s="52" t="s">
        <v>3162</v>
      </c>
      <c r="B9" s="52" t="s">
        <v>932</v>
      </c>
      <c r="C9" s="52" t="s">
        <v>1466</v>
      </c>
      <c r="D9" s="47" t="s">
        <v>2947</v>
      </c>
      <c r="E9" s="53">
        <v>45609.0</v>
      </c>
      <c r="F9" s="53">
        <v>45917.0</v>
      </c>
    </row>
    <row r="10">
      <c r="A10" s="52" t="s">
        <v>3181</v>
      </c>
      <c r="B10" s="52" t="s">
        <v>977</v>
      </c>
      <c r="C10" s="52" t="s">
        <v>1466</v>
      </c>
      <c r="D10" s="47" t="s">
        <v>3182</v>
      </c>
      <c r="E10" s="53">
        <v>45527.0</v>
      </c>
      <c r="F10" s="53">
        <v>45922.0</v>
      </c>
    </row>
    <row r="11">
      <c r="A11" s="52" t="s">
        <v>3213</v>
      </c>
      <c r="B11" s="52" t="s">
        <v>1416</v>
      </c>
      <c r="C11" s="52" t="s">
        <v>1466</v>
      </c>
      <c r="D11" s="47" t="s">
        <v>3214</v>
      </c>
      <c r="E11" s="53">
        <v>45062.0</v>
      </c>
      <c r="F11" s="53">
        <v>45926.0</v>
      </c>
    </row>
    <row r="12">
      <c r="A12" s="52" t="s">
        <v>203</v>
      </c>
      <c r="B12" s="52" t="s">
        <v>626</v>
      </c>
      <c r="C12" s="52" t="s">
        <v>1466</v>
      </c>
      <c r="D12" s="47" t="s">
        <v>3224</v>
      </c>
      <c r="E12" s="53">
        <v>45482.0</v>
      </c>
      <c r="F12" s="53">
        <v>45929.0</v>
      </c>
    </row>
    <row r="13">
      <c r="A13" s="52" t="s">
        <v>1923</v>
      </c>
      <c r="B13" s="52" t="s">
        <v>1399</v>
      </c>
      <c r="C13" s="52" t="s">
        <v>1466</v>
      </c>
      <c r="D13" s="47" t="s">
        <v>3252</v>
      </c>
      <c r="E13" s="53">
        <v>44482.0</v>
      </c>
      <c r="F13" s="53">
        <v>45930.0</v>
      </c>
    </row>
    <row r="14">
      <c r="A14" s="52" t="s">
        <v>3254</v>
      </c>
      <c r="B14" s="52" t="s">
        <v>298</v>
      </c>
      <c r="C14" s="52" t="s">
        <v>1466</v>
      </c>
      <c r="D14" s="47" t="s">
        <v>3182</v>
      </c>
      <c r="E14" s="53">
        <v>45636.0</v>
      </c>
      <c r="F14" s="53">
        <v>45930.0</v>
      </c>
    </row>
    <row r="15">
      <c r="A15" s="52" t="s">
        <v>3240</v>
      </c>
      <c r="B15" s="52" t="s">
        <v>884</v>
      </c>
      <c r="C15" s="52" t="s">
        <v>1466</v>
      </c>
      <c r="D15" s="47" t="s">
        <v>2947</v>
      </c>
      <c r="E15" s="53">
        <v>45636.0</v>
      </c>
      <c r="F15" s="53">
        <v>45930.0</v>
      </c>
    </row>
    <row r="16">
      <c r="A16" s="52" t="s">
        <v>3245</v>
      </c>
      <c r="B16" s="52" t="s">
        <v>594</v>
      </c>
      <c r="C16" s="52" t="s">
        <v>1466</v>
      </c>
      <c r="D16" s="47" t="s">
        <v>3246</v>
      </c>
      <c r="E16" s="53">
        <v>45078.0</v>
      </c>
      <c r="F16" s="53">
        <v>45930.0</v>
      </c>
    </row>
    <row r="17">
      <c r="A17" s="52" t="s">
        <v>3249</v>
      </c>
      <c r="B17" s="52" t="s">
        <v>706</v>
      </c>
      <c r="C17" s="52" t="s">
        <v>1466</v>
      </c>
      <c r="D17" s="47" t="s">
        <v>3002</v>
      </c>
      <c r="E17" s="53">
        <v>44846.0</v>
      </c>
      <c r="F17" s="53">
        <v>45930.0</v>
      </c>
    </row>
    <row r="18">
      <c r="A18" s="52" t="s">
        <v>3306</v>
      </c>
      <c r="B18" s="52" t="s">
        <v>893</v>
      </c>
      <c r="C18" s="52" t="s">
        <v>1466</v>
      </c>
      <c r="D18" s="47" t="s">
        <v>3307</v>
      </c>
      <c r="E18" s="53">
        <v>45272.0</v>
      </c>
      <c r="F18" s="53">
        <v>45932.0</v>
      </c>
    </row>
    <row r="19">
      <c r="A19" s="52" t="s">
        <v>3297</v>
      </c>
      <c r="B19" s="52" t="s">
        <v>426</v>
      </c>
      <c r="C19" s="52" t="s">
        <v>1466</v>
      </c>
      <c r="D19" s="47" t="s">
        <v>3246</v>
      </c>
      <c r="E19" s="53">
        <v>45783.0</v>
      </c>
      <c r="F19" s="53">
        <v>45932.0</v>
      </c>
    </row>
    <row r="20">
      <c r="A20" s="52" t="s">
        <v>3311</v>
      </c>
      <c r="B20" s="52" t="s">
        <v>1271</v>
      </c>
      <c r="C20" s="52" t="s">
        <v>1466</v>
      </c>
      <c r="D20" s="47" t="s">
        <v>2999</v>
      </c>
      <c r="E20" s="53">
        <v>44782.0</v>
      </c>
      <c r="F20" s="53">
        <v>45933.0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9.0"/>
    <col customWidth="1" min="2" max="2" width="26.75"/>
    <col customWidth="1" min="4" max="4" width="20.75"/>
    <col customWidth="1" min="5" max="5" width="47.25"/>
    <col customWidth="1" min="6" max="6" width="25.13"/>
    <col customWidth="1" min="10" max="10" width="17.63"/>
  </cols>
  <sheetData>
    <row r="1">
      <c r="A1" s="54" t="s">
        <v>3331</v>
      </c>
      <c r="B1" s="54" t="s">
        <v>3332</v>
      </c>
      <c r="C1" s="54" t="s">
        <v>3333</v>
      </c>
      <c r="D1" s="54" t="s">
        <v>3334</v>
      </c>
      <c r="E1" s="54" t="s">
        <v>3335</v>
      </c>
      <c r="F1" s="54" t="s">
        <v>3336</v>
      </c>
      <c r="G1" s="55" t="s">
        <v>3337</v>
      </c>
      <c r="H1" s="55" t="s">
        <v>3338</v>
      </c>
      <c r="I1" s="55" t="s">
        <v>1462</v>
      </c>
      <c r="J1" s="55" t="s">
        <v>1461</v>
      </c>
      <c r="K1" s="56" t="s">
        <v>1460</v>
      </c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>
      <c r="A2" s="58" t="s">
        <v>3339</v>
      </c>
      <c r="B2" s="58" t="s">
        <v>1118</v>
      </c>
      <c r="C2" s="58" t="s">
        <v>3340</v>
      </c>
      <c r="D2" s="58" t="s">
        <v>3341</v>
      </c>
      <c r="E2" s="58" t="s">
        <v>3341</v>
      </c>
      <c r="F2" s="58" t="s">
        <v>3342</v>
      </c>
      <c r="H2" s="49" t="s">
        <v>3343</v>
      </c>
      <c r="I2" s="59" t="str">
        <f>IF(COUNTIF('Active Employees'!B:B, B2)&gt;0,"Y","N")</f>
        <v>Y</v>
      </c>
      <c r="J2" s="49" t="s">
        <v>3344</v>
      </c>
    </row>
    <row r="3">
      <c r="A3" s="58" t="s">
        <v>3345</v>
      </c>
      <c r="B3" s="58" t="s">
        <v>3346</v>
      </c>
      <c r="C3" s="58" t="s">
        <v>3340</v>
      </c>
      <c r="D3" s="58" t="s">
        <v>3347</v>
      </c>
      <c r="E3" s="58" t="s">
        <v>3347</v>
      </c>
      <c r="F3" s="58" t="s">
        <v>3342</v>
      </c>
      <c r="H3" s="49" t="s">
        <v>3343</v>
      </c>
      <c r="I3" s="59" t="str">
        <f>IF(COUNTIF('Active Employees'!B:B, B3)&gt;0,"Y","N")</f>
        <v>N</v>
      </c>
      <c r="J3" s="49" t="s">
        <v>3344</v>
      </c>
    </row>
    <row r="4">
      <c r="A4" s="58" t="s">
        <v>3348</v>
      </c>
      <c r="B4" s="58" t="s">
        <v>963</v>
      </c>
      <c r="C4" s="58" t="s">
        <v>3340</v>
      </c>
      <c r="D4" s="58" t="s">
        <v>3341</v>
      </c>
      <c r="E4" s="58" t="s">
        <v>3341</v>
      </c>
      <c r="F4" s="58" t="s">
        <v>3342</v>
      </c>
      <c r="H4" s="49" t="s">
        <v>3343</v>
      </c>
      <c r="I4" s="59" t="str">
        <f>IF(COUNTIF('Active Employees'!B:B, B4)&gt;0,"Y","N")</f>
        <v>Y</v>
      </c>
      <c r="J4" s="49" t="s">
        <v>3344</v>
      </c>
    </row>
    <row r="5">
      <c r="A5" s="58" t="s">
        <v>3349</v>
      </c>
      <c r="B5" s="58" t="s">
        <v>971</v>
      </c>
      <c r="C5" s="58" t="s">
        <v>3340</v>
      </c>
      <c r="D5" s="58" t="s">
        <v>3350</v>
      </c>
      <c r="E5" s="58" t="s">
        <v>3350</v>
      </c>
      <c r="F5" s="58" t="s">
        <v>3342</v>
      </c>
      <c r="H5" s="49" t="s">
        <v>3343</v>
      </c>
      <c r="I5" s="59" t="str">
        <f>IF(COUNTIF('Active Employees'!B:B, B5)&gt;0,"Y","N")</f>
        <v>Y</v>
      </c>
      <c r="J5" s="49" t="s">
        <v>3344</v>
      </c>
    </row>
    <row r="6">
      <c r="A6" s="58" t="s">
        <v>3351</v>
      </c>
      <c r="B6" s="58" t="s">
        <v>1422</v>
      </c>
      <c r="C6" s="58" t="s">
        <v>3352</v>
      </c>
      <c r="D6" s="58" t="s">
        <v>3353</v>
      </c>
      <c r="E6" s="58" t="s">
        <v>3353</v>
      </c>
      <c r="F6" s="58" t="s">
        <v>3342</v>
      </c>
      <c r="H6" s="49" t="s">
        <v>3343</v>
      </c>
      <c r="I6" s="59" t="str">
        <f>IF(COUNTIF('Active Employees'!B:B, B6)&gt;0,"Y","N")</f>
        <v>Y</v>
      </c>
      <c r="J6" s="49" t="s">
        <v>3344</v>
      </c>
    </row>
    <row r="7">
      <c r="A7" s="58" t="s">
        <v>3354</v>
      </c>
      <c r="B7" s="58" t="s">
        <v>460</v>
      </c>
      <c r="C7" s="58" t="s">
        <v>3355</v>
      </c>
      <c r="D7" s="58" t="s">
        <v>3353</v>
      </c>
      <c r="E7" s="58" t="s">
        <v>3353</v>
      </c>
      <c r="F7" s="58" t="s">
        <v>3342</v>
      </c>
      <c r="H7" s="49" t="s">
        <v>3343</v>
      </c>
      <c r="I7" s="59" t="str">
        <f>IF(COUNTIF('Active Employees'!B:B, B7)&gt;0,"Y","N")</f>
        <v>Y</v>
      </c>
      <c r="J7" s="49" t="s">
        <v>3344</v>
      </c>
    </row>
    <row r="8">
      <c r="A8" s="58" t="s">
        <v>3356</v>
      </c>
      <c r="B8" s="58" t="s">
        <v>332</v>
      </c>
      <c r="C8" s="58" t="s">
        <v>3340</v>
      </c>
      <c r="D8" s="58" t="s">
        <v>3341</v>
      </c>
      <c r="E8" s="58" t="s">
        <v>3341</v>
      </c>
      <c r="F8" s="58" t="s">
        <v>3342</v>
      </c>
      <c r="H8" s="49" t="s">
        <v>3343</v>
      </c>
      <c r="I8" s="59" t="str">
        <f>IF(COUNTIF('Active Employees'!B:B, B8)&gt;0,"Y","N")</f>
        <v>Y</v>
      </c>
      <c r="J8" s="49" t="s">
        <v>3344</v>
      </c>
    </row>
    <row r="9">
      <c r="A9" s="58" t="s">
        <v>3357</v>
      </c>
      <c r="B9" s="58" t="s">
        <v>1308</v>
      </c>
      <c r="C9" s="58" t="s">
        <v>3340</v>
      </c>
      <c r="D9" s="58" t="s">
        <v>3347</v>
      </c>
      <c r="E9" s="58" t="s">
        <v>3347</v>
      </c>
      <c r="F9" s="58" t="s">
        <v>3342</v>
      </c>
      <c r="H9" s="49" t="s">
        <v>3343</v>
      </c>
      <c r="I9" s="59" t="str">
        <f>IF(COUNTIF('Active Employees'!B:B, B9)&gt;0,"Y","N")</f>
        <v>Y</v>
      </c>
      <c r="J9" s="49" t="s">
        <v>3344</v>
      </c>
    </row>
    <row r="10">
      <c r="A10" s="58" t="s">
        <v>3358</v>
      </c>
      <c r="B10" s="58" t="s">
        <v>1052</v>
      </c>
      <c r="C10" s="58" t="s">
        <v>3340</v>
      </c>
      <c r="D10" s="58" t="s">
        <v>3353</v>
      </c>
      <c r="E10" s="58" t="s">
        <v>3353</v>
      </c>
      <c r="F10" s="58" t="s">
        <v>3342</v>
      </c>
      <c r="H10" s="49" t="s">
        <v>3343</v>
      </c>
      <c r="I10" s="59" t="str">
        <f>IF(COUNTIF('Active Employees'!B:B, B10)&gt;0,"Y","N")</f>
        <v>Y</v>
      </c>
      <c r="J10" s="49" t="s">
        <v>3344</v>
      </c>
    </row>
    <row r="11">
      <c r="A11" s="58" t="s">
        <v>3359</v>
      </c>
      <c r="B11" s="58" t="s">
        <v>1371</v>
      </c>
      <c r="C11" s="58" t="s">
        <v>3340</v>
      </c>
      <c r="D11" s="58" t="s">
        <v>3341</v>
      </c>
      <c r="E11" s="58" t="s">
        <v>3341</v>
      </c>
      <c r="F11" s="58" t="s">
        <v>3342</v>
      </c>
      <c r="H11" s="49" t="s">
        <v>3343</v>
      </c>
      <c r="I11" s="59" t="str">
        <f>IF(COUNTIF('Active Employees'!B:B, B11)&gt;0,"Y","N")</f>
        <v>Y</v>
      </c>
      <c r="J11" s="49" t="s">
        <v>3344</v>
      </c>
    </row>
    <row r="12">
      <c r="A12" s="58" t="s">
        <v>3360</v>
      </c>
      <c r="B12" s="58" t="s">
        <v>49</v>
      </c>
      <c r="C12" s="58" t="s">
        <v>3340</v>
      </c>
      <c r="D12" s="58" t="s">
        <v>3361</v>
      </c>
      <c r="E12" s="58" t="s">
        <v>3362</v>
      </c>
      <c r="F12" s="58" t="s">
        <v>3363</v>
      </c>
      <c r="I12" s="59" t="str">
        <f>IF(COUNTIF('Active Employees'!B:B, B12)&gt;0,"Y","N")</f>
        <v>Y</v>
      </c>
      <c r="J12" s="49" t="s">
        <v>3364</v>
      </c>
    </row>
    <row r="13">
      <c r="A13" s="58" t="s">
        <v>3365</v>
      </c>
      <c r="B13" s="58" t="s">
        <v>139</v>
      </c>
      <c r="C13" s="58" t="s">
        <v>3340</v>
      </c>
      <c r="D13" s="58" t="s">
        <v>3353</v>
      </c>
      <c r="E13" s="58" t="s">
        <v>3353</v>
      </c>
      <c r="F13" s="58" t="s">
        <v>3366</v>
      </c>
      <c r="I13" s="59" t="str">
        <f>IF(COUNTIF('Active Employees'!B:B, B13)&gt;0,"Y","N")</f>
        <v>Y</v>
      </c>
      <c r="J13" s="49" t="s">
        <v>3364</v>
      </c>
    </row>
    <row r="14">
      <c r="A14" s="58" t="s">
        <v>3367</v>
      </c>
      <c r="B14" s="58" t="s">
        <v>371</v>
      </c>
      <c r="C14" s="58" t="s">
        <v>3340</v>
      </c>
      <c r="D14" s="58" t="s">
        <v>3353</v>
      </c>
      <c r="E14" s="58" t="s">
        <v>3368</v>
      </c>
      <c r="F14" s="58" t="s">
        <v>3369</v>
      </c>
      <c r="I14" s="59" t="str">
        <f>IF(COUNTIF('Active Employees'!B:B, B14)&gt;0,"Y","N")</f>
        <v>Y</v>
      </c>
      <c r="J14" s="49" t="s">
        <v>3364</v>
      </c>
    </row>
    <row r="15">
      <c r="A15" s="58" t="s">
        <v>3370</v>
      </c>
      <c r="B15" s="58" t="s">
        <v>3371</v>
      </c>
      <c r="C15" s="58" t="s">
        <v>3340</v>
      </c>
      <c r="D15" s="58" t="s">
        <v>3372</v>
      </c>
      <c r="E15" s="58" t="s">
        <v>3372</v>
      </c>
      <c r="F15" s="58" t="s">
        <v>3373</v>
      </c>
      <c r="H15" s="49" t="s">
        <v>3374</v>
      </c>
      <c r="I15" s="59" t="str">
        <f>IF(COUNTIF('Active Employees'!B:B, B15)&gt;0,"Y","N")</f>
        <v>N</v>
      </c>
      <c r="J15" s="49" t="s">
        <v>3375</v>
      </c>
    </row>
    <row r="16">
      <c r="A16" s="58" t="s">
        <v>3376</v>
      </c>
      <c r="B16" s="58" t="s">
        <v>3377</v>
      </c>
      <c r="C16" s="58" t="s">
        <v>3340</v>
      </c>
      <c r="D16" s="58" t="s">
        <v>3378</v>
      </c>
      <c r="E16" s="58" t="s">
        <v>3378</v>
      </c>
      <c r="F16" s="58" t="s">
        <v>3379</v>
      </c>
      <c r="H16" s="49" t="s">
        <v>3374</v>
      </c>
      <c r="I16" s="59" t="str">
        <f>IF(COUNTIF('Active Employees'!B:B, B16)&gt;0,"Y","N")</f>
        <v>N</v>
      </c>
      <c r="J16" s="49" t="s">
        <v>3375</v>
      </c>
    </row>
    <row r="17">
      <c r="A17" s="58" t="s">
        <v>3380</v>
      </c>
      <c r="B17" s="58" t="s">
        <v>3134</v>
      </c>
      <c r="C17" s="58" t="s">
        <v>3340</v>
      </c>
      <c r="D17" s="58" t="s">
        <v>3372</v>
      </c>
      <c r="E17" s="58" t="s">
        <v>3372</v>
      </c>
      <c r="F17" s="58" t="s">
        <v>3381</v>
      </c>
      <c r="H17" s="49" t="s">
        <v>3374</v>
      </c>
      <c r="I17" s="59" t="str">
        <f>IF(COUNTIF('Active Employees'!B:B, B17)&gt;0,"Y","N")</f>
        <v>N</v>
      </c>
      <c r="J17" s="49" t="s">
        <v>3375</v>
      </c>
    </row>
    <row r="18">
      <c r="A18" s="58" t="s">
        <v>3382</v>
      </c>
      <c r="B18" s="58" t="s">
        <v>897</v>
      </c>
      <c r="C18" s="58" t="s">
        <v>3340</v>
      </c>
      <c r="D18" s="58" t="s">
        <v>3383</v>
      </c>
      <c r="E18" s="58" t="s">
        <v>3384</v>
      </c>
      <c r="F18" s="58" t="s">
        <v>3385</v>
      </c>
      <c r="I18" s="59" t="str">
        <f>IF(COUNTIF('Active Employees'!B:B, B18)&gt;0,"Y","N")</f>
        <v>Y</v>
      </c>
      <c r="J18" s="49" t="s">
        <v>3364</v>
      </c>
    </row>
    <row r="19">
      <c r="A19" s="58" t="s">
        <v>3386</v>
      </c>
      <c r="B19" s="58" t="s">
        <v>302</v>
      </c>
      <c r="C19" s="58" t="s">
        <v>3340</v>
      </c>
      <c r="D19" s="58" t="s">
        <v>3353</v>
      </c>
      <c r="E19" s="58" t="s">
        <v>3368</v>
      </c>
      <c r="F19" s="58" t="s">
        <v>3387</v>
      </c>
      <c r="I19" s="59" t="str">
        <f>IF(COUNTIF('Active Employees'!B:B, B19)&gt;0,"Y","N")</f>
        <v>Y</v>
      </c>
      <c r="J19" s="49" t="s">
        <v>3364</v>
      </c>
    </row>
    <row r="20">
      <c r="A20" s="58" t="s">
        <v>3388</v>
      </c>
      <c r="B20" s="58" t="s">
        <v>3095</v>
      </c>
      <c r="C20" s="58" t="s">
        <v>3340</v>
      </c>
      <c r="D20" s="58" t="s">
        <v>3372</v>
      </c>
      <c r="E20" s="58" t="s">
        <v>3372</v>
      </c>
      <c r="F20" s="58" t="s">
        <v>3389</v>
      </c>
      <c r="H20" s="49" t="s">
        <v>3374</v>
      </c>
      <c r="I20" s="59" t="str">
        <f>IF(COUNTIF('Active Employees'!B:B, B20)&gt;0,"Y","N")</f>
        <v>N</v>
      </c>
      <c r="J20" s="49" t="s">
        <v>3375</v>
      </c>
    </row>
    <row r="21">
      <c r="A21" s="58" t="s">
        <v>3390</v>
      </c>
      <c r="B21" s="58" t="s">
        <v>1067</v>
      </c>
      <c r="C21" s="58" t="s">
        <v>3340</v>
      </c>
      <c r="D21" s="58" t="s">
        <v>3353</v>
      </c>
      <c r="E21" s="58" t="s">
        <v>3391</v>
      </c>
      <c r="F21" s="58" t="s">
        <v>3392</v>
      </c>
      <c r="I21" s="59" t="str">
        <f>IF(COUNTIF('Active Employees'!B:B, B21)&gt;0,"Y","N")</f>
        <v>Y</v>
      </c>
      <c r="J21" s="49" t="s">
        <v>3364</v>
      </c>
    </row>
    <row r="22">
      <c r="A22" s="58" t="s">
        <v>3393</v>
      </c>
      <c r="B22" s="58" t="s">
        <v>484</v>
      </c>
      <c r="C22" s="58" t="s">
        <v>3340</v>
      </c>
      <c r="D22" s="58" t="s">
        <v>3394</v>
      </c>
      <c r="E22" s="58" t="s">
        <v>3394</v>
      </c>
      <c r="F22" s="58" t="s">
        <v>3395</v>
      </c>
      <c r="I22" s="59" t="str">
        <f>IF(COUNTIF('Active Employees'!B:B, B22)&gt;0,"Y","N")</f>
        <v>Y</v>
      </c>
      <c r="J22" s="49" t="s">
        <v>3364</v>
      </c>
    </row>
    <row r="23">
      <c r="A23" s="58" t="s">
        <v>3396</v>
      </c>
      <c r="B23" s="58" t="s">
        <v>2058</v>
      </c>
      <c r="C23" s="58" t="s">
        <v>3340</v>
      </c>
      <c r="D23" s="58" t="s">
        <v>3341</v>
      </c>
      <c r="E23" s="58" t="s">
        <v>3341</v>
      </c>
      <c r="F23" s="58" t="s">
        <v>3397</v>
      </c>
      <c r="H23" s="49" t="s">
        <v>3343</v>
      </c>
      <c r="I23" s="59" t="str">
        <f>IF(COUNTIF('Active Employees'!B:B, B23)&gt;0,"Y","N")</f>
        <v>N</v>
      </c>
      <c r="J23" s="49" t="s">
        <v>3398</v>
      </c>
    </row>
    <row r="24">
      <c r="A24" s="58" t="s">
        <v>3399</v>
      </c>
      <c r="B24" s="58" t="s">
        <v>1361</v>
      </c>
      <c r="C24" s="58" t="s">
        <v>3340</v>
      </c>
      <c r="D24" s="58" t="s">
        <v>3383</v>
      </c>
      <c r="E24" s="58" t="s">
        <v>3400</v>
      </c>
      <c r="F24" s="58" t="s">
        <v>3401</v>
      </c>
      <c r="I24" s="59" t="str">
        <f>IF(COUNTIF('Active Employees'!B:B, B24)&gt;0,"Y","N")</f>
        <v>Y</v>
      </c>
      <c r="J24" s="49" t="s">
        <v>3364</v>
      </c>
    </row>
    <row r="25">
      <c r="A25" s="58" t="s">
        <v>3402</v>
      </c>
      <c r="B25" s="58" t="s">
        <v>25</v>
      </c>
      <c r="C25" s="58" t="s">
        <v>3340</v>
      </c>
      <c r="D25" s="58" t="s">
        <v>3353</v>
      </c>
      <c r="E25" s="58" t="s">
        <v>3353</v>
      </c>
      <c r="F25" s="58" t="s">
        <v>3403</v>
      </c>
      <c r="I25" s="59" t="str">
        <f>IF(COUNTIF('Active Employees'!B:B, B25)&gt;0,"Y","N")</f>
        <v>Y</v>
      </c>
      <c r="J25" s="49" t="s">
        <v>3364</v>
      </c>
    </row>
    <row r="26">
      <c r="A26" s="58" t="s">
        <v>3404</v>
      </c>
      <c r="B26" s="58" t="s">
        <v>469</v>
      </c>
      <c r="C26" s="58" t="s">
        <v>3340</v>
      </c>
      <c r="D26" s="58" t="s">
        <v>3405</v>
      </c>
      <c r="E26" s="58" t="s">
        <v>3405</v>
      </c>
      <c r="F26" s="58" t="s">
        <v>3406</v>
      </c>
      <c r="I26" s="59" t="str">
        <f>IF(COUNTIF('Active Employees'!B:B, B26)&gt;0,"Y","N")</f>
        <v>Y</v>
      </c>
      <c r="J26" s="49" t="s">
        <v>3364</v>
      </c>
    </row>
    <row r="27">
      <c r="A27" s="58" t="s">
        <v>3407</v>
      </c>
      <c r="B27" s="58" t="s">
        <v>604</v>
      </c>
      <c r="C27" s="58" t="s">
        <v>3352</v>
      </c>
      <c r="D27" s="58" t="s">
        <v>3405</v>
      </c>
      <c r="E27" s="58" t="s">
        <v>3405</v>
      </c>
      <c r="F27" s="58" t="s">
        <v>3408</v>
      </c>
      <c r="I27" s="59" t="str">
        <f>IF(COUNTIF('Active Employees'!B:B, B27)&gt;0,"Y","N")</f>
        <v>Y</v>
      </c>
      <c r="J27" s="49" t="s">
        <v>3364</v>
      </c>
    </row>
    <row r="28">
      <c r="A28" s="58" t="s">
        <v>3409</v>
      </c>
      <c r="B28" s="58" t="s">
        <v>624</v>
      </c>
      <c r="C28" s="58" t="s">
        <v>3340</v>
      </c>
      <c r="D28" s="58" t="s">
        <v>3410</v>
      </c>
      <c r="E28" s="58" t="s">
        <v>3411</v>
      </c>
      <c r="F28" s="58" t="s">
        <v>3412</v>
      </c>
      <c r="I28" s="59" t="str">
        <f>IF(COUNTIF('Active Employees'!B:B, B28)&gt;0,"Y","N")</f>
        <v>Y</v>
      </c>
      <c r="J28" s="49" t="s">
        <v>3364</v>
      </c>
    </row>
    <row r="29">
      <c r="A29" s="58" t="s">
        <v>3413</v>
      </c>
      <c r="B29" s="58" t="s">
        <v>1357</v>
      </c>
      <c r="C29" s="58" t="s">
        <v>3340</v>
      </c>
      <c r="D29" s="58" t="s">
        <v>3353</v>
      </c>
      <c r="E29" s="58" t="s">
        <v>3353</v>
      </c>
      <c r="F29" s="58" t="s">
        <v>3414</v>
      </c>
      <c r="I29" s="59" t="str">
        <f>IF(COUNTIF('Active Employees'!B:B, B29)&gt;0,"Y","N")</f>
        <v>Y</v>
      </c>
      <c r="J29" s="49" t="s">
        <v>3364</v>
      </c>
    </row>
    <row r="30">
      <c r="A30" s="58" t="s">
        <v>3415</v>
      </c>
      <c r="B30" s="58" t="s">
        <v>622</v>
      </c>
      <c r="C30" s="58" t="s">
        <v>3340</v>
      </c>
      <c r="D30" s="58" t="s">
        <v>3353</v>
      </c>
      <c r="E30" s="58" t="s">
        <v>3353</v>
      </c>
      <c r="F30" s="58" t="s">
        <v>3416</v>
      </c>
      <c r="I30" s="59" t="str">
        <f>IF(COUNTIF('Active Employees'!B:B, B30)&gt;0,"Y","N")</f>
        <v>Y</v>
      </c>
      <c r="J30" s="49" t="s">
        <v>3364</v>
      </c>
    </row>
    <row r="31">
      <c r="A31" s="58" t="s">
        <v>3417</v>
      </c>
      <c r="B31" s="58" t="s">
        <v>1428</v>
      </c>
      <c r="C31" s="58" t="s">
        <v>3340</v>
      </c>
      <c r="D31" s="58" t="s">
        <v>3353</v>
      </c>
      <c r="E31" s="58" t="s">
        <v>3353</v>
      </c>
      <c r="F31" s="58" t="s">
        <v>3418</v>
      </c>
      <c r="I31" s="59" t="str">
        <f>IF(COUNTIF('Active Employees'!B:B, B31)&gt;0,"Y","N")</f>
        <v>Y</v>
      </c>
      <c r="J31" s="49" t="s">
        <v>3364</v>
      </c>
    </row>
    <row r="32">
      <c r="A32" s="58" t="s">
        <v>3419</v>
      </c>
      <c r="B32" s="58" t="s">
        <v>619</v>
      </c>
      <c r="C32" s="58" t="s">
        <v>3340</v>
      </c>
      <c r="D32" s="58" t="s">
        <v>3383</v>
      </c>
      <c r="E32" s="58" t="s">
        <v>3383</v>
      </c>
      <c r="F32" s="58" t="s">
        <v>3420</v>
      </c>
      <c r="I32" s="59" t="str">
        <f>IF(COUNTIF('Active Employees'!B:B, B32)&gt;0,"Y","N")</f>
        <v>Y</v>
      </c>
      <c r="J32" s="49" t="s">
        <v>3364</v>
      </c>
    </row>
    <row r="33">
      <c r="A33" s="58" t="s">
        <v>3421</v>
      </c>
      <c r="B33" s="58" t="s">
        <v>1391</v>
      </c>
      <c r="C33" s="58" t="s">
        <v>3340</v>
      </c>
      <c r="D33" s="58" t="s">
        <v>3422</v>
      </c>
      <c r="E33" s="58" t="s">
        <v>3423</v>
      </c>
      <c r="F33" s="58" t="s">
        <v>3424</v>
      </c>
      <c r="I33" s="59" t="str">
        <f>IF(COUNTIF('Active Employees'!B:B, B33)&gt;0,"Y","N")</f>
        <v>Y</v>
      </c>
      <c r="J33" s="49" t="s">
        <v>3364</v>
      </c>
    </row>
    <row r="34">
      <c r="A34" s="58" t="s">
        <v>3425</v>
      </c>
      <c r="B34" s="58" t="s">
        <v>1100</v>
      </c>
      <c r="C34" s="58" t="s">
        <v>3340</v>
      </c>
      <c r="D34" s="58" t="s">
        <v>3347</v>
      </c>
      <c r="E34" s="58" t="s">
        <v>3426</v>
      </c>
      <c r="F34" s="58" t="s">
        <v>3427</v>
      </c>
      <c r="I34" s="59" t="str">
        <f>IF(COUNTIF('Active Employees'!B:B, B34)&gt;0,"Y","N")</f>
        <v>Y</v>
      </c>
      <c r="J34" s="49" t="s">
        <v>3364</v>
      </c>
    </row>
    <row r="35">
      <c r="A35" s="58" t="s">
        <v>3428</v>
      </c>
      <c r="B35" s="58" t="s">
        <v>117</v>
      </c>
      <c r="C35" s="58" t="s">
        <v>3352</v>
      </c>
      <c r="D35" s="58" t="s">
        <v>3429</v>
      </c>
      <c r="E35" s="58" t="s">
        <v>3429</v>
      </c>
      <c r="F35" s="58" t="s">
        <v>3430</v>
      </c>
      <c r="I35" s="59" t="str">
        <f>IF(COUNTIF('Active Employees'!B:B, B35)&gt;0,"Y","N")</f>
        <v>Y</v>
      </c>
      <c r="J35" s="49" t="s">
        <v>3364</v>
      </c>
    </row>
    <row r="36">
      <c r="A36" s="58" t="s">
        <v>3431</v>
      </c>
      <c r="B36" s="58" t="s">
        <v>765</v>
      </c>
      <c r="C36" s="58" t="s">
        <v>3340</v>
      </c>
      <c r="D36" s="58" t="s">
        <v>3341</v>
      </c>
      <c r="E36" s="58" t="s">
        <v>3341</v>
      </c>
      <c r="F36" s="58" t="s">
        <v>3432</v>
      </c>
      <c r="I36" s="59" t="str">
        <f>IF(COUNTIF('Active Employees'!B:B, B36)&gt;0,"Y","N")</f>
        <v>Y</v>
      </c>
      <c r="J36" s="49" t="s">
        <v>3364</v>
      </c>
    </row>
    <row r="37">
      <c r="A37" s="58" t="s">
        <v>3433</v>
      </c>
      <c r="B37" s="58" t="s">
        <v>1276</v>
      </c>
      <c r="C37" s="58" t="s">
        <v>3340</v>
      </c>
      <c r="D37" s="58" t="s">
        <v>3434</v>
      </c>
      <c r="E37" s="58" t="s">
        <v>3434</v>
      </c>
      <c r="F37" s="58" t="s">
        <v>3435</v>
      </c>
      <c r="I37" s="59" t="str">
        <f>IF(COUNTIF('Active Employees'!B:B, B37)&gt;0,"Y","N")</f>
        <v>Y</v>
      </c>
      <c r="J37" s="49" t="s">
        <v>3364</v>
      </c>
    </row>
    <row r="38">
      <c r="A38" s="58" t="s">
        <v>3436</v>
      </c>
      <c r="B38" s="58" t="s">
        <v>996</v>
      </c>
      <c r="C38" s="58" t="s">
        <v>3340</v>
      </c>
      <c r="D38" s="58" t="s">
        <v>3353</v>
      </c>
      <c r="E38" s="58" t="s">
        <v>3437</v>
      </c>
      <c r="F38" s="58" t="s">
        <v>3438</v>
      </c>
      <c r="I38" s="59" t="str">
        <f>IF(COUNTIF('Active Employees'!B:B, B38)&gt;0,"Y","N")</f>
        <v>Y</v>
      </c>
      <c r="J38" s="49" t="s">
        <v>3364</v>
      </c>
    </row>
    <row r="39">
      <c r="A39" s="58" t="s">
        <v>3439</v>
      </c>
      <c r="B39" s="58" t="s">
        <v>510</v>
      </c>
      <c r="C39" s="58" t="s">
        <v>3340</v>
      </c>
      <c r="D39" s="58" t="s">
        <v>3353</v>
      </c>
      <c r="E39" s="58" t="s">
        <v>3353</v>
      </c>
      <c r="F39" s="58" t="s">
        <v>3440</v>
      </c>
      <c r="I39" s="59" t="str">
        <f>IF(COUNTIF('Active Employees'!B:B, B39)&gt;0,"Y","N")</f>
        <v>Y</v>
      </c>
      <c r="J39" s="49" t="s">
        <v>3364</v>
      </c>
    </row>
    <row r="40">
      <c r="A40" s="58" t="s">
        <v>3441</v>
      </c>
      <c r="B40" s="58" t="s">
        <v>341</v>
      </c>
      <c r="C40" s="58" t="s">
        <v>3340</v>
      </c>
      <c r="D40" s="58" t="s">
        <v>3353</v>
      </c>
      <c r="E40" s="58" t="s">
        <v>3353</v>
      </c>
      <c r="F40" s="58" t="s">
        <v>3442</v>
      </c>
      <c r="I40" s="59" t="str">
        <f>IF(COUNTIF('Active Employees'!B:B, B40)&gt;0,"Y","N")</f>
        <v>Y</v>
      </c>
      <c r="J40" s="49" t="s">
        <v>3364</v>
      </c>
    </row>
    <row r="41">
      <c r="A41" s="58" t="s">
        <v>3443</v>
      </c>
      <c r="B41" s="58" t="s">
        <v>407</v>
      </c>
      <c r="C41" s="58" t="s">
        <v>3340</v>
      </c>
      <c r="D41" s="58" t="s">
        <v>3434</v>
      </c>
      <c r="E41" s="58" t="s">
        <v>3434</v>
      </c>
      <c r="F41" s="58" t="s">
        <v>3444</v>
      </c>
      <c r="I41" s="59" t="str">
        <f>IF(COUNTIF('Active Employees'!B:B, B41)&gt;0,"Y","N")</f>
        <v>Y</v>
      </c>
      <c r="J41" s="49" t="s">
        <v>3364</v>
      </c>
    </row>
    <row r="42">
      <c r="A42" s="58" t="s">
        <v>3445</v>
      </c>
      <c r="B42" s="58" t="s">
        <v>522</v>
      </c>
      <c r="C42" s="58" t="s">
        <v>3340</v>
      </c>
      <c r="D42" s="58" t="s">
        <v>3446</v>
      </c>
      <c r="E42" s="58" t="s">
        <v>3447</v>
      </c>
      <c r="F42" s="58" t="s">
        <v>3448</v>
      </c>
      <c r="I42" s="59" t="str">
        <f>IF(COUNTIF('Active Employees'!B:B, B42)&gt;0,"Y","N")</f>
        <v>Y</v>
      </c>
      <c r="J42" s="49" t="s">
        <v>3364</v>
      </c>
    </row>
    <row r="43">
      <c r="A43" s="58" t="s">
        <v>3449</v>
      </c>
      <c r="B43" s="58" t="s">
        <v>383</v>
      </c>
      <c r="C43" s="58" t="s">
        <v>3340</v>
      </c>
      <c r="D43" s="58" t="s">
        <v>3347</v>
      </c>
      <c r="E43" s="58" t="s">
        <v>3347</v>
      </c>
      <c r="F43" s="58" t="s">
        <v>3450</v>
      </c>
      <c r="I43" s="59" t="str">
        <f>IF(COUNTIF('Active Employees'!B:B, B43)&gt;0,"Y","N")</f>
        <v>Y</v>
      </c>
      <c r="J43" s="49" t="s">
        <v>3364</v>
      </c>
    </row>
    <row r="44">
      <c r="A44" s="58" t="s">
        <v>3451</v>
      </c>
      <c r="B44" s="58" t="s">
        <v>688</v>
      </c>
      <c r="C44" s="58" t="s">
        <v>3340</v>
      </c>
      <c r="D44" s="58" t="s">
        <v>3434</v>
      </c>
      <c r="E44" s="58" t="s">
        <v>3434</v>
      </c>
      <c r="F44" s="58" t="s">
        <v>3452</v>
      </c>
      <c r="I44" s="59" t="str">
        <f>IF(COUNTIF('Active Employees'!B:B, B44)&gt;0,"Y","N")</f>
        <v>Y</v>
      </c>
      <c r="J44" s="49" t="s">
        <v>3364</v>
      </c>
    </row>
    <row r="45">
      <c r="A45" s="58" t="s">
        <v>3453</v>
      </c>
      <c r="B45" s="58" t="s">
        <v>339</v>
      </c>
      <c r="C45" s="58" t="s">
        <v>3340</v>
      </c>
      <c r="D45" s="58" t="s">
        <v>3347</v>
      </c>
      <c r="E45" s="58" t="s">
        <v>3454</v>
      </c>
      <c r="F45" s="58" t="s">
        <v>3455</v>
      </c>
      <c r="I45" s="59" t="str">
        <f>IF(COUNTIF('Active Employees'!B:B, B45)&gt;0,"Y","N")</f>
        <v>Y</v>
      </c>
      <c r="J45" s="49" t="s">
        <v>3364</v>
      </c>
    </row>
    <row r="46">
      <c r="A46" s="58" t="s">
        <v>3456</v>
      </c>
      <c r="B46" s="58" t="s">
        <v>247</v>
      </c>
      <c r="C46" s="58" t="s">
        <v>3340</v>
      </c>
      <c r="D46" s="58" t="s">
        <v>3457</v>
      </c>
      <c r="E46" s="58" t="s">
        <v>3458</v>
      </c>
      <c r="F46" s="58" t="s">
        <v>3459</v>
      </c>
      <c r="I46" s="59" t="str">
        <f>IF(COUNTIF('Active Employees'!B:B, B46)&gt;0,"Y","N")</f>
        <v>Y</v>
      </c>
      <c r="J46" s="49" t="s">
        <v>3364</v>
      </c>
    </row>
    <row r="47">
      <c r="A47" s="58" t="s">
        <v>3460</v>
      </c>
      <c r="B47" s="58" t="s">
        <v>444</v>
      </c>
      <c r="C47" s="58" t="s">
        <v>3340</v>
      </c>
      <c r="D47" s="58" t="s">
        <v>3353</v>
      </c>
      <c r="E47" s="58" t="s">
        <v>3353</v>
      </c>
      <c r="F47" s="58" t="s">
        <v>3461</v>
      </c>
      <c r="I47" s="59" t="str">
        <f>IF(COUNTIF('Active Employees'!B:B, B47)&gt;0,"Y","N")</f>
        <v>Y</v>
      </c>
      <c r="J47" s="49" t="s">
        <v>3364</v>
      </c>
    </row>
    <row r="48">
      <c r="A48" s="58" t="s">
        <v>3462</v>
      </c>
      <c r="B48" s="58" t="s">
        <v>416</v>
      </c>
      <c r="C48" s="58" t="s">
        <v>3340</v>
      </c>
      <c r="D48" s="58" t="s">
        <v>3353</v>
      </c>
      <c r="E48" s="58" t="s">
        <v>3426</v>
      </c>
      <c r="F48" s="58" t="s">
        <v>3463</v>
      </c>
      <c r="I48" s="59" t="str">
        <f>IF(COUNTIF('Active Employees'!B:B, B48)&gt;0,"Y","N")</f>
        <v>Y</v>
      </c>
    </row>
    <row r="49">
      <c r="A49" s="58" t="s">
        <v>3464</v>
      </c>
      <c r="B49" s="58" t="s">
        <v>293</v>
      </c>
      <c r="C49" s="58" t="s">
        <v>3340</v>
      </c>
      <c r="D49" s="58" t="s">
        <v>3353</v>
      </c>
      <c r="E49" s="58" t="s">
        <v>3426</v>
      </c>
      <c r="F49" s="58" t="s">
        <v>3465</v>
      </c>
      <c r="I49" s="59" t="str">
        <f>IF(COUNTIF('Active Employees'!B:B, B49)&gt;0,"Y","N")</f>
        <v>Y</v>
      </c>
    </row>
    <row r="50">
      <c r="A50" s="58" t="s">
        <v>3466</v>
      </c>
      <c r="B50" s="58" t="s">
        <v>230</v>
      </c>
      <c r="C50" s="58" t="s">
        <v>3340</v>
      </c>
      <c r="D50" s="58" t="s">
        <v>3467</v>
      </c>
      <c r="E50" s="58" t="s">
        <v>3468</v>
      </c>
      <c r="F50" s="58" t="s">
        <v>3469</v>
      </c>
      <c r="I50" s="59" t="str">
        <f>IF(COUNTIF('Active Employees'!B:B, B50)&gt;0,"Y","N")</f>
        <v>Y</v>
      </c>
    </row>
    <row r="51">
      <c r="A51" s="58" t="s">
        <v>3470</v>
      </c>
      <c r="B51" s="58" t="s">
        <v>650</v>
      </c>
      <c r="C51" s="58" t="s">
        <v>3352</v>
      </c>
      <c r="D51" s="58" t="s">
        <v>3353</v>
      </c>
      <c r="E51" s="58" t="s">
        <v>3353</v>
      </c>
      <c r="F51" s="58" t="s">
        <v>3471</v>
      </c>
      <c r="I51" s="59" t="str">
        <f>IF(COUNTIF('Active Employees'!B:B, B51)&gt;0,"Y","N")</f>
        <v>Y</v>
      </c>
    </row>
    <row r="52">
      <c r="A52" s="58" t="s">
        <v>3472</v>
      </c>
      <c r="B52" s="58" t="s">
        <v>1349</v>
      </c>
      <c r="C52" s="58" t="s">
        <v>3340</v>
      </c>
      <c r="D52" s="58" t="s">
        <v>3405</v>
      </c>
      <c r="E52" s="58" t="s">
        <v>3391</v>
      </c>
      <c r="F52" s="58" t="s">
        <v>3473</v>
      </c>
      <c r="I52" s="59" t="str">
        <f>IF(COUNTIF('Active Employees'!B:B, B52)&gt;0,"Y","N")</f>
        <v>Y</v>
      </c>
    </row>
    <row r="53">
      <c r="A53" s="58" t="s">
        <v>3474</v>
      </c>
      <c r="B53" s="58" t="s">
        <v>1097</v>
      </c>
      <c r="C53" s="58" t="s">
        <v>3340</v>
      </c>
      <c r="D53" s="58" t="s">
        <v>3353</v>
      </c>
      <c r="E53" s="58" t="s">
        <v>3475</v>
      </c>
      <c r="F53" s="58" t="s">
        <v>3476</v>
      </c>
      <c r="I53" s="59" t="str">
        <f>IF(COUNTIF('Active Employees'!B:B, B53)&gt;0,"Y","N")</f>
        <v>Y</v>
      </c>
    </row>
    <row r="54">
      <c r="A54" s="58" t="s">
        <v>3477</v>
      </c>
      <c r="B54" s="58" t="s">
        <v>343</v>
      </c>
      <c r="C54" s="58" t="s">
        <v>3340</v>
      </c>
      <c r="D54" s="58" t="s">
        <v>3353</v>
      </c>
      <c r="E54" s="58" t="s">
        <v>3353</v>
      </c>
      <c r="F54" s="58" t="s">
        <v>3478</v>
      </c>
      <c r="I54" s="59" t="str">
        <f>IF(COUNTIF('Active Employees'!B:B, B54)&gt;0,"Y","N")</f>
        <v>Y</v>
      </c>
    </row>
    <row r="55">
      <c r="A55" s="58" t="s">
        <v>3479</v>
      </c>
      <c r="B55" s="58" t="s">
        <v>903</v>
      </c>
      <c r="C55" s="58" t="s">
        <v>3340</v>
      </c>
      <c r="D55" s="58" t="s">
        <v>3480</v>
      </c>
      <c r="E55" s="58" t="s">
        <v>3400</v>
      </c>
      <c r="F55" s="58" t="s">
        <v>3481</v>
      </c>
      <c r="I55" s="59" t="str">
        <f>IF(COUNTIF('Active Employees'!B:B, B55)&gt;0,"Y","N")</f>
        <v>Y</v>
      </c>
    </row>
    <row r="56">
      <c r="A56" s="58" t="s">
        <v>3482</v>
      </c>
      <c r="B56" s="58" t="s">
        <v>366</v>
      </c>
      <c r="C56" s="58" t="s">
        <v>3355</v>
      </c>
      <c r="D56" s="58" t="s">
        <v>3353</v>
      </c>
      <c r="E56" s="58" t="s">
        <v>3391</v>
      </c>
      <c r="F56" s="58" t="s">
        <v>3483</v>
      </c>
      <c r="I56" s="59" t="str">
        <f>IF(COUNTIF('Active Employees'!B:B, B56)&gt;0,"Y","N")</f>
        <v>Y</v>
      </c>
    </row>
    <row r="57">
      <c r="A57" s="58" t="s">
        <v>3484</v>
      </c>
      <c r="B57" s="58" t="s">
        <v>1113</v>
      </c>
      <c r="C57" s="58" t="s">
        <v>3340</v>
      </c>
      <c r="D57" s="58" t="s">
        <v>3485</v>
      </c>
      <c r="E57" s="58" t="s">
        <v>3486</v>
      </c>
      <c r="F57" s="58" t="s">
        <v>3487</v>
      </c>
      <c r="I57" s="59" t="str">
        <f>IF(COUNTIF('Active Employees'!B:B, B57)&gt;0,"Y","N")</f>
        <v>Y</v>
      </c>
    </row>
    <row r="58">
      <c r="A58" s="58" t="s">
        <v>3488</v>
      </c>
      <c r="B58" s="58" t="s">
        <v>1269</v>
      </c>
      <c r="C58" s="58" t="s">
        <v>3340</v>
      </c>
      <c r="D58" s="58" t="s">
        <v>3353</v>
      </c>
      <c r="E58" s="58" t="s">
        <v>3426</v>
      </c>
      <c r="F58" s="58" t="s">
        <v>3489</v>
      </c>
      <c r="I58" s="59" t="str">
        <f>IF(COUNTIF('Active Employees'!B:B, B58)&gt;0,"Y","N")</f>
        <v>Y</v>
      </c>
    </row>
    <row r="59">
      <c r="A59" s="58" t="s">
        <v>3490</v>
      </c>
      <c r="B59" s="58" t="s">
        <v>3491</v>
      </c>
      <c r="C59" s="58" t="s">
        <v>3492</v>
      </c>
      <c r="D59" s="58" t="s">
        <v>3342</v>
      </c>
      <c r="E59" s="58" t="s">
        <v>3342</v>
      </c>
      <c r="F59" s="58" t="s">
        <v>3493</v>
      </c>
      <c r="H59" s="49" t="s">
        <v>3374</v>
      </c>
      <c r="I59" s="59" t="str">
        <f>IF(COUNTIF('Active Employees'!B:B, B59)&gt;0,"Y","N")</f>
        <v>N</v>
      </c>
      <c r="J59" s="49" t="s">
        <v>3375</v>
      </c>
    </row>
    <row r="60">
      <c r="A60" s="58" t="s">
        <v>3494</v>
      </c>
      <c r="B60" s="58" t="s">
        <v>38</v>
      </c>
      <c r="C60" s="58" t="s">
        <v>3492</v>
      </c>
      <c r="D60" s="58" t="s">
        <v>3353</v>
      </c>
      <c r="E60" s="58" t="s">
        <v>3353</v>
      </c>
      <c r="F60" s="58" t="s">
        <v>3495</v>
      </c>
      <c r="I60" s="59" t="str">
        <f>IF(COUNTIF('Active Employees'!B:B, B60)&gt;0,"Y","N")</f>
        <v>Y</v>
      </c>
    </row>
    <row r="61">
      <c r="A61" s="58" t="s">
        <v>3496</v>
      </c>
      <c r="B61" s="58" t="s">
        <v>856</v>
      </c>
      <c r="C61" s="58" t="s">
        <v>3340</v>
      </c>
      <c r="D61" s="58" t="s">
        <v>3341</v>
      </c>
      <c r="E61" s="58" t="s">
        <v>3341</v>
      </c>
      <c r="F61" s="58" t="s">
        <v>3497</v>
      </c>
      <c r="I61" s="59" t="str">
        <f>IF(COUNTIF('Active Employees'!B:B, B61)&gt;0,"Y","N")</f>
        <v>Y</v>
      </c>
    </row>
    <row r="62">
      <c r="A62" s="58" t="s">
        <v>3498</v>
      </c>
      <c r="B62" s="58" t="s">
        <v>564</v>
      </c>
      <c r="C62" s="58" t="s">
        <v>3492</v>
      </c>
      <c r="D62" s="58" t="s">
        <v>3342</v>
      </c>
      <c r="E62" s="58" t="s">
        <v>3499</v>
      </c>
      <c r="F62" s="58" t="s">
        <v>3500</v>
      </c>
      <c r="I62" s="59" t="str">
        <f>IF(COUNTIF('Active Employees'!B:B, B62)&gt;0,"Y","N")</f>
        <v>Y</v>
      </c>
    </row>
    <row r="63">
      <c r="A63" s="58" t="s">
        <v>3501</v>
      </c>
      <c r="B63" s="58" t="s">
        <v>386</v>
      </c>
      <c r="C63" s="58" t="s">
        <v>3355</v>
      </c>
      <c r="D63" s="58" t="s">
        <v>3353</v>
      </c>
      <c r="E63" s="58" t="s">
        <v>3353</v>
      </c>
      <c r="F63" s="58" t="s">
        <v>3502</v>
      </c>
      <c r="I63" s="59" t="str">
        <f>IF(COUNTIF('Active Employees'!B:B, B63)&gt;0,"Y","N")</f>
        <v>Y</v>
      </c>
    </row>
    <row r="64">
      <c r="A64" s="58" t="s">
        <v>3503</v>
      </c>
      <c r="B64" s="58" t="s">
        <v>3196</v>
      </c>
      <c r="C64" s="58" t="s">
        <v>3340</v>
      </c>
      <c r="D64" s="58" t="s">
        <v>3372</v>
      </c>
      <c r="E64" s="58" t="s">
        <v>3372</v>
      </c>
      <c r="F64" s="58" t="s">
        <v>3504</v>
      </c>
      <c r="H64" s="49" t="s">
        <v>3374</v>
      </c>
      <c r="I64" s="59" t="str">
        <f>IF(COUNTIF('Active Employees'!B:B, B64)&gt;0,"Y","N")</f>
        <v>N</v>
      </c>
      <c r="J64" s="49" t="s">
        <v>3375</v>
      </c>
    </row>
    <row r="65">
      <c r="A65" s="58" t="s">
        <v>3505</v>
      </c>
      <c r="B65" s="58" t="s">
        <v>214</v>
      </c>
      <c r="C65" s="58" t="s">
        <v>3340</v>
      </c>
      <c r="D65" s="58" t="s">
        <v>3353</v>
      </c>
      <c r="E65" s="58" t="s">
        <v>3506</v>
      </c>
      <c r="F65" s="58" t="s">
        <v>3507</v>
      </c>
      <c r="I65" s="59" t="str">
        <f>IF(COUNTIF('Active Employees'!B:B, B65)&gt;0,"Y","N")</f>
        <v>Y</v>
      </c>
    </row>
    <row r="66">
      <c r="A66" s="58" t="s">
        <v>3508</v>
      </c>
      <c r="B66" s="58" t="s">
        <v>645</v>
      </c>
      <c r="C66" s="58" t="s">
        <v>3340</v>
      </c>
      <c r="D66" s="58" t="s">
        <v>3509</v>
      </c>
      <c r="E66" s="58" t="s">
        <v>3510</v>
      </c>
      <c r="F66" s="58" t="s">
        <v>3511</v>
      </c>
      <c r="I66" s="59" t="str">
        <f>IF(COUNTIF('Active Employees'!B:B, B66)&gt;0,"Y","N")</f>
        <v>Y</v>
      </c>
    </row>
    <row r="67">
      <c r="A67" s="58" t="s">
        <v>3512</v>
      </c>
      <c r="B67" s="58" t="s">
        <v>732</v>
      </c>
      <c r="C67" s="58" t="s">
        <v>3340</v>
      </c>
      <c r="D67" s="58" t="s">
        <v>3353</v>
      </c>
      <c r="E67" s="58" t="s">
        <v>3353</v>
      </c>
      <c r="F67" s="58" t="s">
        <v>3513</v>
      </c>
      <c r="I67" s="59" t="str">
        <f>IF(COUNTIF('Active Employees'!B:B, B67)&gt;0,"Y","N")</f>
        <v>Y</v>
      </c>
    </row>
    <row r="68">
      <c r="A68" s="58" t="s">
        <v>3514</v>
      </c>
      <c r="B68" s="58" t="s">
        <v>1159</v>
      </c>
      <c r="C68" s="58" t="s">
        <v>3340</v>
      </c>
      <c r="D68" s="58" t="s">
        <v>3383</v>
      </c>
      <c r="E68" s="58" t="s">
        <v>3515</v>
      </c>
      <c r="F68" s="58" t="s">
        <v>3516</v>
      </c>
      <c r="I68" s="59" t="str">
        <f>IF(COUNTIF('Active Employees'!B:B, B68)&gt;0,"Y","N")</f>
        <v>Y</v>
      </c>
    </row>
    <row r="69">
      <c r="A69" s="58" t="s">
        <v>3517</v>
      </c>
      <c r="B69" s="58" t="s">
        <v>592</v>
      </c>
      <c r="C69" s="58" t="s">
        <v>3340</v>
      </c>
      <c r="D69" s="58" t="s">
        <v>3353</v>
      </c>
      <c r="E69" s="58" t="s">
        <v>3518</v>
      </c>
      <c r="F69" s="58" t="s">
        <v>3519</v>
      </c>
      <c r="I69" s="59" t="str">
        <f>IF(COUNTIF('Active Employees'!B:B, B69)&gt;0,"Y","N")</f>
        <v>Y</v>
      </c>
    </row>
    <row r="70">
      <c r="A70" s="58" t="s">
        <v>3520</v>
      </c>
      <c r="B70" s="58" t="s">
        <v>1328</v>
      </c>
      <c r="C70" s="58" t="s">
        <v>3340</v>
      </c>
      <c r="D70" s="58" t="s">
        <v>3434</v>
      </c>
      <c r="E70" s="58" t="s">
        <v>3521</v>
      </c>
      <c r="F70" s="58" t="s">
        <v>3522</v>
      </c>
      <c r="I70" s="59" t="str">
        <f>IF(COUNTIF('Active Employees'!B:B, B70)&gt;0,"Y","N")</f>
        <v>Y</v>
      </c>
    </row>
    <row r="71">
      <c r="A71" s="58" t="s">
        <v>3523</v>
      </c>
      <c r="B71" s="58" t="s">
        <v>869</v>
      </c>
      <c r="C71" s="58" t="s">
        <v>3492</v>
      </c>
      <c r="D71" s="58" t="s">
        <v>3342</v>
      </c>
      <c r="E71" s="58" t="s">
        <v>3426</v>
      </c>
      <c r="F71" s="58" t="s">
        <v>3524</v>
      </c>
      <c r="I71" s="59" t="str">
        <f>IF(COUNTIF('Active Employees'!B:B, B71)&gt;0,"Y","N")</f>
        <v>Y</v>
      </c>
    </row>
    <row r="72">
      <c r="A72" s="58" t="s">
        <v>3525</v>
      </c>
      <c r="B72" s="58" t="s">
        <v>671</v>
      </c>
      <c r="C72" s="58" t="s">
        <v>3340</v>
      </c>
      <c r="D72" s="58" t="s">
        <v>3526</v>
      </c>
      <c r="E72" s="58" t="s">
        <v>3383</v>
      </c>
      <c r="F72" s="58" t="s">
        <v>3527</v>
      </c>
      <c r="I72" s="59" t="str">
        <f>IF(COUNTIF('Active Employees'!B:B, B72)&gt;0,"Y","N")</f>
        <v>Y</v>
      </c>
    </row>
    <row r="73">
      <c r="A73" s="58" t="s">
        <v>3528</v>
      </c>
      <c r="B73" s="58" t="s">
        <v>695</v>
      </c>
      <c r="C73" s="58" t="s">
        <v>3340</v>
      </c>
      <c r="D73" s="58" t="s">
        <v>3529</v>
      </c>
      <c r="E73" s="58" t="s">
        <v>3530</v>
      </c>
      <c r="F73" s="58" t="s">
        <v>3531</v>
      </c>
      <c r="I73" s="59" t="str">
        <f>IF(COUNTIF('Active Employees'!B:B, B73)&gt;0,"Y","N")</f>
        <v>Y</v>
      </c>
    </row>
    <row r="74">
      <c r="A74" s="58" t="s">
        <v>3532</v>
      </c>
      <c r="B74" s="58" t="s">
        <v>3533</v>
      </c>
      <c r="C74" s="58" t="s">
        <v>3340</v>
      </c>
      <c r="D74" s="58" t="s">
        <v>3534</v>
      </c>
      <c r="E74" s="58" t="s">
        <v>3535</v>
      </c>
      <c r="F74" s="58" t="s">
        <v>3536</v>
      </c>
      <c r="H74" s="49" t="s">
        <v>3343</v>
      </c>
      <c r="I74" s="59" t="str">
        <f>IF(COUNTIF('Active Employees'!B:B, B74)&gt;0,"Y","N")</f>
        <v>N</v>
      </c>
      <c r="J74" s="49" t="s">
        <v>3398</v>
      </c>
    </row>
    <row r="75">
      <c r="A75" s="58" t="s">
        <v>3537</v>
      </c>
      <c r="B75" s="58" t="s">
        <v>1289</v>
      </c>
      <c r="C75" s="58" t="s">
        <v>3492</v>
      </c>
      <c r="D75" s="58" t="s">
        <v>3383</v>
      </c>
      <c r="E75" s="58" t="s">
        <v>3383</v>
      </c>
      <c r="F75" s="58" t="s">
        <v>3538</v>
      </c>
      <c r="I75" s="59" t="str">
        <f>IF(COUNTIF('Active Employees'!B:B, B75)&gt;0,"Y","N")</f>
        <v>Y</v>
      </c>
    </row>
    <row r="76">
      <c r="A76" s="58" t="s">
        <v>3539</v>
      </c>
      <c r="B76" s="58" t="s">
        <v>146</v>
      </c>
      <c r="C76" s="58" t="s">
        <v>3340</v>
      </c>
      <c r="D76" s="58" t="s">
        <v>3353</v>
      </c>
      <c r="E76" s="58" t="s">
        <v>3353</v>
      </c>
      <c r="F76" s="58" t="s">
        <v>3540</v>
      </c>
      <c r="I76" s="59" t="str">
        <f>IF(COUNTIF('Active Employees'!B:B, B76)&gt;0,"Y","N")</f>
        <v>Y</v>
      </c>
    </row>
    <row r="77">
      <c r="A77" s="58" t="s">
        <v>3541</v>
      </c>
      <c r="B77" s="58" t="s">
        <v>709</v>
      </c>
      <c r="C77" s="58" t="s">
        <v>3340</v>
      </c>
      <c r="D77" s="58" t="s">
        <v>3383</v>
      </c>
      <c r="E77" s="58" t="s">
        <v>3542</v>
      </c>
      <c r="F77" s="58" t="s">
        <v>3543</v>
      </c>
      <c r="I77" s="59" t="str">
        <f>IF(COUNTIF('Active Employees'!B:B, B77)&gt;0,"Y","N")</f>
        <v>Y</v>
      </c>
    </row>
    <row r="78">
      <c r="A78" s="58" t="s">
        <v>3544</v>
      </c>
      <c r="B78" s="58" t="s">
        <v>1185</v>
      </c>
      <c r="C78" s="58" t="s">
        <v>3340</v>
      </c>
      <c r="D78" s="58" t="s">
        <v>3353</v>
      </c>
      <c r="E78" s="58" t="s">
        <v>3545</v>
      </c>
      <c r="F78" s="58" t="s">
        <v>3546</v>
      </c>
      <c r="I78" s="59" t="str">
        <f>IF(COUNTIF('Active Employees'!B:B, B78)&gt;0,"Y","N")</f>
        <v>Y</v>
      </c>
    </row>
    <row r="79">
      <c r="A79" s="58" t="s">
        <v>3547</v>
      </c>
      <c r="B79" s="58" t="s">
        <v>1431</v>
      </c>
      <c r="C79" s="58" t="s">
        <v>3352</v>
      </c>
      <c r="D79" s="58" t="s">
        <v>3341</v>
      </c>
      <c r="E79" s="58" t="s">
        <v>3548</v>
      </c>
      <c r="F79" s="58" t="s">
        <v>3549</v>
      </c>
      <c r="I79" s="59" t="str">
        <f>IF(COUNTIF('Active Employees'!B:B, B79)&gt;0,"Y","N")</f>
        <v>Y</v>
      </c>
    </row>
    <row r="80">
      <c r="A80" s="58" t="s">
        <v>3550</v>
      </c>
      <c r="B80" s="58" t="s">
        <v>1084</v>
      </c>
      <c r="C80" s="58" t="s">
        <v>3492</v>
      </c>
      <c r="D80" s="58" t="s">
        <v>3551</v>
      </c>
      <c r="E80" s="58" t="s">
        <v>3551</v>
      </c>
      <c r="F80" s="58" t="s">
        <v>3552</v>
      </c>
      <c r="I80" s="59" t="str">
        <f>IF(COUNTIF('Active Employees'!B:B, B80)&gt;0,"Y","N")</f>
        <v>Y</v>
      </c>
    </row>
    <row r="81">
      <c r="A81" s="58" t="s">
        <v>3553</v>
      </c>
      <c r="B81" s="58" t="s">
        <v>626</v>
      </c>
      <c r="C81" s="58" t="s">
        <v>3340</v>
      </c>
      <c r="D81" s="58" t="s">
        <v>3341</v>
      </c>
      <c r="E81" s="58" t="s">
        <v>3554</v>
      </c>
      <c r="F81" s="58" t="s">
        <v>3555</v>
      </c>
      <c r="I81" s="59" t="str">
        <f>IF(COUNTIF('Active Employees'!B:B, B81)&gt;0,"Y","N")</f>
        <v>Y</v>
      </c>
    </row>
    <row r="82">
      <c r="A82" s="58" t="s">
        <v>3556</v>
      </c>
      <c r="B82" s="58" t="s">
        <v>615</v>
      </c>
      <c r="C82" s="58" t="s">
        <v>3340</v>
      </c>
      <c r="D82" s="58" t="s">
        <v>3534</v>
      </c>
      <c r="E82" s="58" t="s">
        <v>3557</v>
      </c>
      <c r="F82" s="58" t="s">
        <v>3558</v>
      </c>
      <c r="I82" s="59" t="str">
        <f>IF(COUNTIF('Active Employees'!B:B, B82)&gt;0,"Y","N")</f>
        <v>Y</v>
      </c>
    </row>
    <row r="83">
      <c r="A83" s="58" t="s">
        <v>3559</v>
      </c>
      <c r="B83" s="58" t="s">
        <v>1445</v>
      </c>
      <c r="C83" s="58" t="s">
        <v>3340</v>
      </c>
      <c r="D83" s="58" t="s">
        <v>3560</v>
      </c>
      <c r="E83" s="58" t="s">
        <v>3561</v>
      </c>
      <c r="F83" s="58" t="s">
        <v>3562</v>
      </c>
      <c r="I83" s="59" t="str">
        <f>IF(COUNTIF('Active Employees'!B:B, B83)&gt;0,"Y","N")</f>
        <v>Y</v>
      </c>
    </row>
    <row r="84">
      <c r="A84" s="58" t="s">
        <v>3563</v>
      </c>
      <c r="B84" s="58" t="s">
        <v>1048</v>
      </c>
      <c r="C84" s="58" t="s">
        <v>3492</v>
      </c>
      <c r="D84" s="58" t="s">
        <v>3434</v>
      </c>
      <c r="E84" s="58" t="s">
        <v>3564</v>
      </c>
      <c r="F84" s="58" t="s">
        <v>3565</v>
      </c>
      <c r="I84" s="59" t="str">
        <f>IF(COUNTIF('Active Employees'!B:B, B84)&gt;0,"Y","N")</f>
        <v>Y</v>
      </c>
    </row>
    <row r="85">
      <c r="A85" s="58" t="s">
        <v>3566</v>
      </c>
      <c r="B85" s="58" t="s">
        <v>1062</v>
      </c>
      <c r="C85" s="58" t="s">
        <v>3340</v>
      </c>
      <c r="D85" s="58" t="s">
        <v>3341</v>
      </c>
      <c r="E85" s="58" t="s">
        <v>3548</v>
      </c>
      <c r="F85" s="58" t="s">
        <v>3567</v>
      </c>
      <c r="I85" s="59" t="str">
        <f>IF(COUNTIF('Active Employees'!B:B, B85)&gt;0,"Y","N")</f>
        <v>Y</v>
      </c>
    </row>
    <row r="86">
      <c r="A86" s="58" t="s">
        <v>3568</v>
      </c>
      <c r="B86" s="58" t="s">
        <v>1380</v>
      </c>
      <c r="C86" s="58" t="s">
        <v>3492</v>
      </c>
      <c r="D86" s="58" t="s">
        <v>3569</v>
      </c>
      <c r="E86" s="58" t="s">
        <v>3353</v>
      </c>
      <c r="F86" s="58" t="s">
        <v>3570</v>
      </c>
      <c r="I86" s="59" t="str">
        <f>IF(COUNTIF('Active Employees'!B:B, B86)&gt;0,"Y","N")</f>
        <v>Y</v>
      </c>
    </row>
    <row r="87">
      <c r="A87" s="58" t="s">
        <v>3571</v>
      </c>
      <c r="B87" s="58" t="s">
        <v>794</v>
      </c>
      <c r="C87" s="58" t="s">
        <v>3340</v>
      </c>
      <c r="D87" s="58" t="s">
        <v>3534</v>
      </c>
      <c r="E87" s="58" t="s">
        <v>3572</v>
      </c>
      <c r="F87" s="58" t="s">
        <v>3573</v>
      </c>
      <c r="I87" s="59" t="str">
        <f>IF(COUNTIF('Active Employees'!B:B, B87)&gt;0,"Y","N")</f>
        <v>Y</v>
      </c>
    </row>
    <row r="88">
      <c r="A88" s="58" t="s">
        <v>3574</v>
      </c>
      <c r="B88" s="58" t="s">
        <v>1006</v>
      </c>
      <c r="C88" s="58" t="s">
        <v>3492</v>
      </c>
      <c r="D88" s="58" t="s">
        <v>3383</v>
      </c>
      <c r="E88" s="58" t="s">
        <v>3575</v>
      </c>
      <c r="F88" s="58" t="s">
        <v>3576</v>
      </c>
      <c r="I88" s="59" t="str">
        <f>IF(COUNTIF('Active Employees'!B:B, B88)&gt;0,"Y","N")</f>
        <v>Y</v>
      </c>
    </row>
    <row r="89">
      <c r="A89" s="58" t="s">
        <v>3577</v>
      </c>
      <c r="B89" s="58" t="s">
        <v>421</v>
      </c>
      <c r="C89" s="58" t="s">
        <v>3340</v>
      </c>
      <c r="D89" s="58" t="s">
        <v>3383</v>
      </c>
      <c r="E89" s="58" t="s">
        <v>3578</v>
      </c>
      <c r="F89" s="58" t="s">
        <v>3579</v>
      </c>
      <c r="I89" s="59" t="str">
        <f>IF(COUNTIF('Active Employees'!B:B, B89)&gt;0,"Y","N")</f>
        <v>Y</v>
      </c>
    </row>
    <row r="90">
      <c r="A90" s="58" t="s">
        <v>3580</v>
      </c>
      <c r="B90" s="58" t="s">
        <v>921</v>
      </c>
      <c r="C90" s="58" t="s">
        <v>3340</v>
      </c>
      <c r="D90" s="58" t="s">
        <v>3499</v>
      </c>
      <c r="E90" s="58" t="s">
        <v>3518</v>
      </c>
      <c r="F90" s="58" t="s">
        <v>3581</v>
      </c>
      <c r="I90" s="59" t="str">
        <f>IF(COUNTIF('Active Employees'!B:B, B90)&gt;0,"Y","N")</f>
        <v>Y</v>
      </c>
    </row>
    <row r="91">
      <c r="A91" s="58" t="s">
        <v>3582</v>
      </c>
      <c r="B91" s="58" t="s">
        <v>1155</v>
      </c>
      <c r="C91" s="58" t="s">
        <v>3340</v>
      </c>
      <c r="D91" s="58" t="s">
        <v>3529</v>
      </c>
      <c r="E91" s="58" t="s">
        <v>3583</v>
      </c>
      <c r="F91" s="58" t="s">
        <v>3584</v>
      </c>
      <c r="I91" s="59" t="str">
        <f>IF(COUNTIF('Active Employees'!B:B, B91)&gt;0,"Y","N")</f>
        <v>Y</v>
      </c>
    </row>
    <row r="92">
      <c r="A92" s="58" t="s">
        <v>3585</v>
      </c>
      <c r="B92" s="58" t="s">
        <v>1074</v>
      </c>
      <c r="C92" s="58" t="s">
        <v>3340</v>
      </c>
      <c r="D92" s="58" t="s">
        <v>3341</v>
      </c>
      <c r="E92" s="58" t="s">
        <v>3586</v>
      </c>
      <c r="F92" s="58" t="s">
        <v>3587</v>
      </c>
      <c r="I92" s="59" t="str">
        <f>IF(COUNTIF('Active Employees'!B:B, B92)&gt;0,"Y","N")</f>
        <v>Y</v>
      </c>
    </row>
    <row r="93">
      <c r="A93" s="58" t="s">
        <v>3588</v>
      </c>
      <c r="B93" s="58" t="s">
        <v>1034</v>
      </c>
      <c r="C93" s="58" t="s">
        <v>3340</v>
      </c>
      <c r="D93" s="58" t="s">
        <v>3589</v>
      </c>
      <c r="E93" s="58" t="s">
        <v>3590</v>
      </c>
      <c r="F93" s="58" t="s">
        <v>3591</v>
      </c>
      <c r="I93" s="59" t="str">
        <f>IF(COUNTIF('Active Employees'!B:B, B93)&gt;0,"Y","N")</f>
        <v>Y</v>
      </c>
    </row>
    <row r="94">
      <c r="A94" s="58" t="s">
        <v>3592</v>
      </c>
      <c r="B94" s="58" t="s">
        <v>606</v>
      </c>
      <c r="C94" s="58" t="s">
        <v>3340</v>
      </c>
      <c r="D94" s="58" t="s">
        <v>3499</v>
      </c>
      <c r="E94" s="58" t="s">
        <v>3518</v>
      </c>
      <c r="F94" s="58" t="s">
        <v>3593</v>
      </c>
      <c r="I94" s="59" t="str">
        <f>IF(COUNTIF('Active Employees'!B:B, B94)&gt;0,"Y","N")</f>
        <v>Y</v>
      </c>
    </row>
    <row r="95">
      <c r="A95" s="58" t="s">
        <v>3594</v>
      </c>
      <c r="B95" s="58" t="s">
        <v>1163</v>
      </c>
      <c r="C95" s="58" t="s">
        <v>3340</v>
      </c>
      <c r="D95" s="58" t="s">
        <v>3372</v>
      </c>
      <c r="E95" s="58" t="s">
        <v>3372</v>
      </c>
      <c r="F95" s="58" t="s">
        <v>3595</v>
      </c>
      <c r="I95" s="59" t="str">
        <f>IF(COUNTIF('Active Employees'!B:B, B95)&gt;0,"Y","N")</f>
        <v>Y</v>
      </c>
    </row>
    <row r="96">
      <c r="A96" s="58" t="s">
        <v>3596</v>
      </c>
      <c r="B96" s="58" t="s">
        <v>932</v>
      </c>
      <c r="C96" s="58" t="s">
        <v>3492</v>
      </c>
      <c r="D96" s="58" t="s">
        <v>3589</v>
      </c>
      <c r="E96" s="58" t="s">
        <v>3597</v>
      </c>
      <c r="F96" s="58" t="s">
        <v>3598</v>
      </c>
      <c r="I96" s="59" t="str">
        <f>IF(COUNTIF('Active Employees'!B:B, B96)&gt;0,"Y","N")</f>
        <v>Y</v>
      </c>
    </row>
    <row r="97">
      <c r="A97" s="58" t="s">
        <v>3599</v>
      </c>
      <c r="B97" s="58" t="s">
        <v>3324</v>
      </c>
      <c r="C97" s="58" t="s">
        <v>3340</v>
      </c>
      <c r="D97" s="58" t="s">
        <v>3372</v>
      </c>
      <c r="E97" s="58" t="s">
        <v>3372</v>
      </c>
      <c r="F97" s="58" t="s">
        <v>3600</v>
      </c>
      <c r="H97" s="49" t="s">
        <v>3374</v>
      </c>
      <c r="I97" s="59" t="str">
        <f>IF(COUNTIF('Active Employees'!B:B, B97)&gt;0,"Y","N")</f>
        <v>N</v>
      </c>
      <c r="J97" s="49" t="s">
        <v>3375</v>
      </c>
    </row>
    <row r="98">
      <c r="A98" s="58" t="s">
        <v>3601</v>
      </c>
      <c r="B98" s="58" t="s">
        <v>1416</v>
      </c>
      <c r="C98" s="58" t="s">
        <v>3340</v>
      </c>
      <c r="D98" s="58" t="s">
        <v>3341</v>
      </c>
      <c r="E98" s="58" t="s">
        <v>3602</v>
      </c>
      <c r="F98" s="58" t="s">
        <v>3603</v>
      </c>
      <c r="I98" s="59" t="str">
        <f>IF(COUNTIF('Active Employees'!B:B, B98)&gt;0,"Y","N")</f>
        <v>Y</v>
      </c>
    </row>
    <row r="99">
      <c r="A99" s="58" t="s">
        <v>3604</v>
      </c>
      <c r="B99" s="58" t="s">
        <v>60</v>
      </c>
      <c r="C99" s="58" t="s">
        <v>3492</v>
      </c>
      <c r="D99" s="58" t="s">
        <v>3347</v>
      </c>
      <c r="E99" s="58" t="s">
        <v>3426</v>
      </c>
      <c r="F99" s="58" t="s">
        <v>3605</v>
      </c>
      <c r="I99" s="59" t="str">
        <f>IF(COUNTIF('Active Employees'!B:B, B99)&gt;0,"Y","N")</f>
        <v>Y</v>
      </c>
    </row>
    <row r="100">
      <c r="A100" s="58" t="s">
        <v>3606</v>
      </c>
      <c r="B100" s="58" t="s">
        <v>298</v>
      </c>
      <c r="C100" s="58" t="s">
        <v>3492</v>
      </c>
      <c r="D100" s="58" t="s">
        <v>3341</v>
      </c>
      <c r="E100" s="58" t="s">
        <v>3341</v>
      </c>
      <c r="F100" s="58" t="s">
        <v>3607</v>
      </c>
      <c r="I100" s="59" t="str">
        <f>IF(COUNTIF('Active Employees'!B:B, B100)&gt;0,"Y","N")</f>
        <v>Y</v>
      </c>
    </row>
    <row r="101">
      <c r="A101" s="58" t="s">
        <v>3608</v>
      </c>
      <c r="B101" s="58" t="s">
        <v>977</v>
      </c>
      <c r="C101" s="58" t="s">
        <v>3340</v>
      </c>
      <c r="D101" s="58" t="s">
        <v>3341</v>
      </c>
      <c r="E101" s="58" t="s">
        <v>3341</v>
      </c>
      <c r="F101" s="58" t="s">
        <v>3609</v>
      </c>
      <c r="I101" s="59" t="str">
        <f>IF(COUNTIF('Active Employees'!B:B, B101)&gt;0,"Y","N")</f>
        <v>Y</v>
      </c>
    </row>
    <row r="102">
      <c r="A102" s="58" t="s">
        <v>3610</v>
      </c>
      <c r="B102" s="58" t="s">
        <v>1139</v>
      </c>
      <c r="C102" s="58" t="s">
        <v>3492</v>
      </c>
      <c r="D102" s="58" t="s">
        <v>3534</v>
      </c>
      <c r="E102" s="58" t="s">
        <v>3611</v>
      </c>
      <c r="F102" s="58" t="s">
        <v>3612</v>
      </c>
      <c r="I102" s="59" t="str">
        <f>IF(COUNTIF('Active Employees'!B:B, B102)&gt;0,"Y","N")</f>
        <v>Y</v>
      </c>
    </row>
    <row r="103">
      <c r="A103" s="58" t="s">
        <v>3613</v>
      </c>
      <c r="B103" s="58" t="s">
        <v>919</v>
      </c>
      <c r="C103" s="58" t="s">
        <v>3340</v>
      </c>
      <c r="D103" s="58" t="s">
        <v>3614</v>
      </c>
      <c r="E103" s="58" t="s">
        <v>3614</v>
      </c>
      <c r="F103" s="58" t="s">
        <v>3615</v>
      </c>
      <c r="I103" s="59" t="str">
        <f>IF(COUNTIF('Active Employees'!B:B, B103)&gt;0,"Y","N")</f>
        <v>Y</v>
      </c>
    </row>
    <row r="104">
      <c r="A104" s="58" t="s">
        <v>3616</v>
      </c>
      <c r="B104" s="58" t="s">
        <v>1132</v>
      </c>
      <c r="C104" s="58" t="s">
        <v>3340</v>
      </c>
      <c r="D104" s="58" t="s">
        <v>3353</v>
      </c>
      <c r="E104" s="58" t="s">
        <v>3617</v>
      </c>
      <c r="F104" s="58" t="s">
        <v>3618</v>
      </c>
      <c r="I104" s="59" t="str">
        <f>IF(COUNTIF('Active Employees'!B:B, B104)&gt;0,"Y","N")</f>
        <v>Y</v>
      </c>
    </row>
    <row r="105">
      <c r="A105" s="58" t="s">
        <v>3619</v>
      </c>
      <c r="B105" s="58" t="s">
        <v>594</v>
      </c>
      <c r="C105" s="58" t="s">
        <v>3340</v>
      </c>
      <c r="D105" s="58" t="s">
        <v>3534</v>
      </c>
      <c r="E105" s="58" t="s">
        <v>3620</v>
      </c>
      <c r="F105" s="58" t="s">
        <v>3621</v>
      </c>
      <c r="I105" s="59" t="str">
        <f>IF(COUNTIF('Active Employees'!B:B, B105)&gt;0,"Y","N")</f>
        <v>Y</v>
      </c>
    </row>
    <row r="106">
      <c r="A106" s="58" t="s">
        <v>3622</v>
      </c>
      <c r="B106" s="58" t="s">
        <v>1214</v>
      </c>
      <c r="C106" s="58" t="s">
        <v>3340</v>
      </c>
      <c r="D106" s="58" t="s">
        <v>3383</v>
      </c>
      <c r="E106" s="58" t="s">
        <v>3383</v>
      </c>
      <c r="F106" s="58" t="s">
        <v>3623</v>
      </c>
      <c r="I106" s="59" t="str">
        <f>IF(COUNTIF('Active Employees'!B:B, B106)&gt;0,"Y","N")</f>
        <v>Y</v>
      </c>
    </row>
    <row r="107">
      <c r="A107" s="58" t="s">
        <v>3624</v>
      </c>
      <c r="B107" s="58" t="s">
        <v>1399</v>
      </c>
      <c r="C107" s="58" t="s">
        <v>3340</v>
      </c>
      <c r="D107" s="58" t="s">
        <v>3480</v>
      </c>
      <c r="E107" s="58" t="s">
        <v>3625</v>
      </c>
      <c r="F107" s="58" t="s">
        <v>3626</v>
      </c>
      <c r="I107" s="59" t="str">
        <f>IF(COUNTIF('Active Employees'!B:B, B107)&gt;0,"Y","N")</f>
        <v>Y</v>
      </c>
    </row>
    <row r="108">
      <c r="A108" s="58" t="s">
        <v>3627</v>
      </c>
      <c r="B108" s="58" t="s">
        <v>1271</v>
      </c>
      <c r="C108" s="58" t="s">
        <v>3340</v>
      </c>
      <c r="D108" s="58" t="s">
        <v>3341</v>
      </c>
      <c r="E108" s="58" t="s">
        <v>3602</v>
      </c>
      <c r="F108" s="58" t="s">
        <v>3628</v>
      </c>
      <c r="I108" s="59" t="str">
        <f>IF(COUNTIF('Active Employees'!B:B, B108)&gt;0,"Y","N")</f>
        <v>Y</v>
      </c>
    </row>
    <row r="109">
      <c r="A109" s="58" t="s">
        <v>3629</v>
      </c>
      <c r="B109" s="58" t="s">
        <v>3630</v>
      </c>
      <c r="C109" s="58" t="s">
        <v>3340</v>
      </c>
      <c r="D109" s="58" t="s">
        <v>3341</v>
      </c>
      <c r="E109" s="58" t="s">
        <v>3631</v>
      </c>
      <c r="F109" s="58" t="s">
        <v>3632</v>
      </c>
      <c r="I109" s="59" t="str">
        <f>IF(COUNTIF('Active Employees'!B:B, B109)&gt;0,"Y","N")</f>
        <v>Y</v>
      </c>
    </row>
    <row r="110">
      <c r="A110" s="58" t="s">
        <v>3633</v>
      </c>
      <c r="B110" s="58" t="s">
        <v>893</v>
      </c>
      <c r="C110" s="58" t="s">
        <v>3340</v>
      </c>
      <c r="D110" s="58" t="s">
        <v>3341</v>
      </c>
      <c r="E110" s="58" t="s">
        <v>3634</v>
      </c>
      <c r="F110" s="58" t="s">
        <v>3635</v>
      </c>
      <c r="I110" s="59" t="str">
        <f>IF(COUNTIF('Active Employees'!B:B, B110)&gt;0,"Y","N")</f>
        <v>Y</v>
      </c>
    </row>
    <row r="111">
      <c r="A111" s="58" t="s">
        <v>3636</v>
      </c>
      <c r="B111" s="58" t="s">
        <v>706</v>
      </c>
      <c r="C111" s="58" t="s">
        <v>3340</v>
      </c>
      <c r="D111" s="58" t="s">
        <v>3534</v>
      </c>
      <c r="E111" s="58" t="s">
        <v>3637</v>
      </c>
      <c r="F111" s="58" t="s">
        <v>3638</v>
      </c>
      <c r="I111" s="59" t="str">
        <f>IF(COUNTIF('Active Employees'!B:B, B111)&gt;0,"Y","N")</f>
        <v>Y</v>
      </c>
    </row>
    <row r="112">
      <c r="A112" s="58" t="s">
        <v>3639</v>
      </c>
      <c r="B112" s="58" t="s">
        <v>1125</v>
      </c>
      <c r="C112" s="58" t="s">
        <v>3340</v>
      </c>
      <c r="D112" s="58" t="s">
        <v>3353</v>
      </c>
      <c r="E112" s="58" t="s">
        <v>3506</v>
      </c>
      <c r="F112" s="58" t="s">
        <v>3640</v>
      </c>
      <c r="I112" s="59" t="str">
        <f>IF(COUNTIF('Active Employees'!B:B, B112)&gt;0,"Y","N")</f>
        <v>Y</v>
      </c>
    </row>
    <row r="113">
      <c r="A113" s="58" t="s">
        <v>3641</v>
      </c>
      <c r="B113" s="58" t="s">
        <v>884</v>
      </c>
      <c r="C113" s="58" t="s">
        <v>3340</v>
      </c>
      <c r="D113" s="58" t="s">
        <v>3341</v>
      </c>
      <c r="E113" s="58" t="s">
        <v>3341</v>
      </c>
      <c r="F113" s="58" t="s">
        <v>3642</v>
      </c>
      <c r="I113" s="59" t="str">
        <f>IF(COUNTIF('Active Employees'!B:B, B113)&gt;0,"Y","N")</f>
        <v>Y</v>
      </c>
    </row>
    <row r="114">
      <c r="A114" s="58" t="s">
        <v>3643</v>
      </c>
      <c r="B114" s="58" t="s">
        <v>853</v>
      </c>
      <c r="C114" s="58" t="s">
        <v>3340</v>
      </c>
      <c r="D114" s="58" t="s">
        <v>3341</v>
      </c>
      <c r="E114" s="58" t="s">
        <v>3341</v>
      </c>
      <c r="F114" s="58" t="s">
        <v>3644</v>
      </c>
      <c r="I114" s="59" t="str">
        <f>IF(COUNTIF('Active Employees'!B:B, B114)&gt;0,"Y","N")</f>
        <v>Y</v>
      </c>
    </row>
    <row r="115">
      <c r="A115" s="58" t="s">
        <v>3645</v>
      </c>
      <c r="B115" s="58" t="s">
        <v>426</v>
      </c>
      <c r="C115" s="58" t="s">
        <v>3492</v>
      </c>
      <c r="D115" s="58" t="s">
        <v>3534</v>
      </c>
      <c r="E115" s="58" t="s">
        <v>3646</v>
      </c>
      <c r="F115" s="58" t="s">
        <v>3647</v>
      </c>
      <c r="I115" s="59" t="str">
        <f>IF(COUNTIF('Active Employees'!B:B, B115)&gt;0,"Y","N")</f>
        <v>Y</v>
      </c>
    </row>
    <row r="116">
      <c r="A116" s="58" t="s">
        <v>3648</v>
      </c>
      <c r="B116" s="58" t="s">
        <v>43</v>
      </c>
      <c r="C116" s="58" t="s">
        <v>3340</v>
      </c>
      <c r="D116" s="58" t="s">
        <v>3649</v>
      </c>
      <c r="E116" s="58" t="s">
        <v>3650</v>
      </c>
      <c r="F116" s="58" t="s">
        <v>3651</v>
      </c>
      <c r="I116" s="59" t="str">
        <f>IF(COUNTIF('Active Employees'!B:B, B116)&gt;0,"Y","N")</f>
        <v>Y</v>
      </c>
    </row>
    <row r="117">
      <c r="A117" s="58" t="s">
        <v>3652</v>
      </c>
      <c r="B117" s="58" t="s">
        <v>1145</v>
      </c>
      <c r="C117" s="58" t="s">
        <v>3340</v>
      </c>
      <c r="D117" s="58" t="s">
        <v>3534</v>
      </c>
      <c r="E117" s="58" t="s">
        <v>3653</v>
      </c>
      <c r="F117" s="58"/>
      <c r="I117" s="59" t="str">
        <f>IF(COUNTIF('Active Employees'!B:B, B117)&gt;0,"Y","N")</f>
        <v>Y</v>
      </c>
      <c r="J117" s="49" t="s">
        <v>3654</v>
      </c>
    </row>
    <row r="118">
      <c r="A118" s="58" t="s">
        <v>3655</v>
      </c>
      <c r="B118" s="58" t="s">
        <v>3656</v>
      </c>
      <c r="C118" s="58" t="s">
        <v>3340</v>
      </c>
      <c r="D118" s="58" t="s">
        <v>3657</v>
      </c>
      <c r="E118" s="58" t="s">
        <v>3342</v>
      </c>
      <c r="F118" s="58"/>
      <c r="H118" s="49" t="s">
        <v>3374</v>
      </c>
      <c r="I118" s="59" t="str">
        <f>IF(COUNTIF('Active Employees'!B:B, B118)&gt;0,"Y","N")</f>
        <v>N</v>
      </c>
      <c r="J118" s="49" t="s">
        <v>3398</v>
      </c>
    </row>
    <row r="119">
      <c r="A119" s="58" t="s">
        <v>3658</v>
      </c>
      <c r="B119" s="58" t="s">
        <v>335</v>
      </c>
      <c r="C119" s="58" t="s">
        <v>3492</v>
      </c>
      <c r="D119" s="58" t="s">
        <v>3342</v>
      </c>
      <c r="E119" s="58" t="s">
        <v>3426</v>
      </c>
      <c r="F119" s="58"/>
      <c r="H119" s="49" t="s">
        <v>3343</v>
      </c>
      <c r="I119" s="59" t="str">
        <f>IF(COUNTIF('Active Employees'!B:B, B119)&gt;0,"Y","N")</f>
        <v>Y</v>
      </c>
      <c r="J119" s="49" t="s">
        <v>3344</v>
      </c>
    </row>
    <row r="120">
      <c r="A120" s="58" t="s">
        <v>3659</v>
      </c>
      <c r="B120" s="58" t="s">
        <v>1299</v>
      </c>
      <c r="C120" s="58" t="s">
        <v>3340</v>
      </c>
      <c r="D120" s="58" t="s">
        <v>3560</v>
      </c>
      <c r="E120" s="58" t="s">
        <v>3660</v>
      </c>
      <c r="F120" s="58"/>
      <c r="H120" s="49" t="s">
        <v>3343</v>
      </c>
      <c r="I120" s="59" t="str">
        <f>IF(COUNTIF('Active Employees'!B:B, B120)&gt;0,"Y","N")</f>
        <v>Y</v>
      </c>
      <c r="J120" s="49" t="s">
        <v>3344</v>
      </c>
    </row>
    <row r="121">
      <c r="A121" s="58" t="s">
        <v>3661</v>
      </c>
      <c r="B121" s="58" t="s">
        <v>285</v>
      </c>
      <c r="C121" s="58" t="s">
        <v>3352</v>
      </c>
      <c r="D121" s="58" t="s">
        <v>3434</v>
      </c>
      <c r="E121" s="58" t="s">
        <v>3342</v>
      </c>
      <c r="F121" s="58"/>
      <c r="H121" s="49" t="s">
        <v>3343</v>
      </c>
      <c r="I121" s="59" t="str">
        <f>IF(COUNTIF('Active Employees'!B:B, B121)&gt;0,"Y","N")</f>
        <v>Y</v>
      </c>
      <c r="J121" s="49" t="s">
        <v>3344</v>
      </c>
    </row>
    <row r="122">
      <c r="A122" s="58" t="s">
        <v>3662</v>
      </c>
      <c r="B122" s="58" t="s">
        <v>3663</v>
      </c>
      <c r="C122" s="58" t="s">
        <v>3492</v>
      </c>
      <c r="D122" s="58" t="s">
        <v>3342</v>
      </c>
      <c r="E122" s="58" t="s">
        <v>3342</v>
      </c>
      <c r="F122" s="58"/>
      <c r="H122" s="49" t="s">
        <v>3343</v>
      </c>
      <c r="I122" s="59" t="str">
        <f>IF(COUNTIF('Active Employees'!B:B, B122)&gt;0,"Y","N")</f>
        <v>N</v>
      </c>
      <c r="J122" s="49" t="s">
        <v>3398</v>
      </c>
    </row>
    <row r="123">
      <c r="A123" s="58" t="s">
        <v>3664</v>
      </c>
      <c r="B123" s="58" t="s">
        <v>652</v>
      </c>
      <c r="C123" s="58" t="s">
        <v>3492</v>
      </c>
      <c r="D123" s="58" t="s">
        <v>3342</v>
      </c>
      <c r="E123" s="58" t="s">
        <v>3342</v>
      </c>
      <c r="F123" s="58"/>
      <c r="H123" s="49" t="s">
        <v>3343</v>
      </c>
      <c r="I123" s="59" t="str">
        <f>IF(COUNTIF('Active Employees'!B:B, B123)&gt;0,"Y","N")</f>
        <v>Y</v>
      </c>
      <c r="J123" s="49" t="s">
        <v>3344</v>
      </c>
    </row>
    <row r="124">
      <c r="A124" s="58" t="s">
        <v>3665</v>
      </c>
      <c r="B124" s="58" t="s">
        <v>378</v>
      </c>
      <c r="C124" s="58" t="s">
        <v>3492</v>
      </c>
      <c r="D124" s="58" t="s">
        <v>3342</v>
      </c>
      <c r="E124" s="58" t="s">
        <v>3342</v>
      </c>
      <c r="F124" s="58"/>
      <c r="H124" s="49" t="s">
        <v>3343</v>
      </c>
      <c r="I124" s="59" t="str">
        <f>IF(COUNTIF('Active Employees'!B:B, B124)&gt;0,"Y","N")</f>
        <v>Y</v>
      </c>
      <c r="J124" s="49" t="s">
        <v>3344</v>
      </c>
    </row>
    <row r="125">
      <c r="A125" s="58" t="s">
        <v>3666</v>
      </c>
      <c r="B125" s="58" t="s">
        <v>3667</v>
      </c>
      <c r="C125" s="58" t="s">
        <v>3342</v>
      </c>
      <c r="D125" s="58" t="s">
        <v>3342</v>
      </c>
      <c r="E125" s="58" t="s">
        <v>3342</v>
      </c>
      <c r="F125" s="58"/>
      <c r="H125" s="49" t="s">
        <v>3374</v>
      </c>
      <c r="I125" s="59" t="str">
        <f>IF(COUNTIF('Active Employees'!B:B, B125)&gt;0,"Y","N")</f>
        <v>N</v>
      </c>
      <c r="J125" s="49" t="s">
        <v>3668</v>
      </c>
    </row>
    <row r="126">
      <c r="A126" s="58" t="s">
        <v>3669</v>
      </c>
      <c r="B126" s="58" t="s">
        <v>3670</v>
      </c>
      <c r="C126" s="58" t="s">
        <v>3340</v>
      </c>
      <c r="D126" s="58" t="s">
        <v>3657</v>
      </c>
      <c r="E126" s="58" t="s">
        <v>3342</v>
      </c>
      <c r="F126" s="58"/>
      <c r="H126" s="49" t="s">
        <v>3343</v>
      </c>
      <c r="I126" s="59" t="str">
        <f>IF(COUNTIF('Active Employees'!B:B, B126)&gt;0,"Y","N")</f>
        <v>N</v>
      </c>
      <c r="J126" s="49" t="s">
        <v>3398</v>
      </c>
    </row>
    <row r="127">
      <c r="A127" s="60"/>
      <c r="B127" s="60"/>
      <c r="C127" s="60"/>
      <c r="D127" s="60"/>
      <c r="E127" s="60"/>
      <c r="F127" s="60"/>
    </row>
    <row r="128">
      <c r="A128" s="60"/>
      <c r="B128" s="60"/>
      <c r="C128" s="60"/>
      <c r="D128" s="60"/>
      <c r="E128" s="60"/>
      <c r="F128" s="60"/>
    </row>
    <row r="129">
      <c r="A129" s="60"/>
      <c r="B129" s="60"/>
      <c r="C129" s="60"/>
      <c r="D129" s="60"/>
      <c r="E129" s="60"/>
      <c r="F129" s="60"/>
    </row>
    <row r="130">
      <c r="A130" s="60"/>
      <c r="B130" s="60"/>
      <c r="C130" s="60"/>
      <c r="D130" s="60"/>
      <c r="E130" s="60"/>
      <c r="F130" s="60"/>
    </row>
    <row r="131">
      <c r="A131" s="60"/>
      <c r="B131" s="60"/>
      <c r="C131" s="60"/>
      <c r="D131" s="60"/>
      <c r="E131" s="60"/>
      <c r="F131" s="60"/>
    </row>
    <row r="132">
      <c r="A132" s="60"/>
      <c r="B132" s="60"/>
      <c r="C132" s="60"/>
      <c r="D132" s="60"/>
      <c r="E132" s="60"/>
      <c r="F132" s="60"/>
    </row>
    <row r="133">
      <c r="A133" s="60"/>
      <c r="B133" s="60"/>
      <c r="C133" s="60"/>
      <c r="D133" s="60"/>
      <c r="E133" s="60"/>
      <c r="F133" s="60"/>
    </row>
    <row r="134">
      <c r="A134" s="60"/>
      <c r="B134" s="60"/>
      <c r="C134" s="60"/>
      <c r="D134" s="60"/>
      <c r="E134" s="60"/>
      <c r="F134" s="60"/>
    </row>
    <row r="135">
      <c r="A135" s="60"/>
      <c r="B135" s="60"/>
      <c r="C135" s="60"/>
      <c r="D135" s="60"/>
      <c r="E135" s="60"/>
      <c r="F135" s="60"/>
    </row>
    <row r="136">
      <c r="A136" s="60"/>
      <c r="B136" s="60"/>
      <c r="C136" s="60"/>
      <c r="D136" s="60"/>
      <c r="E136" s="60"/>
      <c r="F136" s="60"/>
    </row>
    <row r="137">
      <c r="A137" s="60"/>
      <c r="B137" s="60"/>
      <c r="C137" s="60"/>
      <c r="D137" s="60"/>
      <c r="E137" s="60"/>
      <c r="F137" s="60"/>
    </row>
    <row r="138">
      <c r="A138" s="60"/>
      <c r="B138" s="60"/>
      <c r="C138" s="60"/>
      <c r="D138" s="60"/>
      <c r="E138" s="60"/>
      <c r="F138" s="60"/>
    </row>
    <row r="139">
      <c r="A139" s="60"/>
      <c r="B139" s="60"/>
      <c r="C139" s="60"/>
      <c r="D139" s="60"/>
      <c r="E139" s="60"/>
      <c r="F139" s="60"/>
    </row>
    <row r="140">
      <c r="A140" s="60"/>
      <c r="B140" s="60"/>
      <c r="C140" s="60"/>
      <c r="D140" s="60"/>
      <c r="E140" s="60"/>
      <c r="F140" s="60"/>
    </row>
    <row r="141">
      <c r="A141" s="60"/>
      <c r="B141" s="60"/>
      <c r="C141" s="60"/>
      <c r="D141" s="60"/>
      <c r="E141" s="60"/>
      <c r="F141" s="60"/>
    </row>
    <row r="142">
      <c r="A142" s="60"/>
      <c r="B142" s="60"/>
      <c r="C142" s="60"/>
      <c r="D142" s="60"/>
      <c r="E142" s="60"/>
      <c r="F142" s="60"/>
    </row>
    <row r="143">
      <c r="A143" s="60"/>
      <c r="B143" s="60"/>
      <c r="C143" s="60"/>
      <c r="D143" s="60"/>
      <c r="E143" s="60"/>
      <c r="F143" s="60"/>
    </row>
    <row r="144">
      <c r="A144" s="60"/>
      <c r="B144" s="60"/>
      <c r="C144" s="60"/>
      <c r="D144" s="60"/>
      <c r="E144" s="60"/>
      <c r="F144" s="60"/>
    </row>
    <row r="145">
      <c r="A145" s="60"/>
      <c r="B145" s="60"/>
      <c r="C145" s="60"/>
      <c r="D145" s="60"/>
      <c r="E145" s="60"/>
      <c r="F145" s="60"/>
    </row>
    <row r="146">
      <c r="A146" s="60"/>
      <c r="B146" s="60"/>
      <c r="C146" s="60"/>
      <c r="D146" s="60"/>
      <c r="E146" s="60"/>
      <c r="F146" s="60"/>
    </row>
    <row r="147">
      <c r="A147" s="60"/>
      <c r="B147" s="60"/>
      <c r="C147" s="60"/>
      <c r="D147" s="60"/>
      <c r="E147" s="60"/>
      <c r="F147" s="60"/>
    </row>
    <row r="148">
      <c r="A148" s="60"/>
      <c r="B148" s="60"/>
      <c r="C148" s="60"/>
      <c r="D148" s="60"/>
      <c r="E148" s="60"/>
      <c r="F148" s="60"/>
    </row>
    <row r="149">
      <c r="A149" s="60"/>
      <c r="B149" s="60"/>
      <c r="C149" s="60"/>
      <c r="D149" s="60"/>
      <c r="E149" s="60"/>
      <c r="F149" s="60"/>
    </row>
    <row r="150">
      <c r="A150" s="60"/>
      <c r="B150" s="60"/>
      <c r="C150" s="60"/>
      <c r="D150" s="60"/>
      <c r="E150" s="60"/>
      <c r="F150" s="60"/>
    </row>
    <row r="151">
      <c r="A151" s="60"/>
      <c r="B151" s="60"/>
      <c r="C151" s="60"/>
      <c r="D151" s="60"/>
      <c r="E151" s="60"/>
      <c r="F151" s="60"/>
    </row>
    <row r="152">
      <c r="A152" s="60"/>
      <c r="B152" s="60"/>
      <c r="C152" s="60"/>
      <c r="D152" s="60"/>
      <c r="E152" s="60"/>
      <c r="F152" s="60"/>
    </row>
    <row r="153">
      <c r="A153" s="60"/>
      <c r="B153" s="60"/>
      <c r="C153" s="60"/>
      <c r="D153" s="60"/>
      <c r="E153" s="60"/>
      <c r="F153" s="60"/>
    </row>
    <row r="154">
      <c r="A154" s="60"/>
      <c r="B154" s="60"/>
      <c r="C154" s="60"/>
      <c r="D154" s="60"/>
      <c r="E154" s="60"/>
      <c r="F154" s="60"/>
    </row>
    <row r="155">
      <c r="A155" s="60"/>
      <c r="B155" s="60"/>
      <c r="C155" s="60"/>
      <c r="D155" s="60"/>
      <c r="E155" s="60"/>
      <c r="F155" s="60"/>
    </row>
    <row r="156">
      <c r="A156" s="60"/>
      <c r="B156" s="60"/>
      <c r="C156" s="60"/>
      <c r="D156" s="60"/>
      <c r="E156" s="60"/>
      <c r="F156" s="60"/>
    </row>
    <row r="157">
      <c r="A157" s="60"/>
      <c r="B157" s="60"/>
      <c r="C157" s="60"/>
      <c r="D157" s="60"/>
      <c r="E157" s="60"/>
      <c r="F157" s="60"/>
    </row>
    <row r="158">
      <c r="A158" s="60"/>
      <c r="B158" s="60"/>
      <c r="C158" s="60"/>
      <c r="D158" s="60"/>
      <c r="E158" s="60"/>
      <c r="F158" s="60"/>
    </row>
    <row r="159">
      <c r="A159" s="60"/>
      <c r="B159" s="60"/>
      <c r="C159" s="60"/>
      <c r="D159" s="60"/>
      <c r="E159" s="60"/>
      <c r="F159" s="60"/>
    </row>
    <row r="160">
      <c r="A160" s="60"/>
      <c r="B160" s="60"/>
      <c r="C160" s="60"/>
      <c r="D160" s="60"/>
      <c r="E160" s="60"/>
      <c r="F160" s="60"/>
    </row>
    <row r="161">
      <c r="A161" s="60"/>
      <c r="B161" s="60"/>
      <c r="C161" s="60"/>
      <c r="D161" s="60"/>
      <c r="E161" s="60"/>
      <c r="F161" s="60"/>
    </row>
    <row r="162">
      <c r="A162" s="60"/>
      <c r="B162" s="60"/>
      <c r="C162" s="60"/>
      <c r="D162" s="60"/>
      <c r="E162" s="60"/>
      <c r="F162" s="60"/>
    </row>
    <row r="163">
      <c r="A163" s="60"/>
      <c r="B163" s="60"/>
      <c r="C163" s="60"/>
      <c r="D163" s="60"/>
      <c r="E163" s="60"/>
      <c r="F163" s="60"/>
    </row>
    <row r="164">
      <c r="A164" s="60"/>
      <c r="B164" s="60"/>
      <c r="C164" s="60"/>
      <c r="D164" s="60"/>
      <c r="E164" s="60"/>
      <c r="F164" s="60"/>
    </row>
    <row r="165">
      <c r="A165" s="60"/>
      <c r="B165" s="60"/>
      <c r="C165" s="60"/>
      <c r="D165" s="60"/>
      <c r="E165" s="60"/>
      <c r="F165" s="60"/>
    </row>
    <row r="166">
      <c r="A166" s="60"/>
      <c r="B166" s="60"/>
      <c r="C166" s="60"/>
      <c r="D166" s="60"/>
      <c r="E166" s="60"/>
      <c r="F166" s="60"/>
    </row>
    <row r="167">
      <c r="A167" s="60"/>
      <c r="B167" s="60"/>
      <c r="C167" s="60"/>
      <c r="D167" s="60"/>
      <c r="E167" s="60"/>
      <c r="F167" s="60"/>
    </row>
    <row r="168">
      <c r="A168" s="60"/>
      <c r="B168" s="60"/>
      <c r="C168" s="60"/>
      <c r="D168" s="60"/>
      <c r="E168" s="60"/>
      <c r="F168" s="60"/>
    </row>
    <row r="169">
      <c r="A169" s="60"/>
      <c r="B169" s="60"/>
      <c r="C169" s="60"/>
      <c r="D169" s="60"/>
      <c r="E169" s="60"/>
      <c r="F169" s="60"/>
    </row>
    <row r="170">
      <c r="A170" s="60"/>
      <c r="B170" s="60"/>
      <c r="C170" s="60"/>
      <c r="D170" s="60"/>
      <c r="E170" s="60"/>
      <c r="F170" s="60"/>
    </row>
    <row r="171">
      <c r="A171" s="60"/>
      <c r="B171" s="60"/>
      <c r="C171" s="60"/>
      <c r="D171" s="60"/>
      <c r="E171" s="60"/>
      <c r="F171" s="60"/>
    </row>
    <row r="172">
      <c r="A172" s="60"/>
      <c r="B172" s="60"/>
      <c r="C172" s="60"/>
      <c r="D172" s="60"/>
      <c r="E172" s="60"/>
      <c r="F172" s="60"/>
    </row>
    <row r="173">
      <c r="A173" s="60"/>
      <c r="B173" s="60"/>
      <c r="C173" s="60"/>
      <c r="D173" s="60"/>
      <c r="E173" s="60"/>
      <c r="F173" s="60"/>
    </row>
    <row r="174">
      <c r="A174" s="60"/>
      <c r="B174" s="60"/>
      <c r="C174" s="60"/>
      <c r="D174" s="60"/>
      <c r="E174" s="60"/>
      <c r="F174" s="60"/>
    </row>
    <row r="175">
      <c r="A175" s="60"/>
      <c r="B175" s="60"/>
      <c r="C175" s="60"/>
      <c r="D175" s="60"/>
      <c r="E175" s="60"/>
      <c r="F175" s="60"/>
    </row>
    <row r="176">
      <c r="A176" s="60"/>
      <c r="B176" s="60"/>
      <c r="C176" s="60"/>
      <c r="D176" s="60"/>
      <c r="E176" s="60"/>
      <c r="F176" s="60"/>
    </row>
    <row r="177">
      <c r="A177" s="60"/>
      <c r="B177" s="60"/>
      <c r="C177" s="60"/>
      <c r="D177" s="60"/>
      <c r="E177" s="60"/>
      <c r="F177" s="60"/>
    </row>
    <row r="178">
      <c r="A178" s="60"/>
      <c r="B178" s="60"/>
      <c r="C178" s="60"/>
      <c r="D178" s="60"/>
      <c r="E178" s="60"/>
      <c r="F178" s="60"/>
    </row>
    <row r="179">
      <c r="A179" s="60"/>
      <c r="B179" s="60"/>
      <c r="C179" s="60"/>
      <c r="D179" s="60"/>
      <c r="E179" s="60"/>
      <c r="F179" s="60"/>
    </row>
    <row r="180">
      <c r="A180" s="60"/>
      <c r="B180" s="60"/>
      <c r="C180" s="60"/>
      <c r="D180" s="60"/>
      <c r="E180" s="60"/>
      <c r="F180" s="60"/>
    </row>
    <row r="181">
      <c r="A181" s="60"/>
      <c r="B181" s="60"/>
      <c r="C181" s="60"/>
      <c r="D181" s="60"/>
      <c r="E181" s="60"/>
      <c r="F181" s="60"/>
    </row>
    <row r="182">
      <c r="A182" s="60"/>
      <c r="B182" s="60"/>
      <c r="C182" s="60"/>
      <c r="D182" s="60"/>
      <c r="E182" s="60"/>
      <c r="F182" s="60"/>
    </row>
    <row r="183">
      <c r="A183" s="60"/>
      <c r="B183" s="60"/>
      <c r="C183" s="60"/>
      <c r="D183" s="60"/>
      <c r="E183" s="60"/>
      <c r="F183" s="60"/>
    </row>
    <row r="184">
      <c r="A184" s="60"/>
      <c r="B184" s="60"/>
      <c r="C184" s="60"/>
      <c r="D184" s="60"/>
      <c r="E184" s="60"/>
      <c r="F184" s="60"/>
    </row>
    <row r="185">
      <c r="A185" s="60"/>
      <c r="B185" s="60"/>
      <c r="C185" s="60"/>
      <c r="D185" s="60"/>
      <c r="E185" s="60"/>
      <c r="F185" s="60"/>
    </row>
    <row r="186">
      <c r="A186" s="60"/>
      <c r="B186" s="60"/>
      <c r="C186" s="60"/>
      <c r="D186" s="60"/>
      <c r="E186" s="60"/>
      <c r="F186" s="60"/>
    </row>
    <row r="187">
      <c r="A187" s="60"/>
      <c r="B187" s="60"/>
      <c r="C187" s="60"/>
      <c r="D187" s="60"/>
      <c r="E187" s="60"/>
      <c r="F187" s="60"/>
    </row>
    <row r="188">
      <c r="A188" s="60"/>
      <c r="B188" s="60"/>
      <c r="C188" s="60"/>
      <c r="D188" s="60"/>
      <c r="E188" s="60"/>
      <c r="F188" s="60"/>
    </row>
    <row r="189">
      <c r="A189" s="60"/>
      <c r="B189" s="60"/>
      <c r="C189" s="60"/>
      <c r="D189" s="60"/>
      <c r="E189" s="60"/>
      <c r="F189" s="60"/>
    </row>
    <row r="190">
      <c r="A190" s="60"/>
      <c r="B190" s="60"/>
      <c r="C190" s="60"/>
      <c r="D190" s="60"/>
      <c r="E190" s="60"/>
      <c r="F190" s="60"/>
    </row>
    <row r="191">
      <c r="A191" s="60"/>
      <c r="B191" s="60"/>
      <c r="C191" s="60"/>
      <c r="D191" s="60"/>
      <c r="E191" s="60"/>
      <c r="F191" s="60"/>
    </row>
    <row r="192">
      <c r="A192" s="60"/>
      <c r="B192" s="60"/>
      <c r="C192" s="60"/>
      <c r="D192" s="60"/>
      <c r="E192" s="60"/>
      <c r="F192" s="60"/>
    </row>
    <row r="193">
      <c r="A193" s="60"/>
      <c r="B193" s="60"/>
      <c r="C193" s="60"/>
      <c r="D193" s="60"/>
      <c r="E193" s="60"/>
      <c r="F193" s="60"/>
    </row>
    <row r="194">
      <c r="A194" s="60"/>
      <c r="B194" s="60"/>
      <c r="C194" s="60"/>
      <c r="D194" s="60"/>
      <c r="E194" s="60"/>
      <c r="F194" s="60"/>
    </row>
    <row r="195">
      <c r="A195" s="60"/>
      <c r="B195" s="60"/>
      <c r="C195" s="60"/>
      <c r="D195" s="60"/>
      <c r="E195" s="60"/>
      <c r="F195" s="60"/>
    </row>
    <row r="196">
      <c r="A196" s="60"/>
      <c r="B196" s="60"/>
      <c r="C196" s="60"/>
      <c r="D196" s="60"/>
      <c r="E196" s="60"/>
      <c r="F196" s="60"/>
    </row>
    <row r="197">
      <c r="A197" s="60"/>
      <c r="B197" s="60"/>
      <c r="C197" s="60"/>
      <c r="D197" s="60"/>
      <c r="E197" s="60"/>
      <c r="F197" s="60"/>
    </row>
    <row r="198">
      <c r="A198" s="60"/>
      <c r="B198" s="60"/>
      <c r="C198" s="60"/>
      <c r="D198" s="60"/>
      <c r="E198" s="60"/>
      <c r="F198" s="60"/>
    </row>
    <row r="199">
      <c r="A199" s="60"/>
      <c r="B199" s="60"/>
      <c r="C199" s="60"/>
      <c r="D199" s="60"/>
      <c r="E199" s="60"/>
      <c r="F199" s="60"/>
    </row>
    <row r="200">
      <c r="A200" s="60"/>
      <c r="B200" s="60"/>
      <c r="C200" s="60"/>
      <c r="D200" s="60"/>
      <c r="E200" s="60"/>
      <c r="F200" s="60"/>
    </row>
    <row r="201">
      <c r="A201" s="60"/>
      <c r="B201" s="60"/>
      <c r="C201" s="60"/>
      <c r="D201" s="60"/>
      <c r="E201" s="60"/>
      <c r="F201" s="60"/>
    </row>
    <row r="202">
      <c r="A202" s="60"/>
      <c r="B202" s="60"/>
      <c r="C202" s="60"/>
      <c r="D202" s="60"/>
      <c r="E202" s="60"/>
      <c r="F202" s="60"/>
    </row>
    <row r="203">
      <c r="A203" s="60"/>
      <c r="B203" s="60"/>
      <c r="C203" s="60"/>
      <c r="D203" s="60"/>
      <c r="E203" s="60"/>
      <c r="F203" s="60"/>
    </row>
    <row r="204">
      <c r="A204" s="60"/>
      <c r="B204" s="60"/>
      <c r="C204" s="60"/>
      <c r="D204" s="60"/>
      <c r="E204" s="60"/>
      <c r="F204" s="60"/>
    </row>
    <row r="205">
      <c r="A205" s="60"/>
      <c r="B205" s="60"/>
      <c r="C205" s="60"/>
      <c r="D205" s="60"/>
      <c r="E205" s="60"/>
      <c r="F205" s="60"/>
    </row>
    <row r="206">
      <c r="A206" s="60"/>
      <c r="B206" s="60"/>
      <c r="C206" s="60"/>
      <c r="D206" s="60"/>
      <c r="E206" s="60"/>
      <c r="F206" s="60"/>
    </row>
    <row r="207">
      <c r="A207" s="60"/>
      <c r="B207" s="60"/>
      <c r="C207" s="60"/>
      <c r="D207" s="60"/>
      <c r="E207" s="60"/>
      <c r="F207" s="60"/>
    </row>
    <row r="208">
      <c r="A208" s="60"/>
      <c r="B208" s="60"/>
      <c r="C208" s="60"/>
      <c r="D208" s="60"/>
      <c r="E208" s="60"/>
      <c r="F208" s="60"/>
    </row>
    <row r="209">
      <c r="A209" s="60"/>
      <c r="B209" s="60"/>
      <c r="C209" s="60"/>
      <c r="D209" s="60"/>
      <c r="E209" s="60"/>
      <c r="F209" s="60"/>
    </row>
    <row r="210">
      <c r="A210" s="60"/>
      <c r="B210" s="60"/>
      <c r="C210" s="60"/>
      <c r="D210" s="60"/>
      <c r="E210" s="60"/>
      <c r="F210" s="60"/>
    </row>
    <row r="211">
      <c r="A211" s="60"/>
      <c r="B211" s="60"/>
      <c r="C211" s="60"/>
      <c r="D211" s="60"/>
      <c r="E211" s="60"/>
      <c r="F211" s="60"/>
    </row>
    <row r="212">
      <c r="A212" s="60"/>
      <c r="B212" s="60"/>
      <c r="C212" s="60"/>
      <c r="D212" s="60"/>
      <c r="E212" s="60"/>
      <c r="F212" s="60"/>
    </row>
    <row r="213">
      <c r="A213" s="60"/>
      <c r="B213" s="60"/>
      <c r="C213" s="60"/>
      <c r="D213" s="60"/>
      <c r="E213" s="60"/>
      <c r="F213" s="60"/>
    </row>
    <row r="214">
      <c r="A214" s="60"/>
      <c r="B214" s="60"/>
      <c r="C214" s="60"/>
      <c r="D214" s="60"/>
      <c r="E214" s="60"/>
      <c r="F214" s="60"/>
    </row>
    <row r="215">
      <c r="A215" s="60"/>
      <c r="B215" s="60"/>
      <c r="C215" s="60"/>
      <c r="D215" s="60"/>
      <c r="E215" s="60"/>
      <c r="F215" s="60"/>
    </row>
    <row r="216">
      <c r="A216" s="60"/>
      <c r="B216" s="60"/>
      <c r="C216" s="60"/>
      <c r="D216" s="60"/>
      <c r="E216" s="60"/>
      <c r="F216" s="60"/>
    </row>
    <row r="217">
      <c r="A217" s="60"/>
      <c r="B217" s="60"/>
      <c r="C217" s="60"/>
      <c r="D217" s="60"/>
      <c r="E217" s="60"/>
      <c r="F217" s="60"/>
    </row>
    <row r="218">
      <c r="A218" s="60"/>
      <c r="B218" s="60"/>
      <c r="C218" s="60"/>
      <c r="D218" s="60"/>
      <c r="E218" s="60"/>
      <c r="F218" s="60"/>
    </row>
    <row r="219">
      <c r="A219" s="60"/>
      <c r="B219" s="60"/>
      <c r="C219" s="60"/>
      <c r="D219" s="60"/>
      <c r="E219" s="60"/>
      <c r="F219" s="60"/>
    </row>
    <row r="220">
      <c r="A220" s="60"/>
      <c r="B220" s="60"/>
      <c r="C220" s="60"/>
      <c r="D220" s="60"/>
      <c r="E220" s="60"/>
      <c r="F220" s="60"/>
    </row>
    <row r="221">
      <c r="A221" s="60"/>
      <c r="B221" s="60"/>
      <c r="C221" s="60"/>
      <c r="D221" s="60"/>
      <c r="E221" s="60"/>
      <c r="F221" s="60"/>
    </row>
    <row r="222">
      <c r="A222" s="60"/>
      <c r="B222" s="60"/>
      <c r="C222" s="60"/>
      <c r="D222" s="60"/>
      <c r="E222" s="60"/>
      <c r="F222" s="60"/>
    </row>
    <row r="223">
      <c r="A223" s="60"/>
      <c r="B223" s="60"/>
      <c r="C223" s="60"/>
      <c r="D223" s="60"/>
      <c r="E223" s="60"/>
      <c r="F223" s="60"/>
    </row>
    <row r="224">
      <c r="A224" s="60"/>
      <c r="B224" s="60"/>
      <c r="C224" s="60"/>
      <c r="D224" s="60"/>
      <c r="E224" s="60"/>
      <c r="F224" s="60"/>
    </row>
    <row r="225">
      <c r="A225" s="60"/>
      <c r="B225" s="60"/>
      <c r="C225" s="60"/>
      <c r="D225" s="60"/>
      <c r="E225" s="60"/>
      <c r="F225" s="60"/>
    </row>
    <row r="226">
      <c r="A226" s="60"/>
      <c r="B226" s="60"/>
      <c r="C226" s="60"/>
      <c r="D226" s="60"/>
      <c r="E226" s="60"/>
      <c r="F226" s="60"/>
    </row>
    <row r="227">
      <c r="A227" s="60"/>
      <c r="B227" s="60"/>
      <c r="C227" s="60"/>
      <c r="D227" s="60"/>
      <c r="E227" s="60"/>
      <c r="F227" s="60"/>
    </row>
    <row r="228">
      <c r="A228" s="60"/>
      <c r="B228" s="60"/>
      <c r="C228" s="60"/>
      <c r="D228" s="60"/>
      <c r="E228" s="60"/>
      <c r="F228" s="60"/>
    </row>
    <row r="229">
      <c r="A229" s="60"/>
      <c r="B229" s="60"/>
      <c r="C229" s="60"/>
      <c r="D229" s="60"/>
      <c r="E229" s="60"/>
      <c r="F229" s="60"/>
    </row>
    <row r="230">
      <c r="A230" s="60"/>
      <c r="B230" s="60"/>
      <c r="C230" s="60"/>
      <c r="D230" s="60"/>
      <c r="E230" s="60"/>
      <c r="F230" s="60"/>
    </row>
    <row r="231">
      <c r="A231" s="60"/>
      <c r="B231" s="60"/>
      <c r="C231" s="60"/>
      <c r="D231" s="60"/>
      <c r="E231" s="60"/>
      <c r="F231" s="60"/>
    </row>
    <row r="232">
      <c r="A232" s="60"/>
      <c r="B232" s="60"/>
      <c r="C232" s="60"/>
      <c r="D232" s="60"/>
      <c r="E232" s="60"/>
      <c r="F232" s="60"/>
    </row>
    <row r="233">
      <c r="A233" s="60"/>
      <c r="B233" s="60"/>
      <c r="C233" s="60"/>
      <c r="D233" s="60"/>
      <c r="E233" s="60"/>
      <c r="F233" s="60"/>
    </row>
    <row r="234">
      <c r="A234" s="60"/>
      <c r="B234" s="60"/>
      <c r="C234" s="60"/>
      <c r="D234" s="60"/>
      <c r="E234" s="60"/>
      <c r="F234" s="60"/>
    </row>
    <row r="235">
      <c r="A235" s="60"/>
      <c r="B235" s="60"/>
      <c r="C235" s="60"/>
      <c r="D235" s="60"/>
      <c r="E235" s="60"/>
      <c r="F235" s="60"/>
    </row>
    <row r="236">
      <c r="A236" s="60"/>
      <c r="B236" s="60"/>
      <c r="C236" s="60"/>
      <c r="D236" s="60"/>
      <c r="E236" s="60"/>
      <c r="F236" s="60"/>
    </row>
    <row r="237">
      <c r="A237" s="60"/>
      <c r="B237" s="60"/>
      <c r="C237" s="60"/>
      <c r="D237" s="60"/>
      <c r="E237" s="60"/>
      <c r="F237" s="60"/>
    </row>
    <row r="238">
      <c r="A238" s="60"/>
      <c r="B238" s="60"/>
      <c r="C238" s="60"/>
      <c r="D238" s="60"/>
      <c r="E238" s="60"/>
      <c r="F238" s="60"/>
    </row>
    <row r="239">
      <c r="A239" s="60"/>
      <c r="B239" s="60"/>
      <c r="C239" s="60"/>
      <c r="D239" s="60"/>
      <c r="E239" s="60"/>
      <c r="F239" s="60"/>
    </row>
    <row r="240">
      <c r="A240" s="60"/>
      <c r="B240" s="60"/>
      <c r="C240" s="60"/>
      <c r="D240" s="60"/>
      <c r="E240" s="60"/>
      <c r="F240" s="60"/>
    </row>
    <row r="241">
      <c r="A241" s="60"/>
      <c r="B241" s="60"/>
      <c r="C241" s="60"/>
      <c r="D241" s="60"/>
      <c r="E241" s="60"/>
      <c r="F241" s="60"/>
    </row>
    <row r="242">
      <c r="A242" s="60"/>
      <c r="B242" s="60"/>
      <c r="C242" s="60"/>
      <c r="D242" s="60"/>
      <c r="E242" s="60"/>
      <c r="F242" s="60"/>
    </row>
    <row r="243">
      <c r="A243" s="60"/>
      <c r="B243" s="60"/>
      <c r="C243" s="60"/>
      <c r="D243" s="60"/>
      <c r="E243" s="60"/>
      <c r="F243" s="60"/>
    </row>
    <row r="244">
      <c r="A244" s="60"/>
      <c r="B244" s="60"/>
      <c r="C244" s="60"/>
      <c r="D244" s="60"/>
      <c r="E244" s="60"/>
      <c r="F244" s="60"/>
    </row>
    <row r="245">
      <c r="A245" s="60"/>
      <c r="B245" s="60"/>
      <c r="C245" s="60"/>
      <c r="D245" s="60"/>
      <c r="E245" s="60"/>
      <c r="F245" s="60"/>
    </row>
    <row r="246">
      <c r="A246" s="60"/>
      <c r="B246" s="60"/>
      <c r="C246" s="60"/>
      <c r="D246" s="60"/>
      <c r="E246" s="60"/>
      <c r="F246" s="60"/>
    </row>
    <row r="247">
      <c r="A247" s="60"/>
      <c r="B247" s="60"/>
      <c r="C247" s="60"/>
      <c r="D247" s="60"/>
      <c r="E247" s="60"/>
      <c r="F247" s="60"/>
    </row>
    <row r="248">
      <c r="A248" s="60"/>
      <c r="B248" s="60"/>
      <c r="C248" s="60"/>
      <c r="D248" s="60"/>
      <c r="E248" s="60"/>
      <c r="F248" s="60"/>
    </row>
    <row r="249">
      <c r="A249" s="60"/>
      <c r="B249" s="60"/>
      <c r="C249" s="60"/>
      <c r="D249" s="60"/>
      <c r="E249" s="60"/>
      <c r="F249" s="60"/>
    </row>
    <row r="250">
      <c r="A250" s="60"/>
      <c r="B250" s="60"/>
      <c r="C250" s="60"/>
      <c r="D250" s="60"/>
      <c r="E250" s="60"/>
      <c r="F250" s="60"/>
    </row>
    <row r="251">
      <c r="A251" s="60"/>
      <c r="B251" s="60"/>
      <c r="C251" s="60"/>
      <c r="D251" s="60"/>
      <c r="E251" s="60"/>
      <c r="F251" s="60"/>
    </row>
    <row r="252">
      <c r="A252" s="60"/>
      <c r="B252" s="60"/>
      <c r="C252" s="60"/>
      <c r="D252" s="60"/>
      <c r="E252" s="60"/>
      <c r="F252" s="60"/>
    </row>
    <row r="253">
      <c r="A253" s="60"/>
      <c r="B253" s="60"/>
      <c r="C253" s="60"/>
      <c r="D253" s="60"/>
      <c r="E253" s="60"/>
      <c r="F253" s="60"/>
    </row>
    <row r="254">
      <c r="A254" s="60"/>
      <c r="B254" s="60"/>
      <c r="C254" s="60"/>
      <c r="D254" s="60"/>
      <c r="E254" s="60"/>
      <c r="F254" s="60"/>
    </row>
    <row r="255">
      <c r="A255" s="60"/>
      <c r="B255" s="60"/>
      <c r="C255" s="60"/>
      <c r="D255" s="60"/>
      <c r="E255" s="60"/>
      <c r="F255" s="60"/>
    </row>
    <row r="256">
      <c r="A256" s="60"/>
      <c r="B256" s="60"/>
      <c r="C256" s="60"/>
      <c r="D256" s="60"/>
      <c r="E256" s="60"/>
      <c r="F256" s="60"/>
    </row>
    <row r="257">
      <c r="A257" s="60"/>
      <c r="B257" s="60"/>
      <c r="C257" s="60"/>
      <c r="D257" s="60"/>
      <c r="E257" s="60"/>
      <c r="F257" s="60"/>
    </row>
    <row r="258">
      <c r="A258" s="60"/>
      <c r="B258" s="60"/>
      <c r="C258" s="60"/>
      <c r="D258" s="60"/>
      <c r="E258" s="60"/>
      <c r="F258" s="60"/>
    </row>
    <row r="259">
      <c r="A259" s="60"/>
      <c r="B259" s="60"/>
      <c r="C259" s="60"/>
      <c r="D259" s="60"/>
      <c r="E259" s="60"/>
      <c r="F259" s="60"/>
    </row>
    <row r="260">
      <c r="A260" s="60"/>
      <c r="B260" s="60"/>
      <c r="C260" s="60"/>
      <c r="D260" s="60"/>
      <c r="E260" s="60"/>
      <c r="F260" s="60"/>
    </row>
    <row r="261">
      <c r="A261" s="60"/>
      <c r="B261" s="60"/>
      <c r="C261" s="60"/>
      <c r="D261" s="60"/>
      <c r="E261" s="60"/>
      <c r="F261" s="60"/>
    </row>
    <row r="262">
      <c r="A262" s="60"/>
      <c r="B262" s="60"/>
      <c r="C262" s="60"/>
      <c r="D262" s="60"/>
      <c r="E262" s="60"/>
      <c r="F262" s="60"/>
    </row>
    <row r="263">
      <c r="A263" s="60"/>
      <c r="B263" s="60"/>
      <c r="C263" s="60"/>
      <c r="D263" s="60"/>
      <c r="E263" s="60"/>
      <c r="F263" s="60"/>
    </row>
    <row r="264">
      <c r="A264" s="60"/>
      <c r="B264" s="60"/>
      <c r="C264" s="60"/>
      <c r="D264" s="60"/>
      <c r="E264" s="60"/>
      <c r="F264" s="60"/>
    </row>
    <row r="265">
      <c r="A265" s="60"/>
      <c r="B265" s="60"/>
      <c r="C265" s="60"/>
      <c r="D265" s="60"/>
      <c r="E265" s="60"/>
      <c r="F265" s="60"/>
    </row>
    <row r="266">
      <c r="A266" s="60"/>
      <c r="B266" s="60"/>
      <c r="C266" s="60"/>
      <c r="D266" s="60"/>
      <c r="E266" s="60"/>
      <c r="F266" s="60"/>
    </row>
    <row r="267">
      <c r="A267" s="60"/>
      <c r="B267" s="60"/>
      <c r="C267" s="60"/>
      <c r="D267" s="60"/>
      <c r="E267" s="60"/>
      <c r="F267" s="60"/>
    </row>
    <row r="268">
      <c r="A268" s="60"/>
      <c r="B268" s="60"/>
      <c r="C268" s="60"/>
      <c r="D268" s="60"/>
      <c r="E268" s="60"/>
      <c r="F268" s="60"/>
    </row>
    <row r="269">
      <c r="A269" s="60"/>
      <c r="B269" s="60"/>
      <c r="C269" s="60"/>
      <c r="D269" s="60"/>
      <c r="E269" s="60"/>
      <c r="F269" s="60"/>
    </row>
    <row r="270">
      <c r="A270" s="60"/>
      <c r="B270" s="60"/>
      <c r="C270" s="60"/>
      <c r="D270" s="60"/>
      <c r="E270" s="60"/>
      <c r="F270" s="60"/>
    </row>
    <row r="271">
      <c r="A271" s="60"/>
      <c r="B271" s="60"/>
      <c r="C271" s="60"/>
      <c r="D271" s="60"/>
      <c r="E271" s="60"/>
      <c r="F271" s="60"/>
    </row>
    <row r="272">
      <c r="A272" s="60"/>
      <c r="B272" s="60"/>
      <c r="C272" s="60"/>
      <c r="D272" s="60"/>
      <c r="E272" s="60"/>
      <c r="F272" s="60"/>
    </row>
    <row r="273">
      <c r="A273" s="60"/>
      <c r="B273" s="60"/>
      <c r="C273" s="60"/>
      <c r="D273" s="60"/>
      <c r="E273" s="60"/>
      <c r="F273" s="60"/>
    </row>
    <row r="274">
      <c r="A274" s="60"/>
      <c r="B274" s="60"/>
      <c r="C274" s="60"/>
      <c r="D274" s="60"/>
      <c r="E274" s="60"/>
      <c r="F274" s="60"/>
    </row>
    <row r="275">
      <c r="A275" s="60"/>
      <c r="B275" s="60"/>
      <c r="C275" s="60"/>
      <c r="D275" s="60"/>
      <c r="E275" s="60"/>
      <c r="F275" s="60"/>
    </row>
    <row r="276">
      <c r="A276" s="60"/>
      <c r="B276" s="60"/>
      <c r="C276" s="60"/>
      <c r="D276" s="60"/>
      <c r="E276" s="60"/>
      <c r="F276" s="60"/>
    </row>
    <row r="277">
      <c r="A277" s="60"/>
      <c r="B277" s="60"/>
      <c r="C277" s="60"/>
      <c r="D277" s="60"/>
      <c r="E277" s="60"/>
      <c r="F277" s="60"/>
    </row>
    <row r="278">
      <c r="A278" s="60"/>
      <c r="B278" s="60"/>
      <c r="C278" s="60"/>
      <c r="D278" s="60"/>
      <c r="E278" s="60"/>
      <c r="F278" s="60"/>
    </row>
    <row r="279">
      <c r="A279" s="60"/>
      <c r="B279" s="60"/>
      <c r="C279" s="60"/>
      <c r="D279" s="60"/>
      <c r="E279" s="60"/>
      <c r="F279" s="60"/>
    </row>
    <row r="280">
      <c r="A280" s="60"/>
      <c r="B280" s="60"/>
      <c r="C280" s="60"/>
      <c r="D280" s="60"/>
      <c r="E280" s="60"/>
      <c r="F280" s="60"/>
    </row>
    <row r="281">
      <c r="A281" s="60"/>
      <c r="B281" s="60"/>
      <c r="C281" s="60"/>
      <c r="D281" s="60"/>
      <c r="E281" s="60"/>
      <c r="F281" s="60"/>
    </row>
    <row r="282">
      <c r="A282" s="60"/>
      <c r="B282" s="60"/>
      <c r="C282" s="60"/>
      <c r="D282" s="60"/>
      <c r="E282" s="60"/>
      <c r="F282" s="60"/>
    </row>
    <row r="283">
      <c r="A283" s="60"/>
      <c r="B283" s="60"/>
      <c r="C283" s="60"/>
      <c r="D283" s="60"/>
      <c r="E283" s="60"/>
      <c r="F283" s="60"/>
    </row>
    <row r="284">
      <c r="A284" s="60"/>
      <c r="B284" s="60"/>
      <c r="C284" s="60"/>
      <c r="D284" s="60"/>
      <c r="E284" s="60"/>
      <c r="F284" s="60"/>
    </row>
    <row r="285">
      <c r="A285" s="60"/>
      <c r="B285" s="60"/>
      <c r="C285" s="60"/>
      <c r="D285" s="60"/>
      <c r="E285" s="60"/>
      <c r="F285" s="60"/>
    </row>
    <row r="286">
      <c r="A286" s="60"/>
      <c r="B286" s="60"/>
      <c r="C286" s="60"/>
      <c r="D286" s="60"/>
      <c r="E286" s="60"/>
      <c r="F286" s="60"/>
    </row>
    <row r="287">
      <c r="A287" s="60"/>
      <c r="B287" s="60"/>
      <c r="C287" s="60"/>
      <c r="D287" s="60"/>
      <c r="E287" s="60"/>
      <c r="F287" s="60"/>
    </row>
    <row r="288">
      <c r="A288" s="60"/>
      <c r="B288" s="60"/>
      <c r="C288" s="60"/>
      <c r="D288" s="60"/>
      <c r="E288" s="60"/>
      <c r="F288" s="60"/>
    </row>
    <row r="289">
      <c r="A289" s="60"/>
      <c r="B289" s="60"/>
      <c r="C289" s="60"/>
      <c r="D289" s="60"/>
      <c r="E289" s="60"/>
      <c r="F289" s="60"/>
    </row>
    <row r="290">
      <c r="A290" s="60"/>
      <c r="B290" s="60"/>
      <c r="C290" s="60"/>
      <c r="D290" s="60"/>
      <c r="E290" s="60"/>
      <c r="F290" s="60"/>
    </row>
    <row r="291">
      <c r="A291" s="60"/>
      <c r="B291" s="60"/>
      <c r="C291" s="60"/>
      <c r="D291" s="60"/>
      <c r="E291" s="60"/>
      <c r="F291" s="60"/>
    </row>
    <row r="292">
      <c r="A292" s="60"/>
      <c r="B292" s="60"/>
      <c r="C292" s="60"/>
      <c r="D292" s="60"/>
      <c r="E292" s="60"/>
      <c r="F292" s="60"/>
    </row>
    <row r="293">
      <c r="A293" s="60"/>
      <c r="B293" s="60"/>
      <c r="C293" s="60"/>
      <c r="D293" s="60"/>
      <c r="E293" s="60"/>
      <c r="F293" s="60"/>
    </row>
    <row r="294">
      <c r="A294" s="60"/>
      <c r="B294" s="60"/>
      <c r="C294" s="60"/>
      <c r="D294" s="60"/>
      <c r="E294" s="60"/>
      <c r="F294" s="60"/>
    </row>
    <row r="295">
      <c r="A295" s="60"/>
      <c r="B295" s="60"/>
      <c r="C295" s="60"/>
      <c r="D295" s="60"/>
      <c r="E295" s="60"/>
      <c r="F295" s="60"/>
    </row>
    <row r="296">
      <c r="A296" s="60"/>
      <c r="B296" s="60"/>
      <c r="C296" s="60"/>
      <c r="D296" s="60"/>
      <c r="E296" s="60"/>
      <c r="F296" s="60"/>
    </row>
    <row r="297">
      <c r="A297" s="60"/>
      <c r="B297" s="60"/>
      <c r="C297" s="60"/>
      <c r="D297" s="60"/>
      <c r="E297" s="60"/>
      <c r="F297" s="60"/>
    </row>
    <row r="298">
      <c r="A298" s="60"/>
      <c r="B298" s="60"/>
      <c r="C298" s="60"/>
      <c r="D298" s="60"/>
      <c r="E298" s="60"/>
      <c r="F298" s="60"/>
    </row>
    <row r="299">
      <c r="A299" s="60"/>
      <c r="B299" s="60"/>
      <c r="C299" s="60"/>
      <c r="D299" s="60"/>
      <c r="E299" s="60"/>
      <c r="F299" s="60"/>
    </row>
    <row r="300">
      <c r="A300" s="60"/>
      <c r="B300" s="60"/>
      <c r="C300" s="60"/>
      <c r="D300" s="60"/>
      <c r="E300" s="60"/>
      <c r="F300" s="60"/>
    </row>
    <row r="301">
      <c r="A301" s="60"/>
      <c r="B301" s="60"/>
      <c r="C301" s="60"/>
      <c r="D301" s="60"/>
      <c r="E301" s="60"/>
      <c r="F301" s="60"/>
    </row>
    <row r="302">
      <c r="A302" s="60"/>
      <c r="B302" s="60"/>
      <c r="C302" s="60"/>
      <c r="D302" s="60"/>
      <c r="E302" s="60"/>
      <c r="F302" s="60"/>
    </row>
    <row r="303">
      <c r="A303" s="60"/>
      <c r="B303" s="60"/>
      <c r="C303" s="60"/>
      <c r="D303" s="60"/>
      <c r="E303" s="60"/>
      <c r="F303" s="60"/>
    </row>
    <row r="304">
      <c r="A304" s="60"/>
      <c r="B304" s="60"/>
      <c r="C304" s="60"/>
      <c r="D304" s="60"/>
      <c r="E304" s="60"/>
      <c r="F304" s="60"/>
    </row>
    <row r="305">
      <c r="A305" s="60"/>
      <c r="B305" s="60"/>
      <c r="C305" s="60"/>
      <c r="D305" s="60"/>
      <c r="E305" s="60"/>
      <c r="F305" s="60"/>
    </row>
    <row r="306">
      <c r="A306" s="60"/>
      <c r="B306" s="60"/>
      <c r="C306" s="60"/>
      <c r="D306" s="60"/>
      <c r="E306" s="60"/>
      <c r="F306" s="60"/>
    </row>
    <row r="307">
      <c r="A307" s="60"/>
      <c r="B307" s="60"/>
      <c r="C307" s="60"/>
      <c r="D307" s="60"/>
      <c r="E307" s="60"/>
      <c r="F307" s="60"/>
    </row>
    <row r="308">
      <c r="A308" s="60"/>
      <c r="B308" s="60"/>
      <c r="C308" s="60"/>
      <c r="D308" s="60"/>
      <c r="E308" s="60"/>
      <c r="F308" s="60"/>
    </row>
    <row r="309">
      <c r="A309" s="60"/>
      <c r="B309" s="60"/>
      <c r="C309" s="60"/>
      <c r="D309" s="60"/>
      <c r="E309" s="60"/>
      <c r="F309" s="60"/>
    </row>
    <row r="310">
      <c r="A310" s="60"/>
      <c r="B310" s="60"/>
      <c r="C310" s="60"/>
      <c r="D310" s="60"/>
      <c r="E310" s="60"/>
      <c r="F310" s="60"/>
    </row>
    <row r="311">
      <c r="A311" s="60"/>
      <c r="B311" s="60"/>
      <c r="C311" s="60"/>
      <c r="D311" s="60"/>
      <c r="E311" s="60"/>
      <c r="F311" s="60"/>
    </row>
    <row r="312">
      <c r="A312" s="60"/>
      <c r="B312" s="60"/>
      <c r="C312" s="60"/>
      <c r="D312" s="60"/>
      <c r="E312" s="60"/>
      <c r="F312" s="60"/>
    </row>
    <row r="313">
      <c r="A313" s="60"/>
      <c r="B313" s="60"/>
      <c r="C313" s="60"/>
      <c r="D313" s="60"/>
      <c r="E313" s="60"/>
      <c r="F313" s="60"/>
    </row>
    <row r="314">
      <c r="A314" s="60"/>
      <c r="B314" s="60"/>
      <c r="C314" s="60"/>
      <c r="D314" s="60"/>
      <c r="E314" s="60"/>
      <c r="F314" s="60"/>
    </row>
    <row r="315">
      <c r="A315" s="60"/>
      <c r="B315" s="60"/>
      <c r="C315" s="60"/>
      <c r="D315" s="60"/>
      <c r="E315" s="60"/>
      <c r="F315" s="60"/>
    </row>
    <row r="316">
      <c r="A316" s="60"/>
      <c r="B316" s="60"/>
      <c r="C316" s="60"/>
      <c r="D316" s="60"/>
      <c r="E316" s="60"/>
      <c r="F316" s="60"/>
    </row>
    <row r="317">
      <c r="A317" s="60"/>
      <c r="B317" s="60"/>
      <c r="C317" s="60"/>
      <c r="D317" s="60"/>
      <c r="E317" s="60"/>
      <c r="F317" s="60"/>
    </row>
    <row r="318">
      <c r="A318" s="60"/>
      <c r="B318" s="60"/>
      <c r="C318" s="60"/>
      <c r="D318" s="60"/>
      <c r="E318" s="60"/>
      <c r="F318" s="60"/>
    </row>
    <row r="319">
      <c r="A319" s="60"/>
      <c r="B319" s="60"/>
      <c r="C319" s="60"/>
      <c r="D319" s="60"/>
      <c r="E319" s="60"/>
      <c r="F319" s="60"/>
    </row>
    <row r="320">
      <c r="A320" s="60"/>
      <c r="B320" s="60"/>
      <c r="C320" s="60"/>
      <c r="D320" s="60"/>
      <c r="E320" s="60"/>
      <c r="F320" s="60"/>
    </row>
    <row r="321">
      <c r="A321" s="60"/>
      <c r="B321" s="60"/>
      <c r="C321" s="60"/>
      <c r="D321" s="60"/>
      <c r="E321" s="60"/>
      <c r="F321" s="60"/>
    </row>
    <row r="322">
      <c r="A322" s="60"/>
      <c r="B322" s="60"/>
      <c r="C322" s="60"/>
      <c r="D322" s="60"/>
      <c r="E322" s="60"/>
      <c r="F322" s="60"/>
    </row>
    <row r="323">
      <c r="A323" s="60"/>
      <c r="B323" s="60"/>
      <c r="C323" s="60"/>
      <c r="D323" s="60"/>
      <c r="E323" s="60"/>
      <c r="F323" s="60"/>
    </row>
    <row r="324">
      <c r="A324" s="60"/>
      <c r="B324" s="60"/>
      <c r="C324" s="60"/>
      <c r="D324" s="60"/>
      <c r="E324" s="60"/>
      <c r="F324" s="60"/>
    </row>
    <row r="325">
      <c r="A325" s="60"/>
      <c r="B325" s="60"/>
      <c r="C325" s="60"/>
      <c r="D325" s="60"/>
      <c r="E325" s="60"/>
      <c r="F325" s="60"/>
    </row>
    <row r="326">
      <c r="A326" s="60"/>
      <c r="B326" s="60"/>
      <c r="C326" s="60"/>
      <c r="D326" s="60"/>
      <c r="E326" s="60"/>
      <c r="F326" s="60"/>
    </row>
    <row r="327">
      <c r="A327" s="60"/>
      <c r="B327" s="60"/>
      <c r="C327" s="60"/>
      <c r="D327" s="60"/>
      <c r="E327" s="60"/>
      <c r="F327" s="60"/>
    </row>
    <row r="328">
      <c r="A328" s="60"/>
      <c r="B328" s="60"/>
      <c r="C328" s="60"/>
      <c r="D328" s="60"/>
      <c r="E328" s="60"/>
      <c r="F328" s="60"/>
    </row>
    <row r="329">
      <c r="A329" s="60"/>
      <c r="B329" s="60"/>
      <c r="C329" s="60"/>
      <c r="D329" s="60"/>
      <c r="E329" s="60"/>
      <c r="F329" s="60"/>
    </row>
    <row r="330">
      <c r="A330" s="60"/>
      <c r="B330" s="60"/>
      <c r="C330" s="60"/>
      <c r="D330" s="60"/>
      <c r="E330" s="60"/>
      <c r="F330" s="60"/>
    </row>
    <row r="331">
      <c r="A331" s="60"/>
      <c r="B331" s="60"/>
      <c r="C331" s="60"/>
      <c r="D331" s="60"/>
      <c r="E331" s="60"/>
      <c r="F331" s="60"/>
    </row>
    <row r="332">
      <c r="A332" s="60"/>
      <c r="B332" s="60"/>
      <c r="C332" s="60"/>
      <c r="D332" s="60"/>
      <c r="E332" s="60"/>
      <c r="F332" s="60"/>
    </row>
    <row r="333">
      <c r="A333" s="60"/>
      <c r="B333" s="60"/>
      <c r="C333" s="60"/>
      <c r="D333" s="60"/>
      <c r="E333" s="60"/>
      <c r="F333" s="60"/>
    </row>
    <row r="334">
      <c r="A334" s="60"/>
      <c r="B334" s="60"/>
      <c r="C334" s="60"/>
      <c r="D334" s="60"/>
      <c r="E334" s="60"/>
      <c r="F334" s="60"/>
    </row>
    <row r="335">
      <c r="A335" s="60"/>
      <c r="B335" s="60"/>
      <c r="C335" s="60"/>
      <c r="D335" s="60"/>
      <c r="E335" s="60"/>
      <c r="F335" s="60"/>
    </row>
    <row r="336">
      <c r="A336" s="60"/>
      <c r="B336" s="60"/>
      <c r="C336" s="60"/>
      <c r="D336" s="60"/>
      <c r="E336" s="60"/>
      <c r="F336" s="60"/>
    </row>
    <row r="337">
      <c r="A337" s="60"/>
      <c r="B337" s="60"/>
      <c r="C337" s="60"/>
      <c r="D337" s="60"/>
      <c r="E337" s="60"/>
      <c r="F337" s="60"/>
    </row>
    <row r="338">
      <c r="A338" s="60"/>
      <c r="B338" s="60"/>
      <c r="C338" s="60"/>
      <c r="D338" s="60"/>
      <c r="E338" s="60"/>
      <c r="F338" s="60"/>
    </row>
    <row r="339">
      <c r="A339" s="60"/>
      <c r="B339" s="60"/>
      <c r="C339" s="60"/>
      <c r="D339" s="60"/>
      <c r="E339" s="60"/>
      <c r="F339" s="60"/>
    </row>
    <row r="340">
      <c r="A340" s="60"/>
      <c r="B340" s="60"/>
      <c r="C340" s="60"/>
      <c r="D340" s="60"/>
      <c r="E340" s="60"/>
      <c r="F340" s="60"/>
    </row>
    <row r="341">
      <c r="A341" s="60"/>
      <c r="B341" s="60"/>
      <c r="C341" s="60"/>
      <c r="D341" s="60"/>
      <c r="E341" s="60"/>
      <c r="F341" s="60"/>
    </row>
    <row r="342">
      <c r="A342" s="60"/>
      <c r="B342" s="60"/>
      <c r="C342" s="60"/>
      <c r="D342" s="60"/>
      <c r="E342" s="60"/>
      <c r="F342" s="60"/>
    </row>
    <row r="343">
      <c r="A343" s="60"/>
      <c r="B343" s="60"/>
      <c r="C343" s="60"/>
      <c r="D343" s="60"/>
      <c r="E343" s="60"/>
      <c r="F343" s="60"/>
    </row>
    <row r="344">
      <c r="A344" s="60"/>
      <c r="B344" s="60"/>
      <c r="C344" s="60"/>
      <c r="D344" s="60"/>
      <c r="E344" s="60"/>
      <c r="F344" s="60"/>
    </row>
    <row r="345">
      <c r="A345" s="60"/>
      <c r="B345" s="60"/>
      <c r="C345" s="60"/>
      <c r="D345" s="60"/>
      <c r="E345" s="60"/>
      <c r="F345" s="60"/>
    </row>
    <row r="346">
      <c r="A346" s="60"/>
      <c r="B346" s="60"/>
      <c r="C346" s="60"/>
      <c r="D346" s="60"/>
      <c r="E346" s="60"/>
      <c r="F346" s="60"/>
    </row>
    <row r="347">
      <c r="A347" s="60"/>
      <c r="B347" s="60"/>
      <c r="C347" s="60"/>
      <c r="D347" s="60"/>
      <c r="E347" s="60"/>
      <c r="F347" s="60"/>
    </row>
    <row r="348">
      <c r="A348" s="60"/>
      <c r="B348" s="60"/>
      <c r="C348" s="60"/>
      <c r="D348" s="60"/>
      <c r="E348" s="60"/>
      <c r="F348" s="60"/>
    </row>
    <row r="349">
      <c r="A349" s="60"/>
      <c r="B349" s="60"/>
      <c r="C349" s="60"/>
      <c r="D349" s="60"/>
      <c r="E349" s="60"/>
      <c r="F349" s="60"/>
    </row>
    <row r="350">
      <c r="A350" s="60"/>
      <c r="B350" s="60"/>
      <c r="C350" s="60"/>
      <c r="D350" s="60"/>
      <c r="E350" s="60"/>
      <c r="F350" s="60"/>
    </row>
    <row r="351">
      <c r="A351" s="60"/>
      <c r="B351" s="60"/>
      <c r="C351" s="60"/>
      <c r="D351" s="60"/>
      <c r="E351" s="60"/>
      <c r="F351" s="60"/>
    </row>
    <row r="352">
      <c r="A352" s="60"/>
      <c r="B352" s="60"/>
      <c r="C352" s="60"/>
      <c r="D352" s="60"/>
      <c r="E352" s="60"/>
      <c r="F352" s="60"/>
    </row>
    <row r="353">
      <c r="A353" s="60"/>
      <c r="B353" s="60"/>
      <c r="C353" s="60"/>
      <c r="D353" s="60"/>
      <c r="E353" s="60"/>
      <c r="F353" s="60"/>
    </row>
    <row r="354">
      <c r="A354" s="60"/>
      <c r="B354" s="60"/>
      <c r="C354" s="60"/>
      <c r="D354" s="60"/>
      <c r="E354" s="60"/>
      <c r="F354" s="60"/>
    </row>
    <row r="355">
      <c r="A355" s="60"/>
      <c r="B355" s="60"/>
      <c r="C355" s="60"/>
      <c r="D355" s="60"/>
      <c r="E355" s="60"/>
      <c r="F355" s="60"/>
    </row>
    <row r="356">
      <c r="A356" s="60"/>
      <c r="B356" s="60"/>
      <c r="C356" s="60"/>
      <c r="D356" s="60"/>
      <c r="E356" s="60"/>
      <c r="F356" s="60"/>
    </row>
    <row r="357">
      <c r="A357" s="60"/>
      <c r="B357" s="60"/>
      <c r="C357" s="60"/>
      <c r="D357" s="60"/>
      <c r="E357" s="60"/>
      <c r="F357" s="60"/>
    </row>
    <row r="358">
      <c r="A358" s="60"/>
      <c r="B358" s="60"/>
      <c r="C358" s="60"/>
      <c r="D358" s="60"/>
      <c r="E358" s="60"/>
      <c r="F358" s="60"/>
    </row>
    <row r="359">
      <c r="A359" s="60"/>
      <c r="B359" s="60"/>
      <c r="C359" s="60"/>
      <c r="D359" s="60"/>
      <c r="E359" s="60"/>
      <c r="F359" s="60"/>
    </row>
    <row r="360">
      <c r="A360" s="60"/>
      <c r="B360" s="60"/>
      <c r="C360" s="60"/>
      <c r="D360" s="60"/>
      <c r="E360" s="60"/>
      <c r="F360" s="60"/>
    </row>
    <row r="361">
      <c r="A361" s="60"/>
      <c r="B361" s="60"/>
      <c r="C361" s="60"/>
      <c r="D361" s="60"/>
      <c r="E361" s="60"/>
      <c r="F361" s="60"/>
    </row>
    <row r="362">
      <c r="A362" s="60"/>
      <c r="B362" s="60"/>
      <c r="C362" s="60"/>
      <c r="D362" s="60"/>
      <c r="E362" s="60"/>
      <c r="F362" s="60"/>
    </row>
    <row r="363">
      <c r="A363" s="60"/>
      <c r="B363" s="60"/>
      <c r="C363" s="60"/>
      <c r="D363" s="60"/>
      <c r="E363" s="60"/>
      <c r="F363" s="60"/>
    </row>
    <row r="364">
      <c r="A364" s="60"/>
      <c r="B364" s="60"/>
      <c r="C364" s="60"/>
      <c r="D364" s="60"/>
      <c r="E364" s="60"/>
      <c r="F364" s="60"/>
    </row>
    <row r="365">
      <c r="A365" s="60"/>
      <c r="B365" s="60"/>
      <c r="C365" s="60"/>
      <c r="D365" s="60"/>
      <c r="E365" s="60"/>
      <c r="F365" s="60"/>
    </row>
    <row r="366">
      <c r="A366" s="60"/>
      <c r="B366" s="60"/>
      <c r="C366" s="60"/>
      <c r="D366" s="60"/>
      <c r="E366" s="60"/>
      <c r="F366" s="60"/>
    </row>
    <row r="367">
      <c r="A367" s="60"/>
      <c r="B367" s="60"/>
      <c r="C367" s="60"/>
      <c r="D367" s="60"/>
      <c r="E367" s="60"/>
      <c r="F367" s="60"/>
    </row>
    <row r="368">
      <c r="A368" s="60"/>
      <c r="B368" s="60"/>
      <c r="C368" s="60"/>
      <c r="D368" s="60"/>
      <c r="E368" s="60"/>
      <c r="F368" s="60"/>
    </row>
    <row r="369">
      <c r="A369" s="60"/>
      <c r="B369" s="60"/>
      <c r="C369" s="60"/>
      <c r="D369" s="60"/>
      <c r="E369" s="60"/>
      <c r="F369" s="60"/>
    </row>
    <row r="370">
      <c r="A370" s="60"/>
      <c r="B370" s="60"/>
      <c r="C370" s="60"/>
      <c r="D370" s="60"/>
      <c r="E370" s="60"/>
      <c r="F370" s="60"/>
    </row>
    <row r="371">
      <c r="A371" s="60"/>
      <c r="B371" s="60"/>
      <c r="C371" s="60"/>
      <c r="D371" s="60"/>
      <c r="E371" s="60"/>
      <c r="F371" s="60"/>
    </row>
    <row r="372">
      <c r="A372" s="60"/>
      <c r="B372" s="60"/>
      <c r="C372" s="60"/>
      <c r="D372" s="60"/>
      <c r="E372" s="60"/>
      <c r="F372" s="60"/>
    </row>
    <row r="373">
      <c r="A373" s="60"/>
      <c r="B373" s="60"/>
      <c r="C373" s="60"/>
      <c r="D373" s="60"/>
      <c r="E373" s="60"/>
      <c r="F373" s="60"/>
    </row>
    <row r="374">
      <c r="A374" s="60"/>
      <c r="B374" s="60"/>
      <c r="C374" s="60"/>
      <c r="D374" s="60"/>
      <c r="E374" s="60"/>
      <c r="F374" s="60"/>
    </row>
    <row r="375">
      <c r="A375" s="60"/>
      <c r="B375" s="60"/>
      <c r="C375" s="60"/>
      <c r="D375" s="60"/>
      <c r="E375" s="60"/>
      <c r="F375" s="60"/>
    </row>
    <row r="376">
      <c r="A376" s="60"/>
      <c r="B376" s="60"/>
      <c r="C376" s="60"/>
      <c r="D376" s="60"/>
      <c r="E376" s="60"/>
      <c r="F376" s="60"/>
    </row>
    <row r="377">
      <c r="A377" s="60"/>
      <c r="B377" s="60"/>
      <c r="C377" s="60"/>
      <c r="D377" s="60"/>
      <c r="E377" s="60"/>
      <c r="F377" s="60"/>
    </row>
    <row r="378">
      <c r="A378" s="60"/>
      <c r="B378" s="60"/>
      <c r="C378" s="60"/>
      <c r="D378" s="60"/>
      <c r="E378" s="60"/>
      <c r="F378" s="60"/>
    </row>
    <row r="379">
      <c r="A379" s="60"/>
      <c r="B379" s="60"/>
      <c r="C379" s="60"/>
      <c r="D379" s="60"/>
      <c r="E379" s="60"/>
      <c r="F379" s="60"/>
    </row>
    <row r="380">
      <c r="A380" s="60"/>
      <c r="B380" s="60"/>
      <c r="C380" s="60"/>
      <c r="D380" s="60"/>
      <c r="E380" s="60"/>
      <c r="F380" s="60"/>
    </row>
    <row r="381">
      <c r="A381" s="60"/>
      <c r="B381" s="60"/>
      <c r="C381" s="60"/>
      <c r="D381" s="60"/>
      <c r="E381" s="60"/>
      <c r="F381" s="60"/>
    </row>
    <row r="382">
      <c r="A382" s="60"/>
      <c r="B382" s="60"/>
      <c r="C382" s="60"/>
      <c r="D382" s="60"/>
      <c r="E382" s="60"/>
      <c r="F382" s="60"/>
    </row>
    <row r="383">
      <c r="A383" s="60"/>
      <c r="B383" s="60"/>
      <c r="C383" s="60"/>
      <c r="D383" s="60"/>
      <c r="E383" s="60"/>
      <c r="F383" s="60"/>
    </row>
    <row r="384">
      <c r="A384" s="60"/>
      <c r="B384" s="60"/>
      <c r="C384" s="60"/>
      <c r="D384" s="60"/>
      <c r="E384" s="60"/>
      <c r="F384" s="60"/>
    </row>
    <row r="385">
      <c r="A385" s="60"/>
      <c r="B385" s="60"/>
      <c r="C385" s="60"/>
      <c r="D385" s="60"/>
      <c r="E385" s="60"/>
      <c r="F385" s="60"/>
    </row>
    <row r="386">
      <c r="A386" s="60"/>
      <c r="B386" s="60"/>
      <c r="C386" s="60"/>
      <c r="D386" s="60"/>
      <c r="E386" s="60"/>
      <c r="F386" s="60"/>
    </row>
    <row r="387">
      <c r="A387" s="60"/>
      <c r="B387" s="60"/>
      <c r="C387" s="60"/>
      <c r="D387" s="60"/>
      <c r="E387" s="60"/>
      <c r="F387" s="60"/>
    </row>
    <row r="388">
      <c r="A388" s="60"/>
      <c r="B388" s="60"/>
      <c r="C388" s="60"/>
      <c r="D388" s="60"/>
      <c r="E388" s="60"/>
      <c r="F388" s="60"/>
    </row>
    <row r="389">
      <c r="A389" s="60"/>
      <c r="B389" s="60"/>
      <c r="C389" s="60"/>
      <c r="D389" s="60"/>
      <c r="E389" s="60"/>
      <c r="F389" s="60"/>
    </row>
    <row r="390">
      <c r="A390" s="60"/>
      <c r="B390" s="60"/>
      <c r="C390" s="60"/>
      <c r="D390" s="60"/>
      <c r="E390" s="60"/>
      <c r="F390" s="60"/>
    </row>
    <row r="391">
      <c r="A391" s="60"/>
      <c r="B391" s="60"/>
      <c r="C391" s="60"/>
      <c r="D391" s="60"/>
      <c r="E391" s="60"/>
      <c r="F391" s="60"/>
    </row>
    <row r="392">
      <c r="A392" s="60"/>
      <c r="B392" s="60"/>
      <c r="C392" s="60"/>
      <c r="D392" s="60"/>
      <c r="E392" s="60"/>
      <c r="F392" s="60"/>
    </row>
    <row r="393">
      <c r="A393" s="60"/>
      <c r="B393" s="60"/>
      <c r="C393" s="60"/>
      <c r="D393" s="60"/>
      <c r="E393" s="60"/>
      <c r="F393" s="60"/>
    </row>
    <row r="394">
      <c r="A394" s="60"/>
      <c r="B394" s="60"/>
      <c r="C394" s="60"/>
      <c r="D394" s="60"/>
      <c r="E394" s="60"/>
      <c r="F394" s="60"/>
    </row>
    <row r="395">
      <c r="A395" s="60"/>
      <c r="B395" s="60"/>
      <c r="C395" s="60"/>
      <c r="D395" s="60"/>
      <c r="E395" s="60"/>
      <c r="F395" s="60"/>
    </row>
    <row r="396">
      <c r="A396" s="60"/>
      <c r="B396" s="60"/>
      <c r="C396" s="60"/>
      <c r="D396" s="60"/>
      <c r="E396" s="60"/>
      <c r="F396" s="60"/>
    </row>
    <row r="397">
      <c r="A397" s="60"/>
      <c r="B397" s="60"/>
      <c r="C397" s="60"/>
      <c r="D397" s="60"/>
      <c r="E397" s="60"/>
      <c r="F397" s="60"/>
    </row>
    <row r="398">
      <c r="A398" s="60"/>
      <c r="B398" s="60"/>
      <c r="C398" s="60"/>
      <c r="D398" s="60"/>
      <c r="E398" s="60"/>
      <c r="F398" s="60"/>
    </row>
    <row r="399">
      <c r="A399" s="60"/>
      <c r="B399" s="60"/>
      <c r="C399" s="60"/>
      <c r="D399" s="60"/>
      <c r="E399" s="60"/>
      <c r="F399" s="60"/>
    </row>
    <row r="400">
      <c r="A400" s="60"/>
      <c r="B400" s="60"/>
      <c r="C400" s="60"/>
      <c r="D400" s="60"/>
      <c r="E400" s="60"/>
      <c r="F400" s="60"/>
    </row>
    <row r="401">
      <c r="A401" s="60"/>
      <c r="B401" s="60"/>
      <c r="C401" s="60"/>
      <c r="D401" s="60"/>
      <c r="E401" s="60"/>
      <c r="F401" s="60"/>
    </row>
    <row r="402">
      <c r="A402" s="60"/>
      <c r="B402" s="60"/>
      <c r="C402" s="60"/>
      <c r="D402" s="60"/>
      <c r="E402" s="60"/>
      <c r="F402" s="60"/>
    </row>
    <row r="403">
      <c r="A403" s="60"/>
      <c r="B403" s="60"/>
      <c r="C403" s="60"/>
      <c r="D403" s="60"/>
      <c r="E403" s="60"/>
      <c r="F403" s="60"/>
    </row>
    <row r="404">
      <c r="A404" s="60"/>
      <c r="B404" s="60"/>
      <c r="C404" s="60"/>
      <c r="D404" s="60"/>
      <c r="E404" s="60"/>
      <c r="F404" s="60"/>
    </row>
    <row r="405">
      <c r="A405" s="60"/>
      <c r="B405" s="60"/>
      <c r="C405" s="60"/>
      <c r="D405" s="60"/>
      <c r="E405" s="60"/>
      <c r="F405" s="60"/>
    </row>
    <row r="406">
      <c r="A406" s="60"/>
      <c r="B406" s="60"/>
      <c r="C406" s="60"/>
      <c r="D406" s="60"/>
      <c r="E406" s="60"/>
      <c r="F406" s="60"/>
    </row>
    <row r="407">
      <c r="A407" s="60"/>
      <c r="B407" s="60"/>
      <c r="C407" s="60"/>
      <c r="D407" s="60"/>
      <c r="E407" s="60"/>
      <c r="F407" s="60"/>
    </row>
    <row r="408">
      <c r="A408" s="60"/>
      <c r="B408" s="60"/>
      <c r="C408" s="60"/>
      <c r="D408" s="60"/>
      <c r="E408" s="60"/>
      <c r="F408" s="60"/>
    </row>
    <row r="409">
      <c r="A409" s="60"/>
      <c r="B409" s="60"/>
      <c r="C409" s="60"/>
      <c r="D409" s="60"/>
      <c r="E409" s="60"/>
      <c r="F409" s="60"/>
    </row>
    <row r="410">
      <c r="A410" s="60"/>
      <c r="B410" s="60"/>
      <c r="C410" s="60"/>
      <c r="D410" s="60"/>
      <c r="E410" s="60"/>
      <c r="F410" s="60"/>
    </row>
    <row r="411">
      <c r="A411" s="60"/>
      <c r="B411" s="60"/>
      <c r="C411" s="60"/>
      <c r="D411" s="60"/>
      <c r="E411" s="60"/>
      <c r="F411" s="60"/>
    </row>
    <row r="412">
      <c r="A412" s="60"/>
      <c r="B412" s="60"/>
      <c r="C412" s="60"/>
      <c r="D412" s="60"/>
      <c r="E412" s="60"/>
      <c r="F412" s="60"/>
    </row>
    <row r="413">
      <c r="A413" s="60"/>
      <c r="B413" s="60"/>
      <c r="C413" s="60"/>
      <c r="D413" s="60"/>
      <c r="E413" s="60"/>
      <c r="F413" s="60"/>
    </row>
    <row r="414">
      <c r="A414" s="60"/>
      <c r="B414" s="60"/>
      <c r="C414" s="60"/>
      <c r="D414" s="60"/>
      <c r="E414" s="60"/>
      <c r="F414" s="60"/>
    </row>
    <row r="415">
      <c r="A415" s="60"/>
      <c r="B415" s="60"/>
      <c r="C415" s="60"/>
      <c r="D415" s="60"/>
      <c r="E415" s="60"/>
      <c r="F415" s="60"/>
    </row>
    <row r="416">
      <c r="A416" s="60"/>
      <c r="B416" s="60"/>
      <c r="C416" s="60"/>
      <c r="D416" s="60"/>
      <c r="E416" s="60"/>
      <c r="F416" s="60"/>
    </row>
    <row r="417">
      <c r="A417" s="60"/>
      <c r="B417" s="60"/>
      <c r="C417" s="60"/>
      <c r="D417" s="60"/>
      <c r="E417" s="60"/>
      <c r="F417" s="60"/>
    </row>
    <row r="418">
      <c r="A418" s="60"/>
      <c r="B418" s="60"/>
      <c r="C418" s="60"/>
      <c r="D418" s="60"/>
      <c r="E418" s="60"/>
      <c r="F418" s="60"/>
    </row>
    <row r="419">
      <c r="A419" s="60"/>
      <c r="B419" s="60"/>
      <c r="C419" s="60"/>
      <c r="D419" s="60"/>
      <c r="E419" s="60"/>
      <c r="F419" s="60"/>
    </row>
    <row r="420">
      <c r="A420" s="60"/>
      <c r="B420" s="60"/>
      <c r="C420" s="60"/>
      <c r="D420" s="60"/>
      <c r="E420" s="60"/>
      <c r="F420" s="60"/>
    </row>
    <row r="421">
      <c r="A421" s="60"/>
      <c r="B421" s="60"/>
      <c r="C421" s="60"/>
      <c r="D421" s="60"/>
      <c r="E421" s="60"/>
      <c r="F421" s="60"/>
    </row>
    <row r="422">
      <c r="A422" s="60"/>
      <c r="B422" s="60"/>
      <c r="C422" s="60"/>
      <c r="D422" s="60"/>
      <c r="E422" s="60"/>
      <c r="F422" s="60"/>
    </row>
    <row r="423">
      <c r="A423" s="60"/>
      <c r="B423" s="60"/>
      <c r="C423" s="60"/>
      <c r="D423" s="60"/>
      <c r="E423" s="60"/>
      <c r="F423" s="60"/>
    </row>
    <row r="424">
      <c r="A424" s="60"/>
      <c r="B424" s="60"/>
      <c r="C424" s="60"/>
      <c r="D424" s="60"/>
      <c r="E424" s="60"/>
      <c r="F424" s="60"/>
    </row>
    <row r="425">
      <c r="A425" s="60"/>
      <c r="B425" s="60"/>
      <c r="C425" s="60"/>
      <c r="D425" s="60"/>
      <c r="E425" s="60"/>
      <c r="F425" s="60"/>
    </row>
    <row r="426">
      <c r="A426" s="60"/>
      <c r="B426" s="60"/>
      <c r="C426" s="60"/>
      <c r="D426" s="60"/>
      <c r="E426" s="60"/>
      <c r="F426" s="60"/>
    </row>
    <row r="427">
      <c r="A427" s="60"/>
      <c r="B427" s="60"/>
      <c r="C427" s="60"/>
      <c r="D427" s="60"/>
      <c r="E427" s="60"/>
      <c r="F427" s="60"/>
    </row>
    <row r="428">
      <c r="A428" s="60"/>
      <c r="B428" s="60"/>
      <c r="C428" s="60"/>
      <c r="D428" s="60"/>
      <c r="E428" s="60"/>
      <c r="F428" s="60"/>
    </row>
    <row r="429">
      <c r="A429" s="60"/>
      <c r="B429" s="60"/>
      <c r="C429" s="60"/>
      <c r="D429" s="60"/>
      <c r="E429" s="60"/>
      <c r="F429" s="60"/>
    </row>
    <row r="430">
      <c r="A430" s="60"/>
      <c r="B430" s="60"/>
      <c r="C430" s="60"/>
      <c r="D430" s="60"/>
      <c r="E430" s="60"/>
      <c r="F430" s="60"/>
    </row>
    <row r="431">
      <c r="A431" s="60"/>
      <c r="B431" s="60"/>
      <c r="C431" s="60"/>
      <c r="D431" s="60"/>
      <c r="E431" s="60"/>
      <c r="F431" s="60"/>
    </row>
    <row r="432">
      <c r="A432" s="60"/>
      <c r="B432" s="60"/>
      <c r="C432" s="60"/>
      <c r="D432" s="60"/>
      <c r="E432" s="60"/>
      <c r="F432" s="60"/>
    </row>
    <row r="433">
      <c r="A433" s="60"/>
      <c r="B433" s="60"/>
      <c r="C433" s="60"/>
      <c r="D433" s="60"/>
      <c r="E433" s="60"/>
      <c r="F433" s="60"/>
    </row>
    <row r="434">
      <c r="A434" s="60"/>
      <c r="B434" s="60"/>
      <c r="C434" s="60"/>
      <c r="D434" s="60"/>
      <c r="E434" s="60"/>
      <c r="F434" s="60"/>
    </row>
    <row r="435">
      <c r="A435" s="60"/>
      <c r="B435" s="60"/>
      <c r="C435" s="60"/>
      <c r="D435" s="60"/>
      <c r="E435" s="60"/>
      <c r="F435" s="60"/>
    </row>
    <row r="436">
      <c r="A436" s="60"/>
      <c r="B436" s="60"/>
      <c r="C436" s="60"/>
      <c r="D436" s="60"/>
      <c r="E436" s="60"/>
      <c r="F436" s="60"/>
    </row>
    <row r="437">
      <c r="A437" s="60"/>
      <c r="B437" s="60"/>
      <c r="C437" s="60"/>
      <c r="D437" s="60"/>
      <c r="E437" s="60"/>
      <c r="F437" s="60"/>
    </row>
    <row r="438">
      <c r="A438" s="60"/>
      <c r="B438" s="60"/>
      <c r="C438" s="60"/>
      <c r="D438" s="60"/>
      <c r="E438" s="60"/>
      <c r="F438" s="60"/>
    </row>
    <row r="439">
      <c r="A439" s="60"/>
      <c r="B439" s="60"/>
      <c r="C439" s="60"/>
      <c r="D439" s="60"/>
      <c r="E439" s="60"/>
      <c r="F439" s="60"/>
    </row>
    <row r="440">
      <c r="A440" s="60"/>
      <c r="B440" s="60"/>
      <c r="C440" s="60"/>
      <c r="D440" s="60"/>
      <c r="E440" s="60"/>
      <c r="F440" s="60"/>
    </row>
    <row r="441">
      <c r="A441" s="60"/>
      <c r="B441" s="60"/>
      <c r="C441" s="60"/>
      <c r="D441" s="60"/>
      <c r="E441" s="60"/>
      <c r="F441" s="60"/>
    </row>
    <row r="442">
      <c r="A442" s="60"/>
      <c r="B442" s="60"/>
      <c r="C442" s="60"/>
      <c r="D442" s="60"/>
      <c r="E442" s="60"/>
      <c r="F442" s="60"/>
    </row>
    <row r="443">
      <c r="A443" s="60"/>
      <c r="B443" s="60"/>
      <c r="C443" s="60"/>
      <c r="D443" s="60"/>
      <c r="E443" s="60"/>
      <c r="F443" s="60"/>
    </row>
    <row r="444">
      <c r="A444" s="60"/>
      <c r="B444" s="60"/>
      <c r="C444" s="60"/>
      <c r="D444" s="60"/>
      <c r="E444" s="60"/>
      <c r="F444" s="60"/>
    </row>
    <row r="445">
      <c r="A445" s="60"/>
      <c r="B445" s="60"/>
      <c r="C445" s="60"/>
      <c r="D445" s="60"/>
      <c r="E445" s="60"/>
      <c r="F445" s="60"/>
    </row>
    <row r="446">
      <c r="A446" s="60"/>
      <c r="B446" s="60"/>
      <c r="C446" s="60"/>
      <c r="D446" s="60"/>
      <c r="E446" s="60"/>
      <c r="F446" s="60"/>
    </row>
    <row r="447">
      <c r="A447" s="60"/>
      <c r="B447" s="60"/>
      <c r="C447" s="60"/>
      <c r="D447" s="60"/>
      <c r="E447" s="60"/>
      <c r="F447" s="60"/>
    </row>
    <row r="448">
      <c r="A448" s="60"/>
      <c r="B448" s="60"/>
      <c r="C448" s="60"/>
      <c r="D448" s="60"/>
      <c r="E448" s="60"/>
      <c r="F448" s="60"/>
    </row>
    <row r="449">
      <c r="A449" s="60"/>
      <c r="B449" s="60"/>
      <c r="C449" s="60"/>
      <c r="D449" s="60"/>
      <c r="E449" s="60"/>
      <c r="F449" s="60"/>
    </row>
    <row r="450">
      <c r="A450" s="60"/>
      <c r="B450" s="60"/>
      <c r="C450" s="60"/>
      <c r="D450" s="60"/>
      <c r="E450" s="60"/>
      <c r="F450" s="60"/>
    </row>
    <row r="451">
      <c r="A451" s="60"/>
      <c r="B451" s="60"/>
      <c r="C451" s="60"/>
      <c r="D451" s="60"/>
      <c r="E451" s="60"/>
      <c r="F451" s="60"/>
    </row>
    <row r="452">
      <c r="A452" s="60"/>
      <c r="B452" s="60"/>
      <c r="C452" s="60"/>
      <c r="D452" s="60"/>
      <c r="E452" s="60"/>
      <c r="F452" s="60"/>
    </row>
    <row r="453">
      <c r="A453" s="60"/>
      <c r="B453" s="60"/>
      <c r="C453" s="60"/>
      <c r="D453" s="60"/>
      <c r="E453" s="60"/>
      <c r="F453" s="60"/>
    </row>
    <row r="454">
      <c r="A454" s="60"/>
      <c r="B454" s="60"/>
      <c r="C454" s="60"/>
      <c r="D454" s="60"/>
      <c r="E454" s="60"/>
      <c r="F454" s="60"/>
    </row>
    <row r="455">
      <c r="A455" s="60"/>
      <c r="B455" s="60"/>
      <c r="C455" s="60"/>
      <c r="D455" s="60"/>
      <c r="E455" s="60"/>
      <c r="F455" s="60"/>
    </row>
    <row r="456">
      <c r="A456" s="60"/>
      <c r="B456" s="60"/>
      <c r="C456" s="60"/>
      <c r="D456" s="60"/>
      <c r="E456" s="60"/>
      <c r="F456" s="60"/>
    </row>
    <row r="457">
      <c r="A457" s="60"/>
      <c r="B457" s="60"/>
      <c r="C457" s="60"/>
      <c r="D457" s="60"/>
      <c r="E457" s="60"/>
      <c r="F457" s="60"/>
    </row>
    <row r="458">
      <c r="A458" s="60"/>
      <c r="B458" s="60"/>
      <c r="C458" s="60"/>
      <c r="D458" s="60"/>
      <c r="E458" s="60"/>
      <c r="F458" s="60"/>
    </row>
    <row r="459">
      <c r="A459" s="60"/>
      <c r="B459" s="60"/>
      <c r="C459" s="60"/>
      <c r="D459" s="60"/>
      <c r="E459" s="60"/>
      <c r="F459" s="60"/>
    </row>
    <row r="460">
      <c r="A460" s="60"/>
      <c r="B460" s="60"/>
      <c r="C460" s="60"/>
      <c r="D460" s="60"/>
      <c r="E460" s="60"/>
      <c r="F460" s="60"/>
    </row>
    <row r="461">
      <c r="A461" s="60"/>
      <c r="B461" s="60"/>
      <c r="C461" s="60"/>
      <c r="D461" s="60"/>
      <c r="E461" s="60"/>
      <c r="F461" s="60"/>
    </row>
    <row r="462">
      <c r="A462" s="60"/>
      <c r="B462" s="60"/>
      <c r="C462" s="60"/>
      <c r="D462" s="60"/>
      <c r="E462" s="60"/>
      <c r="F462" s="60"/>
    </row>
    <row r="463">
      <c r="A463" s="60"/>
      <c r="B463" s="60"/>
      <c r="C463" s="60"/>
      <c r="D463" s="60"/>
      <c r="E463" s="60"/>
      <c r="F463" s="60"/>
    </row>
    <row r="464">
      <c r="A464" s="60"/>
      <c r="B464" s="60"/>
      <c r="C464" s="60"/>
      <c r="D464" s="60"/>
      <c r="E464" s="60"/>
      <c r="F464" s="60"/>
    </row>
    <row r="465">
      <c r="A465" s="60"/>
      <c r="B465" s="60"/>
      <c r="C465" s="60"/>
      <c r="D465" s="60"/>
      <c r="E465" s="60"/>
      <c r="F465" s="60"/>
    </row>
    <row r="466">
      <c r="A466" s="60"/>
      <c r="B466" s="60"/>
      <c r="C466" s="60"/>
      <c r="D466" s="60"/>
      <c r="E466" s="60"/>
      <c r="F466" s="60"/>
    </row>
    <row r="467">
      <c r="A467" s="60"/>
      <c r="B467" s="60"/>
      <c r="C467" s="60"/>
      <c r="D467" s="60"/>
      <c r="E467" s="60"/>
      <c r="F467" s="60"/>
    </row>
    <row r="468">
      <c r="A468" s="60"/>
      <c r="B468" s="60"/>
      <c r="C468" s="60"/>
      <c r="D468" s="60"/>
      <c r="E468" s="60"/>
      <c r="F468" s="60"/>
    </row>
    <row r="469">
      <c r="A469" s="60"/>
      <c r="B469" s="60"/>
      <c r="C469" s="60"/>
      <c r="D469" s="60"/>
      <c r="E469" s="60"/>
      <c r="F469" s="60"/>
    </row>
    <row r="470">
      <c r="A470" s="60"/>
      <c r="B470" s="60"/>
      <c r="C470" s="60"/>
      <c r="D470" s="60"/>
      <c r="E470" s="60"/>
      <c r="F470" s="60"/>
    </row>
    <row r="471">
      <c r="A471" s="60"/>
      <c r="B471" s="60"/>
      <c r="C471" s="60"/>
      <c r="D471" s="60"/>
      <c r="E471" s="60"/>
      <c r="F471" s="60"/>
    </row>
    <row r="472">
      <c r="A472" s="60"/>
      <c r="B472" s="60"/>
      <c r="C472" s="60"/>
      <c r="D472" s="60"/>
      <c r="E472" s="60"/>
      <c r="F472" s="60"/>
    </row>
    <row r="473">
      <c r="A473" s="60"/>
      <c r="B473" s="60"/>
      <c r="C473" s="60"/>
      <c r="D473" s="60"/>
      <c r="E473" s="60"/>
      <c r="F473" s="60"/>
    </row>
    <row r="474">
      <c r="A474" s="60"/>
      <c r="B474" s="60"/>
      <c r="C474" s="60"/>
      <c r="D474" s="60"/>
      <c r="E474" s="60"/>
      <c r="F474" s="60"/>
    </row>
    <row r="475">
      <c r="A475" s="60"/>
      <c r="B475" s="60"/>
      <c r="C475" s="60"/>
      <c r="D475" s="60"/>
      <c r="E475" s="60"/>
      <c r="F475" s="60"/>
    </row>
    <row r="476">
      <c r="A476" s="60"/>
      <c r="B476" s="60"/>
      <c r="C476" s="60"/>
      <c r="D476" s="60"/>
      <c r="E476" s="60"/>
      <c r="F476" s="60"/>
    </row>
    <row r="477">
      <c r="A477" s="60"/>
      <c r="B477" s="60"/>
      <c r="C477" s="60"/>
      <c r="D477" s="60"/>
      <c r="E477" s="60"/>
      <c r="F477" s="60"/>
    </row>
    <row r="478">
      <c r="A478" s="60"/>
      <c r="B478" s="60"/>
      <c r="C478" s="60"/>
      <c r="D478" s="60"/>
      <c r="E478" s="60"/>
      <c r="F478" s="60"/>
    </row>
    <row r="479">
      <c r="A479" s="60"/>
      <c r="B479" s="60"/>
      <c r="C479" s="60"/>
      <c r="D479" s="60"/>
      <c r="E479" s="60"/>
      <c r="F479" s="60"/>
    </row>
    <row r="480">
      <c r="A480" s="60"/>
      <c r="B480" s="60"/>
      <c r="C480" s="60"/>
      <c r="D480" s="60"/>
      <c r="E480" s="60"/>
      <c r="F480" s="60"/>
    </row>
    <row r="481">
      <c r="A481" s="60"/>
      <c r="B481" s="60"/>
      <c r="C481" s="60"/>
      <c r="D481" s="60"/>
      <c r="E481" s="60"/>
      <c r="F481" s="60"/>
    </row>
    <row r="482">
      <c r="A482" s="60"/>
      <c r="B482" s="60"/>
      <c r="C482" s="60"/>
      <c r="D482" s="60"/>
      <c r="E482" s="60"/>
      <c r="F482" s="60"/>
    </row>
    <row r="483">
      <c r="A483" s="60"/>
      <c r="B483" s="60"/>
      <c r="C483" s="60"/>
      <c r="D483" s="60"/>
      <c r="E483" s="60"/>
      <c r="F483" s="60"/>
    </row>
    <row r="484">
      <c r="A484" s="60"/>
      <c r="B484" s="60"/>
      <c r="C484" s="60"/>
      <c r="D484" s="60"/>
      <c r="E484" s="60"/>
      <c r="F484" s="60"/>
    </row>
    <row r="485">
      <c r="A485" s="60"/>
      <c r="B485" s="60"/>
      <c r="C485" s="60"/>
      <c r="D485" s="60"/>
      <c r="E485" s="60"/>
      <c r="F485" s="60"/>
    </row>
    <row r="486">
      <c r="A486" s="60"/>
      <c r="B486" s="60"/>
      <c r="C486" s="60"/>
      <c r="D486" s="60"/>
      <c r="E486" s="60"/>
      <c r="F486" s="60"/>
    </row>
    <row r="487">
      <c r="A487" s="60"/>
      <c r="B487" s="60"/>
      <c r="C487" s="60"/>
      <c r="D487" s="60"/>
      <c r="E487" s="60"/>
      <c r="F487" s="60"/>
    </row>
    <row r="488">
      <c r="A488" s="60"/>
      <c r="B488" s="60"/>
      <c r="C488" s="60"/>
      <c r="D488" s="60"/>
      <c r="E488" s="60"/>
      <c r="F488" s="60"/>
    </row>
    <row r="489">
      <c r="A489" s="60"/>
      <c r="B489" s="60"/>
      <c r="C489" s="60"/>
      <c r="D489" s="60"/>
      <c r="E489" s="60"/>
      <c r="F489" s="60"/>
    </row>
    <row r="490">
      <c r="A490" s="60"/>
      <c r="B490" s="60"/>
      <c r="C490" s="60"/>
      <c r="D490" s="60"/>
      <c r="E490" s="60"/>
      <c r="F490" s="60"/>
    </row>
    <row r="491">
      <c r="A491" s="60"/>
      <c r="B491" s="60"/>
      <c r="C491" s="60"/>
      <c r="D491" s="60"/>
      <c r="E491" s="60"/>
      <c r="F491" s="60"/>
    </row>
    <row r="492">
      <c r="A492" s="60"/>
      <c r="B492" s="60"/>
      <c r="C492" s="60"/>
      <c r="D492" s="60"/>
      <c r="E492" s="60"/>
      <c r="F492" s="60"/>
    </row>
    <row r="493">
      <c r="A493" s="60"/>
      <c r="B493" s="60"/>
      <c r="C493" s="60"/>
      <c r="D493" s="60"/>
      <c r="E493" s="60"/>
      <c r="F493" s="60"/>
    </row>
    <row r="494">
      <c r="A494" s="60"/>
      <c r="B494" s="60"/>
      <c r="C494" s="60"/>
      <c r="D494" s="60"/>
      <c r="E494" s="60"/>
      <c r="F494" s="60"/>
    </row>
    <row r="495">
      <c r="A495" s="60"/>
      <c r="B495" s="60"/>
      <c r="C495" s="60"/>
      <c r="D495" s="60"/>
      <c r="E495" s="60"/>
      <c r="F495" s="60"/>
    </row>
    <row r="496">
      <c r="A496" s="60"/>
      <c r="B496" s="60"/>
      <c r="C496" s="60"/>
      <c r="D496" s="60"/>
      <c r="E496" s="60"/>
      <c r="F496" s="60"/>
    </row>
    <row r="497">
      <c r="A497" s="60"/>
      <c r="B497" s="60"/>
      <c r="C497" s="60"/>
      <c r="D497" s="60"/>
      <c r="E497" s="60"/>
      <c r="F497" s="60"/>
    </row>
    <row r="498">
      <c r="A498" s="60"/>
      <c r="B498" s="60"/>
      <c r="C498" s="60"/>
      <c r="D498" s="60"/>
      <c r="E498" s="60"/>
      <c r="F498" s="60"/>
    </row>
    <row r="499">
      <c r="A499" s="60"/>
      <c r="B499" s="60"/>
      <c r="C499" s="60"/>
      <c r="D499" s="60"/>
      <c r="E499" s="60"/>
      <c r="F499" s="60"/>
    </row>
    <row r="500">
      <c r="A500" s="60"/>
      <c r="B500" s="60"/>
      <c r="C500" s="60"/>
      <c r="D500" s="60"/>
      <c r="E500" s="60"/>
      <c r="F500" s="60"/>
    </row>
    <row r="501">
      <c r="A501" s="60"/>
      <c r="B501" s="60"/>
      <c r="C501" s="60"/>
      <c r="D501" s="60"/>
      <c r="E501" s="60"/>
      <c r="F501" s="60"/>
    </row>
    <row r="502">
      <c r="A502" s="60"/>
      <c r="B502" s="60"/>
      <c r="C502" s="60"/>
      <c r="D502" s="60"/>
      <c r="E502" s="60"/>
      <c r="F502" s="60"/>
    </row>
    <row r="503">
      <c r="A503" s="60"/>
      <c r="B503" s="60"/>
      <c r="C503" s="60"/>
      <c r="D503" s="60"/>
      <c r="E503" s="60"/>
      <c r="F503" s="60"/>
    </row>
    <row r="504">
      <c r="A504" s="60"/>
      <c r="B504" s="60"/>
      <c r="C504" s="60"/>
      <c r="D504" s="60"/>
      <c r="E504" s="60"/>
      <c r="F504" s="60"/>
    </row>
    <row r="505">
      <c r="A505" s="60"/>
      <c r="B505" s="60"/>
      <c r="C505" s="60"/>
      <c r="D505" s="60"/>
      <c r="E505" s="60"/>
      <c r="F505" s="60"/>
    </row>
    <row r="506">
      <c r="A506" s="60"/>
      <c r="B506" s="60"/>
      <c r="C506" s="60"/>
      <c r="D506" s="60"/>
      <c r="E506" s="60"/>
      <c r="F506" s="60"/>
    </row>
    <row r="507">
      <c r="A507" s="60"/>
      <c r="B507" s="60"/>
      <c r="C507" s="60"/>
      <c r="D507" s="60"/>
      <c r="E507" s="60"/>
      <c r="F507" s="60"/>
    </row>
    <row r="508">
      <c r="A508" s="60"/>
      <c r="B508" s="60"/>
      <c r="C508" s="60"/>
      <c r="D508" s="60"/>
      <c r="E508" s="60"/>
      <c r="F508" s="60"/>
    </row>
    <row r="509">
      <c r="A509" s="60"/>
      <c r="B509" s="60"/>
      <c r="C509" s="60"/>
      <c r="D509" s="60"/>
      <c r="E509" s="60"/>
      <c r="F509" s="60"/>
    </row>
    <row r="510">
      <c r="A510" s="60"/>
      <c r="B510" s="60"/>
      <c r="C510" s="60"/>
      <c r="D510" s="60"/>
      <c r="E510" s="60"/>
      <c r="F510" s="60"/>
    </row>
    <row r="511">
      <c r="A511" s="60"/>
      <c r="B511" s="60"/>
      <c r="C511" s="60"/>
      <c r="D511" s="60"/>
      <c r="E511" s="60"/>
      <c r="F511" s="60"/>
    </row>
    <row r="512">
      <c r="A512" s="60"/>
      <c r="B512" s="60"/>
      <c r="C512" s="60"/>
      <c r="D512" s="60"/>
      <c r="E512" s="60"/>
      <c r="F512" s="60"/>
    </row>
    <row r="513">
      <c r="A513" s="60"/>
      <c r="B513" s="60"/>
      <c r="C513" s="60"/>
      <c r="D513" s="60"/>
      <c r="E513" s="60"/>
      <c r="F513" s="60"/>
    </row>
    <row r="514">
      <c r="A514" s="60"/>
      <c r="B514" s="60"/>
      <c r="C514" s="60"/>
      <c r="D514" s="60"/>
      <c r="E514" s="60"/>
      <c r="F514" s="60"/>
    </row>
    <row r="515">
      <c r="A515" s="60"/>
      <c r="B515" s="60"/>
      <c r="C515" s="60"/>
      <c r="D515" s="60"/>
      <c r="E515" s="60"/>
      <c r="F515" s="60"/>
    </row>
    <row r="516">
      <c r="A516" s="60"/>
      <c r="B516" s="60"/>
      <c r="C516" s="60"/>
      <c r="D516" s="60"/>
      <c r="E516" s="60"/>
      <c r="F516" s="60"/>
    </row>
    <row r="517">
      <c r="A517" s="60"/>
      <c r="B517" s="60"/>
      <c r="C517" s="60"/>
      <c r="D517" s="60"/>
      <c r="E517" s="60"/>
      <c r="F517" s="60"/>
    </row>
    <row r="518">
      <c r="A518" s="60"/>
      <c r="B518" s="60"/>
      <c r="C518" s="60"/>
      <c r="D518" s="60"/>
      <c r="E518" s="60"/>
      <c r="F518" s="60"/>
    </row>
    <row r="519">
      <c r="A519" s="60"/>
      <c r="B519" s="60"/>
      <c r="C519" s="60"/>
      <c r="D519" s="60"/>
      <c r="E519" s="60"/>
      <c r="F519" s="60"/>
    </row>
    <row r="520">
      <c r="A520" s="60"/>
      <c r="B520" s="60"/>
      <c r="C520" s="60"/>
      <c r="D520" s="60"/>
      <c r="E520" s="60"/>
      <c r="F520" s="60"/>
    </row>
    <row r="521">
      <c r="A521" s="60"/>
      <c r="B521" s="60"/>
      <c r="C521" s="60"/>
      <c r="D521" s="60"/>
      <c r="E521" s="60"/>
      <c r="F521" s="60"/>
    </row>
    <row r="522">
      <c r="A522" s="60"/>
      <c r="B522" s="60"/>
      <c r="C522" s="60"/>
      <c r="D522" s="60"/>
      <c r="E522" s="60"/>
      <c r="F522" s="60"/>
    </row>
    <row r="523">
      <c r="A523" s="60"/>
      <c r="B523" s="60"/>
      <c r="C523" s="60"/>
      <c r="D523" s="60"/>
      <c r="E523" s="60"/>
      <c r="F523" s="60"/>
    </row>
    <row r="524">
      <c r="A524" s="60"/>
      <c r="B524" s="60"/>
      <c r="C524" s="60"/>
      <c r="D524" s="60"/>
      <c r="E524" s="60"/>
      <c r="F524" s="60"/>
    </row>
    <row r="525">
      <c r="A525" s="60"/>
      <c r="B525" s="60"/>
      <c r="C525" s="60"/>
      <c r="D525" s="60"/>
      <c r="E525" s="60"/>
      <c r="F525" s="60"/>
    </row>
    <row r="526">
      <c r="A526" s="60"/>
      <c r="B526" s="60"/>
      <c r="C526" s="60"/>
      <c r="D526" s="60"/>
      <c r="E526" s="60"/>
      <c r="F526" s="60"/>
    </row>
    <row r="527">
      <c r="A527" s="60"/>
      <c r="B527" s="60"/>
      <c r="C527" s="60"/>
      <c r="D527" s="60"/>
      <c r="E527" s="60"/>
      <c r="F527" s="60"/>
    </row>
    <row r="528">
      <c r="A528" s="60"/>
      <c r="B528" s="60"/>
      <c r="C528" s="60"/>
      <c r="D528" s="60"/>
      <c r="E528" s="60"/>
      <c r="F528" s="60"/>
    </row>
    <row r="529">
      <c r="A529" s="60"/>
      <c r="B529" s="60"/>
      <c r="C529" s="60"/>
      <c r="D529" s="60"/>
      <c r="E529" s="60"/>
      <c r="F529" s="60"/>
    </row>
    <row r="530">
      <c r="A530" s="60"/>
      <c r="B530" s="60"/>
      <c r="C530" s="60"/>
      <c r="D530" s="60"/>
      <c r="E530" s="60"/>
      <c r="F530" s="60"/>
    </row>
    <row r="531">
      <c r="A531" s="60"/>
      <c r="B531" s="60"/>
      <c r="C531" s="60"/>
      <c r="D531" s="60"/>
      <c r="E531" s="60"/>
      <c r="F531" s="60"/>
    </row>
    <row r="532">
      <c r="A532" s="60"/>
      <c r="B532" s="60"/>
      <c r="C532" s="60"/>
      <c r="D532" s="60"/>
      <c r="E532" s="60"/>
      <c r="F532" s="60"/>
    </row>
    <row r="533">
      <c r="A533" s="60"/>
      <c r="B533" s="60"/>
      <c r="C533" s="60"/>
      <c r="D533" s="60"/>
      <c r="E533" s="60"/>
      <c r="F533" s="60"/>
    </row>
    <row r="534">
      <c r="A534" s="60"/>
      <c r="B534" s="60"/>
      <c r="C534" s="60"/>
      <c r="D534" s="60"/>
      <c r="E534" s="60"/>
      <c r="F534" s="60"/>
    </row>
    <row r="535">
      <c r="A535" s="60"/>
      <c r="B535" s="60"/>
      <c r="C535" s="60"/>
      <c r="D535" s="60"/>
      <c r="E535" s="60"/>
      <c r="F535" s="60"/>
    </row>
    <row r="536">
      <c r="A536" s="60"/>
      <c r="B536" s="60"/>
      <c r="C536" s="60"/>
      <c r="D536" s="60"/>
      <c r="E536" s="60"/>
      <c r="F536" s="60"/>
    </row>
    <row r="537">
      <c r="A537" s="60"/>
      <c r="B537" s="60"/>
      <c r="C537" s="60"/>
      <c r="D537" s="60"/>
      <c r="E537" s="60"/>
      <c r="F537" s="60"/>
    </row>
    <row r="538">
      <c r="A538" s="60"/>
      <c r="B538" s="60"/>
      <c r="C538" s="60"/>
      <c r="D538" s="60"/>
      <c r="E538" s="60"/>
      <c r="F538" s="60"/>
    </row>
    <row r="539">
      <c r="A539" s="60"/>
      <c r="B539" s="60"/>
      <c r="C539" s="60"/>
      <c r="D539" s="60"/>
      <c r="E539" s="60"/>
      <c r="F539" s="60"/>
    </row>
    <row r="540">
      <c r="A540" s="60"/>
      <c r="B540" s="60"/>
      <c r="C540" s="60"/>
      <c r="D540" s="60"/>
      <c r="E540" s="60"/>
      <c r="F540" s="60"/>
    </row>
    <row r="541">
      <c r="A541" s="60"/>
      <c r="B541" s="60"/>
      <c r="C541" s="60"/>
      <c r="D541" s="60"/>
      <c r="E541" s="60"/>
      <c r="F541" s="60"/>
    </row>
    <row r="542">
      <c r="A542" s="60"/>
      <c r="B542" s="60"/>
      <c r="C542" s="60"/>
      <c r="D542" s="60"/>
      <c r="E542" s="60"/>
      <c r="F542" s="60"/>
    </row>
    <row r="543">
      <c r="A543" s="60"/>
      <c r="B543" s="60"/>
      <c r="C543" s="60"/>
      <c r="D543" s="60"/>
      <c r="E543" s="60"/>
      <c r="F543" s="60"/>
    </row>
    <row r="544">
      <c r="A544" s="60"/>
      <c r="B544" s="60"/>
      <c r="C544" s="60"/>
      <c r="D544" s="60"/>
      <c r="E544" s="60"/>
      <c r="F544" s="60"/>
    </row>
    <row r="545">
      <c r="A545" s="60"/>
      <c r="B545" s="60"/>
      <c r="C545" s="60"/>
      <c r="D545" s="60"/>
      <c r="E545" s="60"/>
      <c r="F545" s="60"/>
    </row>
    <row r="546">
      <c r="A546" s="60"/>
      <c r="B546" s="60"/>
      <c r="C546" s="60"/>
      <c r="D546" s="60"/>
      <c r="E546" s="60"/>
      <c r="F546" s="60"/>
    </row>
    <row r="547">
      <c r="A547" s="60"/>
      <c r="B547" s="60"/>
      <c r="C547" s="60"/>
      <c r="D547" s="60"/>
      <c r="E547" s="60"/>
      <c r="F547" s="60"/>
    </row>
    <row r="548">
      <c r="A548" s="60"/>
      <c r="B548" s="60"/>
      <c r="C548" s="60"/>
      <c r="D548" s="60"/>
      <c r="E548" s="60"/>
      <c r="F548" s="60"/>
    </row>
    <row r="549">
      <c r="A549" s="60"/>
      <c r="B549" s="60"/>
      <c r="C549" s="60"/>
      <c r="D549" s="60"/>
      <c r="E549" s="60"/>
      <c r="F549" s="60"/>
    </row>
    <row r="550">
      <c r="A550" s="60"/>
      <c r="B550" s="60"/>
      <c r="C550" s="60"/>
      <c r="D550" s="60"/>
      <c r="E550" s="60"/>
      <c r="F550" s="60"/>
    </row>
    <row r="551">
      <c r="A551" s="60"/>
      <c r="B551" s="60"/>
      <c r="C551" s="60"/>
      <c r="D551" s="60"/>
      <c r="E551" s="60"/>
      <c r="F551" s="60"/>
    </row>
    <row r="552">
      <c r="A552" s="60"/>
      <c r="B552" s="60"/>
      <c r="C552" s="60"/>
      <c r="D552" s="60"/>
      <c r="E552" s="60"/>
      <c r="F552" s="60"/>
    </row>
    <row r="553">
      <c r="A553" s="60"/>
      <c r="B553" s="60"/>
      <c r="C553" s="60"/>
      <c r="D553" s="60"/>
      <c r="E553" s="60"/>
      <c r="F553" s="60"/>
    </row>
    <row r="554">
      <c r="A554" s="60"/>
      <c r="B554" s="60"/>
      <c r="C554" s="60"/>
      <c r="D554" s="60"/>
      <c r="E554" s="60"/>
      <c r="F554" s="60"/>
    </row>
    <row r="555">
      <c r="A555" s="60"/>
      <c r="B555" s="60"/>
      <c r="C555" s="60"/>
      <c r="D555" s="60"/>
      <c r="E555" s="60"/>
      <c r="F555" s="60"/>
    </row>
    <row r="556">
      <c r="A556" s="60"/>
      <c r="B556" s="60"/>
      <c r="C556" s="60"/>
      <c r="D556" s="60"/>
      <c r="E556" s="60"/>
      <c r="F556" s="60"/>
    </row>
    <row r="557">
      <c r="A557" s="60"/>
      <c r="B557" s="60"/>
      <c r="C557" s="60"/>
      <c r="D557" s="60"/>
      <c r="E557" s="60"/>
      <c r="F557" s="60"/>
    </row>
    <row r="558">
      <c r="A558" s="60"/>
      <c r="B558" s="60"/>
      <c r="C558" s="60"/>
      <c r="D558" s="60"/>
      <c r="E558" s="60"/>
      <c r="F558" s="60"/>
    </row>
    <row r="559">
      <c r="A559" s="60"/>
      <c r="B559" s="60"/>
      <c r="C559" s="60"/>
      <c r="D559" s="60"/>
      <c r="E559" s="60"/>
      <c r="F559" s="60"/>
    </row>
    <row r="560">
      <c r="A560" s="60"/>
      <c r="B560" s="60"/>
      <c r="C560" s="60"/>
      <c r="D560" s="60"/>
      <c r="E560" s="60"/>
      <c r="F560" s="60"/>
    </row>
    <row r="561">
      <c r="A561" s="60"/>
      <c r="B561" s="60"/>
      <c r="C561" s="60"/>
      <c r="D561" s="60"/>
      <c r="E561" s="60"/>
      <c r="F561" s="60"/>
    </row>
    <row r="562">
      <c r="A562" s="60"/>
      <c r="B562" s="60"/>
      <c r="C562" s="60"/>
      <c r="D562" s="60"/>
      <c r="E562" s="60"/>
      <c r="F562" s="60"/>
    </row>
    <row r="563">
      <c r="A563" s="60"/>
      <c r="B563" s="60"/>
      <c r="C563" s="60"/>
      <c r="D563" s="60"/>
      <c r="E563" s="60"/>
      <c r="F563" s="60"/>
    </row>
    <row r="564">
      <c r="A564" s="60"/>
      <c r="B564" s="60"/>
      <c r="C564" s="60"/>
      <c r="D564" s="60"/>
      <c r="E564" s="60"/>
      <c r="F564" s="60"/>
    </row>
    <row r="565">
      <c r="A565" s="60"/>
      <c r="B565" s="60"/>
      <c r="C565" s="60"/>
      <c r="D565" s="60"/>
      <c r="E565" s="60"/>
      <c r="F565" s="60"/>
    </row>
    <row r="566">
      <c r="A566" s="60"/>
      <c r="B566" s="60"/>
      <c r="C566" s="60"/>
      <c r="D566" s="60"/>
      <c r="E566" s="60"/>
      <c r="F566" s="60"/>
    </row>
    <row r="567">
      <c r="A567" s="60"/>
      <c r="B567" s="60"/>
      <c r="C567" s="60"/>
      <c r="D567" s="60"/>
      <c r="E567" s="60"/>
      <c r="F567" s="60"/>
    </row>
    <row r="568">
      <c r="A568" s="60"/>
      <c r="B568" s="60"/>
      <c r="C568" s="60"/>
      <c r="D568" s="60"/>
      <c r="E568" s="60"/>
      <c r="F568" s="60"/>
    </row>
    <row r="569">
      <c r="A569" s="60"/>
      <c r="B569" s="60"/>
      <c r="C569" s="60"/>
      <c r="D569" s="60"/>
      <c r="E569" s="60"/>
      <c r="F569" s="60"/>
    </row>
    <row r="570">
      <c r="A570" s="60"/>
      <c r="B570" s="60"/>
      <c r="C570" s="60"/>
      <c r="D570" s="60"/>
      <c r="E570" s="60"/>
      <c r="F570" s="60"/>
    </row>
    <row r="571">
      <c r="A571" s="60"/>
      <c r="B571" s="60"/>
      <c r="C571" s="60"/>
      <c r="D571" s="60"/>
      <c r="E571" s="60"/>
      <c r="F571" s="60"/>
    </row>
    <row r="572">
      <c r="A572" s="60"/>
      <c r="B572" s="60"/>
      <c r="C572" s="60"/>
      <c r="D572" s="60"/>
      <c r="E572" s="60"/>
      <c r="F572" s="60"/>
    </row>
    <row r="573">
      <c r="A573" s="60"/>
      <c r="B573" s="60"/>
      <c r="C573" s="60"/>
      <c r="D573" s="60"/>
      <c r="E573" s="60"/>
      <c r="F573" s="60"/>
    </row>
    <row r="574">
      <c r="A574" s="60"/>
      <c r="B574" s="60"/>
      <c r="C574" s="60"/>
      <c r="D574" s="60"/>
      <c r="E574" s="60"/>
      <c r="F574" s="60"/>
    </row>
    <row r="575">
      <c r="A575" s="60"/>
      <c r="B575" s="60"/>
      <c r="C575" s="60"/>
      <c r="D575" s="60"/>
      <c r="E575" s="60"/>
      <c r="F575" s="60"/>
    </row>
    <row r="576">
      <c r="A576" s="60"/>
      <c r="B576" s="60"/>
      <c r="C576" s="60"/>
      <c r="D576" s="60"/>
      <c r="E576" s="60"/>
      <c r="F576" s="60"/>
    </row>
    <row r="577">
      <c r="A577" s="60"/>
      <c r="B577" s="60"/>
      <c r="C577" s="60"/>
      <c r="D577" s="60"/>
      <c r="E577" s="60"/>
      <c r="F577" s="60"/>
    </row>
    <row r="578">
      <c r="A578" s="60"/>
      <c r="B578" s="60"/>
      <c r="C578" s="60"/>
      <c r="D578" s="60"/>
      <c r="E578" s="60"/>
      <c r="F578" s="60"/>
    </row>
    <row r="579">
      <c r="A579" s="60"/>
      <c r="B579" s="60"/>
      <c r="C579" s="60"/>
      <c r="D579" s="60"/>
      <c r="E579" s="60"/>
      <c r="F579" s="60"/>
    </row>
    <row r="580">
      <c r="A580" s="60"/>
      <c r="B580" s="60"/>
      <c r="C580" s="60"/>
      <c r="D580" s="60"/>
      <c r="E580" s="60"/>
      <c r="F580" s="60"/>
    </row>
    <row r="581">
      <c r="A581" s="60"/>
      <c r="B581" s="60"/>
      <c r="C581" s="60"/>
      <c r="D581" s="60"/>
      <c r="E581" s="60"/>
      <c r="F581" s="60"/>
    </row>
    <row r="582">
      <c r="A582" s="60"/>
      <c r="B582" s="60"/>
      <c r="C582" s="60"/>
      <c r="D582" s="60"/>
      <c r="E582" s="60"/>
      <c r="F582" s="60"/>
    </row>
    <row r="583">
      <c r="A583" s="60"/>
      <c r="B583" s="60"/>
      <c r="C583" s="60"/>
      <c r="D583" s="60"/>
      <c r="E583" s="60"/>
      <c r="F583" s="60"/>
    </row>
    <row r="584">
      <c r="A584" s="60"/>
      <c r="B584" s="60"/>
      <c r="C584" s="60"/>
      <c r="D584" s="60"/>
      <c r="E584" s="60"/>
      <c r="F584" s="60"/>
    </row>
    <row r="585">
      <c r="A585" s="60"/>
      <c r="B585" s="60"/>
      <c r="C585" s="60"/>
      <c r="D585" s="60"/>
      <c r="E585" s="60"/>
      <c r="F585" s="60"/>
    </row>
    <row r="586">
      <c r="A586" s="60"/>
      <c r="B586" s="60"/>
      <c r="C586" s="60"/>
      <c r="D586" s="60"/>
      <c r="E586" s="60"/>
      <c r="F586" s="60"/>
    </row>
    <row r="587">
      <c r="A587" s="60"/>
      <c r="B587" s="60"/>
      <c r="C587" s="60"/>
      <c r="D587" s="60"/>
      <c r="E587" s="60"/>
      <c r="F587" s="60"/>
    </row>
    <row r="588">
      <c r="A588" s="60"/>
      <c r="B588" s="60"/>
      <c r="C588" s="60"/>
      <c r="D588" s="60"/>
      <c r="E588" s="60"/>
      <c r="F588" s="60"/>
    </row>
    <row r="589">
      <c r="A589" s="60"/>
      <c r="B589" s="60"/>
      <c r="C589" s="60"/>
      <c r="D589" s="60"/>
      <c r="E589" s="60"/>
      <c r="F589" s="60"/>
    </row>
    <row r="590">
      <c r="A590" s="60"/>
      <c r="B590" s="60"/>
      <c r="C590" s="60"/>
      <c r="D590" s="60"/>
      <c r="E590" s="60"/>
      <c r="F590" s="60"/>
    </row>
    <row r="591">
      <c r="A591" s="60"/>
      <c r="B591" s="60"/>
      <c r="C591" s="60"/>
      <c r="D591" s="60"/>
      <c r="E591" s="60"/>
      <c r="F591" s="60"/>
    </row>
    <row r="592">
      <c r="A592" s="60"/>
      <c r="B592" s="60"/>
      <c r="C592" s="60"/>
      <c r="D592" s="60"/>
      <c r="E592" s="60"/>
      <c r="F592" s="60"/>
    </row>
    <row r="593">
      <c r="A593" s="60"/>
      <c r="B593" s="60"/>
      <c r="C593" s="60"/>
      <c r="D593" s="60"/>
      <c r="E593" s="60"/>
      <c r="F593" s="60"/>
    </row>
    <row r="594">
      <c r="A594" s="60"/>
      <c r="B594" s="60"/>
      <c r="C594" s="60"/>
      <c r="D594" s="60"/>
      <c r="E594" s="60"/>
      <c r="F594" s="60"/>
    </row>
    <row r="595">
      <c r="A595" s="60"/>
      <c r="B595" s="60"/>
      <c r="C595" s="60"/>
      <c r="D595" s="60"/>
      <c r="E595" s="60"/>
      <c r="F595" s="60"/>
    </row>
    <row r="596">
      <c r="A596" s="60"/>
      <c r="B596" s="60"/>
      <c r="C596" s="60"/>
      <c r="D596" s="60"/>
      <c r="E596" s="60"/>
      <c r="F596" s="60"/>
    </row>
    <row r="597">
      <c r="A597" s="60"/>
      <c r="B597" s="60"/>
      <c r="C597" s="60"/>
      <c r="D597" s="60"/>
      <c r="E597" s="60"/>
      <c r="F597" s="60"/>
    </row>
    <row r="598">
      <c r="A598" s="60"/>
      <c r="B598" s="60"/>
      <c r="C598" s="60"/>
      <c r="D598" s="60"/>
      <c r="E598" s="60"/>
      <c r="F598" s="60"/>
    </row>
    <row r="599">
      <c r="A599" s="60"/>
      <c r="B599" s="60"/>
      <c r="C599" s="60"/>
      <c r="D599" s="60"/>
      <c r="E599" s="60"/>
      <c r="F599" s="60"/>
    </row>
    <row r="600">
      <c r="A600" s="60"/>
      <c r="B600" s="60"/>
      <c r="C600" s="60"/>
      <c r="D600" s="60"/>
      <c r="E600" s="60"/>
      <c r="F600" s="60"/>
    </row>
    <row r="601">
      <c r="A601" s="60"/>
      <c r="B601" s="60"/>
      <c r="C601" s="60"/>
      <c r="D601" s="60"/>
      <c r="E601" s="60"/>
      <c r="F601" s="60"/>
    </row>
    <row r="602">
      <c r="A602" s="60"/>
      <c r="B602" s="60"/>
      <c r="C602" s="60"/>
      <c r="D602" s="60"/>
      <c r="E602" s="60"/>
      <c r="F602" s="60"/>
    </row>
    <row r="603">
      <c r="A603" s="60"/>
      <c r="B603" s="60"/>
      <c r="C603" s="60"/>
      <c r="D603" s="60"/>
      <c r="E603" s="60"/>
      <c r="F603" s="60"/>
    </row>
    <row r="604">
      <c r="A604" s="60"/>
      <c r="B604" s="60"/>
      <c r="C604" s="60"/>
      <c r="D604" s="60"/>
      <c r="E604" s="60"/>
      <c r="F604" s="60"/>
    </row>
    <row r="605">
      <c r="A605" s="60"/>
      <c r="B605" s="60"/>
      <c r="C605" s="60"/>
      <c r="D605" s="60"/>
      <c r="E605" s="60"/>
      <c r="F605" s="60"/>
    </row>
    <row r="606">
      <c r="A606" s="60"/>
      <c r="B606" s="60"/>
      <c r="C606" s="60"/>
      <c r="D606" s="60"/>
      <c r="E606" s="60"/>
      <c r="F606" s="60"/>
    </row>
    <row r="607">
      <c r="A607" s="60"/>
      <c r="B607" s="60"/>
      <c r="C607" s="60"/>
      <c r="D607" s="60"/>
      <c r="E607" s="60"/>
      <c r="F607" s="60"/>
    </row>
    <row r="608">
      <c r="A608" s="60"/>
      <c r="B608" s="60"/>
      <c r="C608" s="60"/>
      <c r="D608" s="60"/>
      <c r="E608" s="60"/>
      <c r="F608" s="60"/>
    </row>
    <row r="609">
      <c r="A609" s="60"/>
      <c r="B609" s="60"/>
      <c r="C609" s="60"/>
      <c r="D609" s="60"/>
      <c r="E609" s="60"/>
      <c r="F609" s="60"/>
    </row>
    <row r="610">
      <c r="A610" s="60"/>
      <c r="B610" s="60"/>
      <c r="C610" s="60"/>
      <c r="D610" s="60"/>
      <c r="E610" s="60"/>
      <c r="F610" s="60"/>
    </row>
    <row r="611">
      <c r="A611" s="60"/>
      <c r="B611" s="60"/>
      <c r="C611" s="60"/>
      <c r="D611" s="60"/>
      <c r="E611" s="60"/>
      <c r="F611" s="60"/>
    </row>
    <row r="612">
      <c r="A612" s="60"/>
      <c r="B612" s="60"/>
      <c r="C612" s="60"/>
      <c r="D612" s="60"/>
      <c r="E612" s="60"/>
      <c r="F612" s="60"/>
    </row>
    <row r="613">
      <c r="A613" s="60"/>
      <c r="B613" s="60"/>
      <c r="C613" s="60"/>
      <c r="D613" s="60"/>
      <c r="E613" s="60"/>
      <c r="F613" s="60"/>
    </row>
    <row r="614">
      <c r="A614" s="60"/>
      <c r="B614" s="60"/>
      <c r="C614" s="60"/>
      <c r="D614" s="60"/>
      <c r="E614" s="60"/>
      <c r="F614" s="60"/>
    </row>
    <row r="615">
      <c r="A615" s="60"/>
      <c r="B615" s="60"/>
      <c r="C615" s="60"/>
      <c r="D615" s="60"/>
      <c r="E615" s="60"/>
      <c r="F615" s="60"/>
    </row>
    <row r="616">
      <c r="A616" s="60"/>
      <c r="B616" s="60"/>
      <c r="C616" s="60"/>
      <c r="D616" s="60"/>
      <c r="E616" s="60"/>
      <c r="F616" s="60"/>
    </row>
    <row r="617">
      <c r="A617" s="60"/>
      <c r="B617" s="60"/>
      <c r="C617" s="60"/>
      <c r="D617" s="60"/>
      <c r="E617" s="60"/>
      <c r="F617" s="60"/>
    </row>
    <row r="618">
      <c r="A618" s="60"/>
      <c r="B618" s="60"/>
      <c r="C618" s="60"/>
      <c r="D618" s="60"/>
      <c r="E618" s="60"/>
      <c r="F618" s="60"/>
    </row>
    <row r="619">
      <c r="A619" s="60"/>
      <c r="B619" s="60"/>
      <c r="C619" s="60"/>
      <c r="D619" s="60"/>
      <c r="E619" s="60"/>
      <c r="F619" s="60"/>
    </row>
    <row r="620">
      <c r="A620" s="60"/>
      <c r="B620" s="60"/>
      <c r="C620" s="60"/>
      <c r="D620" s="60"/>
      <c r="E620" s="60"/>
      <c r="F620" s="60"/>
    </row>
    <row r="621">
      <c r="A621" s="60"/>
      <c r="B621" s="60"/>
      <c r="C621" s="60"/>
      <c r="D621" s="60"/>
      <c r="E621" s="60"/>
      <c r="F621" s="60"/>
    </row>
    <row r="622">
      <c r="A622" s="60"/>
      <c r="B622" s="60"/>
      <c r="C622" s="60"/>
      <c r="D622" s="60"/>
      <c r="E622" s="60"/>
      <c r="F622" s="60"/>
    </row>
    <row r="623">
      <c r="A623" s="60"/>
      <c r="B623" s="60"/>
      <c r="C623" s="60"/>
      <c r="D623" s="60"/>
      <c r="E623" s="60"/>
      <c r="F623" s="60"/>
    </row>
    <row r="624">
      <c r="A624" s="60"/>
      <c r="B624" s="60"/>
      <c r="C624" s="60"/>
      <c r="D624" s="60"/>
      <c r="E624" s="60"/>
      <c r="F624" s="60"/>
    </row>
    <row r="625">
      <c r="A625" s="60"/>
      <c r="B625" s="60"/>
      <c r="C625" s="60"/>
      <c r="D625" s="60"/>
      <c r="E625" s="60"/>
      <c r="F625" s="60"/>
    </row>
    <row r="626">
      <c r="A626" s="60"/>
      <c r="B626" s="60"/>
      <c r="C626" s="60"/>
      <c r="D626" s="60"/>
      <c r="E626" s="60"/>
      <c r="F626" s="60"/>
    </row>
    <row r="627">
      <c r="A627" s="60"/>
      <c r="B627" s="60"/>
      <c r="C627" s="60"/>
      <c r="D627" s="60"/>
      <c r="E627" s="60"/>
      <c r="F627" s="60"/>
    </row>
    <row r="628">
      <c r="A628" s="60"/>
      <c r="B628" s="60"/>
      <c r="C628" s="60"/>
      <c r="D628" s="60"/>
      <c r="E628" s="60"/>
      <c r="F628" s="60"/>
    </row>
    <row r="629">
      <c r="A629" s="60"/>
      <c r="B629" s="60"/>
      <c r="C629" s="60"/>
      <c r="D629" s="60"/>
      <c r="E629" s="60"/>
      <c r="F629" s="60"/>
    </row>
    <row r="630">
      <c r="A630" s="60"/>
      <c r="B630" s="60"/>
      <c r="C630" s="60"/>
      <c r="D630" s="60"/>
      <c r="E630" s="60"/>
      <c r="F630" s="60"/>
    </row>
    <row r="631">
      <c r="A631" s="60"/>
      <c r="B631" s="60"/>
      <c r="C631" s="60"/>
      <c r="D631" s="60"/>
      <c r="E631" s="60"/>
      <c r="F631" s="60"/>
    </row>
    <row r="632">
      <c r="A632" s="60"/>
      <c r="B632" s="60"/>
      <c r="C632" s="60"/>
      <c r="D632" s="60"/>
      <c r="E632" s="60"/>
      <c r="F632" s="60"/>
    </row>
    <row r="633">
      <c r="A633" s="60"/>
      <c r="B633" s="60"/>
      <c r="C633" s="60"/>
      <c r="D633" s="60"/>
      <c r="E633" s="60"/>
      <c r="F633" s="60"/>
    </row>
    <row r="634">
      <c r="A634" s="60"/>
      <c r="B634" s="60"/>
      <c r="C634" s="60"/>
      <c r="D634" s="60"/>
      <c r="E634" s="60"/>
      <c r="F634" s="60"/>
    </row>
    <row r="635">
      <c r="A635" s="60"/>
      <c r="B635" s="60"/>
      <c r="C635" s="60"/>
      <c r="D635" s="60"/>
      <c r="E635" s="60"/>
      <c r="F635" s="60"/>
    </row>
    <row r="636">
      <c r="A636" s="60"/>
      <c r="B636" s="60"/>
      <c r="C636" s="60"/>
      <c r="D636" s="60"/>
      <c r="E636" s="60"/>
      <c r="F636" s="60"/>
    </row>
    <row r="637">
      <c r="A637" s="60"/>
      <c r="B637" s="60"/>
      <c r="C637" s="60"/>
      <c r="D637" s="60"/>
      <c r="E637" s="60"/>
      <c r="F637" s="60"/>
    </row>
    <row r="638">
      <c r="A638" s="60"/>
      <c r="B638" s="60"/>
      <c r="C638" s="60"/>
      <c r="D638" s="60"/>
      <c r="E638" s="60"/>
      <c r="F638" s="60"/>
    </row>
    <row r="639">
      <c r="A639" s="60"/>
      <c r="B639" s="60"/>
      <c r="C639" s="60"/>
      <c r="D639" s="60"/>
      <c r="E639" s="60"/>
      <c r="F639" s="60"/>
    </row>
    <row r="640">
      <c r="A640" s="60"/>
      <c r="B640" s="60"/>
      <c r="C640" s="60"/>
      <c r="D640" s="60"/>
      <c r="E640" s="60"/>
      <c r="F640" s="60"/>
    </row>
    <row r="641">
      <c r="A641" s="60"/>
      <c r="B641" s="60"/>
      <c r="C641" s="60"/>
      <c r="D641" s="60"/>
      <c r="E641" s="60"/>
      <c r="F641" s="60"/>
    </row>
    <row r="642">
      <c r="A642" s="60"/>
      <c r="B642" s="60"/>
      <c r="C642" s="60"/>
      <c r="D642" s="60"/>
      <c r="E642" s="60"/>
      <c r="F642" s="60"/>
    </row>
    <row r="643">
      <c r="A643" s="60"/>
      <c r="B643" s="60"/>
      <c r="C643" s="60"/>
      <c r="D643" s="60"/>
      <c r="E643" s="60"/>
      <c r="F643" s="60"/>
    </row>
    <row r="644">
      <c r="A644" s="60"/>
      <c r="B644" s="60"/>
      <c r="C644" s="60"/>
      <c r="D644" s="60"/>
      <c r="E644" s="60"/>
      <c r="F644" s="60"/>
    </row>
    <row r="645">
      <c r="A645" s="60"/>
      <c r="B645" s="60"/>
      <c r="C645" s="60"/>
      <c r="D645" s="60"/>
      <c r="E645" s="60"/>
      <c r="F645" s="60"/>
    </row>
    <row r="646">
      <c r="A646" s="60"/>
      <c r="B646" s="60"/>
      <c r="C646" s="60"/>
      <c r="D646" s="60"/>
      <c r="E646" s="60"/>
      <c r="F646" s="60"/>
    </row>
    <row r="647">
      <c r="A647" s="60"/>
      <c r="B647" s="60"/>
      <c r="C647" s="60"/>
      <c r="D647" s="60"/>
      <c r="E647" s="60"/>
      <c r="F647" s="60"/>
    </row>
    <row r="648">
      <c r="A648" s="60"/>
      <c r="B648" s="60"/>
      <c r="C648" s="60"/>
      <c r="D648" s="60"/>
      <c r="E648" s="60"/>
      <c r="F648" s="60"/>
    </row>
    <row r="649">
      <c r="A649" s="60"/>
      <c r="B649" s="60"/>
      <c r="C649" s="60"/>
      <c r="D649" s="60"/>
      <c r="E649" s="60"/>
      <c r="F649" s="60"/>
    </row>
    <row r="650">
      <c r="A650" s="60"/>
      <c r="B650" s="60"/>
      <c r="C650" s="60"/>
      <c r="D650" s="60"/>
      <c r="E650" s="60"/>
      <c r="F650" s="60"/>
    </row>
    <row r="651">
      <c r="A651" s="60"/>
      <c r="B651" s="60"/>
      <c r="C651" s="60"/>
      <c r="D651" s="60"/>
      <c r="E651" s="60"/>
      <c r="F651" s="60"/>
    </row>
    <row r="652">
      <c r="A652" s="60"/>
      <c r="B652" s="60"/>
      <c r="C652" s="60"/>
      <c r="D652" s="60"/>
      <c r="E652" s="60"/>
      <c r="F652" s="60"/>
    </row>
    <row r="653">
      <c r="A653" s="60"/>
      <c r="B653" s="60"/>
      <c r="C653" s="60"/>
      <c r="D653" s="60"/>
      <c r="E653" s="60"/>
      <c r="F653" s="60"/>
    </row>
    <row r="654">
      <c r="A654" s="60"/>
      <c r="B654" s="60"/>
      <c r="C654" s="60"/>
      <c r="D654" s="60"/>
      <c r="E654" s="60"/>
      <c r="F654" s="60"/>
    </row>
    <row r="655">
      <c r="A655" s="60"/>
      <c r="B655" s="60"/>
      <c r="C655" s="60"/>
      <c r="D655" s="60"/>
      <c r="E655" s="60"/>
      <c r="F655" s="60"/>
    </row>
    <row r="656">
      <c r="A656" s="60"/>
      <c r="B656" s="60"/>
      <c r="C656" s="60"/>
      <c r="D656" s="60"/>
      <c r="E656" s="60"/>
      <c r="F656" s="60"/>
    </row>
    <row r="657">
      <c r="A657" s="60"/>
      <c r="B657" s="60"/>
      <c r="C657" s="60"/>
      <c r="D657" s="60"/>
      <c r="E657" s="60"/>
      <c r="F657" s="60"/>
    </row>
    <row r="658">
      <c r="A658" s="60"/>
      <c r="B658" s="60"/>
      <c r="C658" s="60"/>
      <c r="D658" s="60"/>
      <c r="E658" s="60"/>
      <c r="F658" s="60"/>
    </row>
    <row r="659">
      <c r="A659" s="60"/>
      <c r="B659" s="60"/>
      <c r="C659" s="60"/>
      <c r="D659" s="60"/>
      <c r="E659" s="60"/>
      <c r="F659" s="60"/>
    </row>
    <row r="660">
      <c r="A660" s="60"/>
      <c r="B660" s="60"/>
      <c r="C660" s="60"/>
      <c r="D660" s="60"/>
      <c r="E660" s="60"/>
      <c r="F660" s="60"/>
    </row>
    <row r="661">
      <c r="A661" s="60"/>
      <c r="B661" s="60"/>
      <c r="C661" s="60"/>
      <c r="D661" s="60"/>
      <c r="E661" s="60"/>
      <c r="F661" s="60"/>
    </row>
    <row r="662">
      <c r="A662" s="60"/>
      <c r="B662" s="60"/>
      <c r="C662" s="60"/>
      <c r="D662" s="60"/>
      <c r="E662" s="60"/>
      <c r="F662" s="60"/>
    </row>
    <row r="663">
      <c r="A663" s="60"/>
      <c r="B663" s="60"/>
      <c r="C663" s="60"/>
      <c r="D663" s="60"/>
      <c r="E663" s="60"/>
      <c r="F663" s="60"/>
    </row>
    <row r="664">
      <c r="A664" s="60"/>
      <c r="B664" s="60"/>
      <c r="C664" s="60"/>
      <c r="D664" s="60"/>
      <c r="E664" s="60"/>
      <c r="F664" s="60"/>
    </row>
    <row r="665">
      <c r="A665" s="60"/>
      <c r="B665" s="60"/>
      <c r="C665" s="60"/>
      <c r="D665" s="60"/>
      <c r="E665" s="60"/>
      <c r="F665" s="60"/>
    </row>
    <row r="666">
      <c r="A666" s="60"/>
      <c r="B666" s="60"/>
      <c r="C666" s="60"/>
      <c r="D666" s="60"/>
      <c r="E666" s="60"/>
      <c r="F666" s="60"/>
    </row>
    <row r="667">
      <c r="A667" s="60"/>
      <c r="B667" s="60"/>
      <c r="C667" s="60"/>
      <c r="D667" s="60"/>
      <c r="E667" s="60"/>
      <c r="F667" s="60"/>
    </row>
    <row r="668">
      <c r="A668" s="60"/>
      <c r="B668" s="60"/>
      <c r="C668" s="60"/>
      <c r="D668" s="60"/>
      <c r="E668" s="60"/>
      <c r="F668" s="60"/>
    </row>
    <row r="669">
      <c r="A669" s="60"/>
      <c r="B669" s="60"/>
      <c r="C669" s="60"/>
      <c r="D669" s="60"/>
      <c r="E669" s="60"/>
      <c r="F669" s="60"/>
    </row>
    <row r="670">
      <c r="A670" s="60"/>
      <c r="B670" s="60"/>
      <c r="C670" s="60"/>
      <c r="D670" s="60"/>
      <c r="E670" s="60"/>
      <c r="F670" s="60"/>
    </row>
    <row r="671">
      <c r="A671" s="60"/>
      <c r="B671" s="60"/>
      <c r="C671" s="60"/>
      <c r="D671" s="60"/>
      <c r="E671" s="60"/>
      <c r="F671" s="60"/>
    </row>
    <row r="672">
      <c r="A672" s="60"/>
      <c r="B672" s="60"/>
      <c r="C672" s="60"/>
      <c r="D672" s="60"/>
      <c r="E672" s="60"/>
      <c r="F672" s="60"/>
    </row>
    <row r="673">
      <c r="A673" s="60"/>
      <c r="B673" s="60"/>
      <c r="C673" s="60"/>
      <c r="D673" s="60"/>
      <c r="E673" s="60"/>
      <c r="F673" s="60"/>
    </row>
    <row r="674">
      <c r="A674" s="60"/>
      <c r="B674" s="60"/>
      <c r="C674" s="60"/>
      <c r="D674" s="60"/>
      <c r="E674" s="60"/>
      <c r="F674" s="60"/>
    </row>
    <row r="675">
      <c r="A675" s="60"/>
      <c r="B675" s="60"/>
      <c r="C675" s="60"/>
      <c r="D675" s="60"/>
      <c r="E675" s="60"/>
      <c r="F675" s="60"/>
    </row>
    <row r="676">
      <c r="A676" s="60"/>
      <c r="B676" s="60"/>
      <c r="C676" s="60"/>
      <c r="D676" s="60"/>
      <c r="E676" s="60"/>
      <c r="F676" s="60"/>
    </row>
    <row r="677">
      <c r="A677" s="60"/>
      <c r="B677" s="60"/>
      <c r="C677" s="60"/>
      <c r="D677" s="60"/>
      <c r="E677" s="60"/>
      <c r="F677" s="60"/>
    </row>
    <row r="678">
      <c r="A678" s="60"/>
      <c r="B678" s="60"/>
      <c r="C678" s="60"/>
      <c r="D678" s="60"/>
      <c r="E678" s="60"/>
      <c r="F678" s="60"/>
    </row>
    <row r="679">
      <c r="A679" s="60"/>
      <c r="B679" s="60"/>
      <c r="C679" s="60"/>
      <c r="D679" s="60"/>
      <c r="E679" s="60"/>
      <c r="F679" s="60"/>
    </row>
    <row r="680">
      <c r="A680" s="60"/>
      <c r="B680" s="60"/>
      <c r="C680" s="60"/>
      <c r="D680" s="60"/>
      <c r="E680" s="60"/>
      <c r="F680" s="60"/>
    </row>
    <row r="681">
      <c r="A681" s="60"/>
      <c r="B681" s="60"/>
      <c r="C681" s="60"/>
      <c r="D681" s="60"/>
      <c r="E681" s="60"/>
      <c r="F681" s="60"/>
    </row>
    <row r="682">
      <c r="A682" s="60"/>
      <c r="B682" s="60"/>
      <c r="C682" s="60"/>
      <c r="D682" s="60"/>
      <c r="E682" s="60"/>
      <c r="F682" s="60"/>
    </row>
    <row r="683">
      <c r="A683" s="60"/>
      <c r="B683" s="60"/>
      <c r="C683" s="60"/>
      <c r="D683" s="60"/>
      <c r="E683" s="60"/>
      <c r="F683" s="60"/>
    </row>
    <row r="684">
      <c r="A684" s="60"/>
      <c r="B684" s="60"/>
      <c r="C684" s="60"/>
      <c r="D684" s="60"/>
      <c r="E684" s="60"/>
      <c r="F684" s="60"/>
    </row>
    <row r="685">
      <c r="A685" s="60"/>
      <c r="B685" s="60"/>
      <c r="C685" s="60"/>
      <c r="D685" s="60"/>
      <c r="E685" s="60"/>
      <c r="F685" s="60"/>
    </row>
    <row r="686">
      <c r="A686" s="60"/>
      <c r="B686" s="60"/>
      <c r="C686" s="60"/>
      <c r="D686" s="60"/>
      <c r="E686" s="60"/>
      <c r="F686" s="60"/>
    </row>
    <row r="687">
      <c r="A687" s="60"/>
      <c r="B687" s="60"/>
      <c r="C687" s="60"/>
      <c r="D687" s="60"/>
      <c r="E687" s="60"/>
      <c r="F687" s="60"/>
    </row>
    <row r="688">
      <c r="A688" s="60"/>
      <c r="B688" s="60"/>
      <c r="C688" s="60"/>
      <c r="D688" s="60"/>
      <c r="E688" s="60"/>
      <c r="F688" s="60"/>
    </row>
    <row r="689">
      <c r="A689" s="60"/>
      <c r="B689" s="60"/>
      <c r="C689" s="60"/>
      <c r="D689" s="60"/>
      <c r="E689" s="60"/>
      <c r="F689" s="60"/>
    </row>
    <row r="690">
      <c r="A690" s="60"/>
      <c r="B690" s="60"/>
      <c r="C690" s="60"/>
      <c r="D690" s="60"/>
      <c r="E690" s="60"/>
      <c r="F690" s="60"/>
    </row>
    <row r="691">
      <c r="A691" s="60"/>
      <c r="B691" s="60"/>
      <c r="C691" s="60"/>
      <c r="D691" s="60"/>
      <c r="E691" s="60"/>
      <c r="F691" s="60"/>
    </row>
    <row r="692">
      <c r="A692" s="60"/>
      <c r="B692" s="60"/>
      <c r="C692" s="60"/>
      <c r="D692" s="60"/>
      <c r="E692" s="60"/>
      <c r="F692" s="60"/>
    </row>
    <row r="693">
      <c r="A693" s="60"/>
      <c r="B693" s="60"/>
      <c r="C693" s="60"/>
      <c r="D693" s="60"/>
      <c r="E693" s="60"/>
      <c r="F693" s="60"/>
    </row>
    <row r="694">
      <c r="A694" s="60"/>
      <c r="B694" s="60"/>
      <c r="C694" s="60"/>
      <c r="D694" s="60"/>
      <c r="E694" s="60"/>
      <c r="F694" s="60"/>
    </row>
    <row r="695">
      <c r="A695" s="60"/>
      <c r="B695" s="60"/>
      <c r="C695" s="60"/>
      <c r="D695" s="60"/>
      <c r="E695" s="60"/>
      <c r="F695" s="60"/>
    </row>
    <row r="696">
      <c r="A696" s="60"/>
      <c r="B696" s="60"/>
      <c r="C696" s="60"/>
      <c r="D696" s="60"/>
      <c r="E696" s="60"/>
      <c r="F696" s="60"/>
    </row>
    <row r="697">
      <c r="A697" s="60"/>
      <c r="B697" s="60"/>
      <c r="C697" s="60"/>
      <c r="D697" s="60"/>
      <c r="E697" s="60"/>
      <c r="F697" s="60"/>
    </row>
    <row r="698">
      <c r="A698" s="60"/>
      <c r="B698" s="60"/>
      <c r="C698" s="60"/>
      <c r="D698" s="60"/>
      <c r="E698" s="60"/>
      <c r="F698" s="60"/>
    </row>
    <row r="699">
      <c r="A699" s="60"/>
      <c r="B699" s="60"/>
      <c r="C699" s="60"/>
      <c r="D699" s="60"/>
      <c r="E699" s="60"/>
      <c r="F699" s="60"/>
    </row>
    <row r="700">
      <c r="A700" s="60"/>
      <c r="B700" s="60"/>
      <c r="C700" s="60"/>
      <c r="D700" s="60"/>
      <c r="E700" s="60"/>
      <c r="F700" s="60"/>
    </row>
    <row r="701">
      <c r="A701" s="60"/>
      <c r="B701" s="60"/>
      <c r="C701" s="60"/>
      <c r="D701" s="60"/>
      <c r="E701" s="60"/>
      <c r="F701" s="60"/>
    </row>
    <row r="702">
      <c r="A702" s="60"/>
      <c r="B702" s="60"/>
      <c r="C702" s="60"/>
      <c r="D702" s="60"/>
      <c r="E702" s="60"/>
      <c r="F702" s="60"/>
    </row>
    <row r="703">
      <c r="A703" s="60"/>
      <c r="B703" s="60"/>
      <c r="C703" s="60"/>
      <c r="D703" s="60"/>
      <c r="E703" s="60"/>
      <c r="F703" s="60"/>
    </row>
    <row r="704">
      <c r="A704" s="60"/>
      <c r="B704" s="60"/>
      <c r="C704" s="60"/>
      <c r="D704" s="60"/>
      <c r="E704" s="60"/>
      <c r="F704" s="60"/>
    </row>
    <row r="705">
      <c r="A705" s="60"/>
      <c r="B705" s="60"/>
      <c r="C705" s="60"/>
      <c r="D705" s="60"/>
      <c r="E705" s="60"/>
      <c r="F705" s="60"/>
    </row>
    <row r="706">
      <c r="A706" s="60"/>
      <c r="B706" s="60"/>
      <c r="C706" s="60"/>
      <c r="D706" s="60"/>
      <c r="E706" s="60"/>
      <c r="F706" s="60"/>
    </row>
    <row r="707">
      <c r="A707" s="60"/>
      <c r="B707" s="60"/>
      <c r="C707" s="60"/>
      <c r="D707" s="60"/>
      <c r="E707" s="60"/>
      <c r="F707" s="60"/>
    </row>
    <row r="708">
      <c r="A708" s="60"/>
      <c r="B708" s="60"/>
      <c r="C708" s="60"/>
      <c r="D708" s="60"/>
      <c r="E708" s="60"/>
      <c r="F708" s="60"/>
    </row>
    <row r="709">
      <c r="A709" s="60"/>
      <c r="B709" s="60"/>
      <c r="C709" s="60"/>
      <c r="D709" s="60"/>
      <c r="E709" s="60"/>
      <c r="F709" s="60"/>
    </row>
    <row r="710">
      <c r="A710" s="60"/>
      <c r="B710" s="60"/>
      <c r="C710" s="60"/>
      <c r="D710" s="60"/>
      <c r="E710" s="60"/>
      <c r="F710" s="60"/>
    </row>
    <row r="711">
      <c r="A711" s="60"/>
      <c r="B711" s="60"/>
      <c r="C711" s="60"/>
      <c r="D711" s="60"/>
      <c r="E711" s="60"/>
      <c r="F711" s="60"/>
    </row>
    <row r="712">
      <c r="A712" s="60"/>
      <c r="B712" s="60"/>
      <c r="C712" s="60"/>
      <c r="D712" s="60"/>
      <c r="E712" s="60"/>
      <c r="F712" s="60"/>
    </row>
    <row r="713">
      <c r="A713" s="60"/>
      <c r="B713" s="60"/>
      <c r="C713" s="60"/>
      <c r="D713" s="60"/>
      <c r="E713" s="60"/>
      <c r="F713" s="60"/>
    </row>
    <row r="714">
      <c r="A714" s="60"/>
      <c r="B714" s="60"/>
      <c r="C714" s="60"/>
      <c r="D714" s="60"/>
      <c r="E714" s="60"/>
      <c r="F714" s="60"/>
    </row>
    <row r="715">
      <c r="A715" s="60"/>
      <c r="B715" s="60"/>
      <c r="C715" s="60"/>
      <c r="D715" s="60"/>
      <c r="E715" s="60"/>
      <c r="F715" s="60"/>
    </row>
    <row r="716">
      <c r="A716" s="60"/>
      <c r="B716" s="60"/>
      <c r="C716" s="60"/>
      <c r="D716" s="60"/>
      <c r="E716" s="60"/>
      <c r="F716" s="60"/>
    </row>
    <row r="717">
      <c r="A717" s="60"/>
      <c r="B717" s="60"/>
      <c r="C717" s="60"/>
      <c r="D717" s="60"/>
      <c r="E717" s="60"/>
      <c r="F717" s="60"/>
    </row>
    <row r="718">
      <c r="A718" s="60"/>
      <c r="B718" s="60"/>
      <c r="C718" s="60"/>
      <c r="D718" s="60"/>
      <c r="E718" s="60"/>
      <c r="F718" s="60"/>
    </row>
    <row r="719">
      <c r="A719" s="60"/>
      <c r="B719" s="60"/>
      <c r="C719" s="60"/>
      <c r="D719" s="60"/>
      <c r="E719" s="60"/>
      <c r="F719" s="60"/>
    </row>
    <row r="720">
      <c r="A720" s="60"/>
      <c r="B720" s="60"/>
      <c r="C720" s="60"/>
      <c r="D720" s="60"/>
      <c r="E720" s="60"/>
      <c r="F720" s="60"/>
    </row>
    <row r="721">
      <c r="A721" s="60"/>
      <c r="B721" s="60"/>
      <c r="C721" s="60"/>
      <c r="D721" s="60"/>
      <c r="E721" s="60"/>
      <c r="F721" s="60"/>
    </row>
    <row r="722">
      <c r="A722" s="60"/>
      <c r="B722" s="60"/>
      <c r="C722" s="60"/>
      <c r="D722" s="60"/>
      <c r="E722" s="60"/>
      <c r="F722" s="60"/>
    </row>
    <row r="723">
      <c r="A723" s="60"/>
      <c r="B723" s="60"/>
      <c r="C723" s="60"/>
      <c r="D723" s="60"/>
      <c r="E723" s="60"/>
      <c r="F723" s="60"/>
    </row>
    <row r="724">
      <c r="A724" s="60"/>
      <c r="B724" s="60"/>
      <c r="C724" s="60"/>
      <c r="D724" s="60"/>
      <c r="E724" s="60"/>
      <c r="F724" s="60"/>
    </row>
    <row r="725">
      <c r="A725" s="60"/>
      <c r="B725" s="60"/>
      <c r="C725" s="60"/>
      <c r="D725" s="60"/>
      <c r="E725" s="60"/>
      <c r="F725" s="60"/>
    </row>
    <row r="726">
      <c r="A726" s="60"/>
      <c r="B726" s="60"/>
      <c r="C726" s="60"/>
      <c r="D726" s="60"/>
      <c r="E726" s="60"/>
      <c r="F726" s="60"/>
    </row>
    <row r="727">
      <c r="A727" s="60"/>
      <c r="B727" s="60"/>
      <c r="C727" s="60"/>
      <c r="D727" s="60"/>
      <c r="E727" s="60"/>
      <c r="F727" s="60"/>
    </row>
    <row r="728">
      <c r="A728" s="60"/>
      <c r="B728" s="60"/>
      <c r="C728" s="60"/>
      <c r="D728" s="60"/>
      <c r="E728" s="60"/>
      <c r="F728" s="60"/>
    </row>
    <row r="729">
      <c r="A729" s="60"/>
      <c r="B729" s="60"/>
      <c r="C729" s="60"/>
      <c r="D729" s="60"/>
      <c r="E729" s="60"/>
      <c r="F729" s="60"/>
    </row>
    <row r="730">
      <c r="A730" s="60"/>
      <c r="B730" s="60"/>
      <c r="C730" s="60"/>
      <c r="D730" s="60"/>
      <c r="E730" s="60"/>
      <c r="F730" s="60"/>
    </row>
    <row r="731">
      <c r="A731" s="60"/>
      <c r="B731" s="60"/>
      <c r="C731" s="60"/>
      <c r="D731" s="60"/>
      <c r="E731" s="60"/>
      <c r="F731" s="60"/>
    </row>
    <row r="732">
      <c r="A732" s="60"/>
      <c r="B732" s="60"/>
      <c r="C732" s="60"/>
      <c r="D732" s="60"/>
      <c r="E732" s="60"/>
      <c r="F732" s="60"/>
    </row>
    <row r="733">
      <c r="A733" s="60"/>
      <c r="B733" s="60"/>
      <c r="C733" s="60"/>
      <c r="D733" s="60"/>
      <c r="E733" s="60"/>
      <c r="F733" s="60"/>
    </row>
    <row r="734">
      <c r="A734" s="60"/>
      <c r="B734" s="60"/>
      <c r="C734" s="60"/>
      <c r="D734" s="60"/>
      <c r="E734" s="60"/>
      <c r="F734" s="60"/>
    </row>
    <row r="735">
      <c r="A735" s="60"/>
      <c r="B735" s="60"/>
      <c r="C735" s="60"/>
      <c r="D735" s="60"/>
      <c r="E735" s="60"/>
      <c r="F735" s="60"/>
    </row>
    <row r="736">
      <c r="A736" s="60"/>
      <c r="B736" s="60"/>
      <c r="C736" s="60"/>
      <c r="D736" s="60"/>
      <c r="E736" s="60"/>
      <c r="F736" s="60"/>
    </row>
    <row r="737">
      <c r="A737" s="60"/>
      <c r="B737" s="60"/>
      <c r="C737" s="60"/>
      <c r="D737" s="60"/>
      <c r="E737" s="60"/>
      <c r="F737" s="60"/>
    </row>
    <row r="738">
      <c r="A738" s="60"/>
      <c r="B738" s="60"/>
      <c r="C738" s="60"/>
      <c r="D738" s="60"/>
      <c r="E738" s="60"/>
      <c r="F738" s="60"/>
    </row>
    <row r="739">
      <c r="A739" s="60"/>
      <c r="B739" s="60"/>
      <c r="C739" s="60"/>
      <c r="D739" s="60"/>
      <c r="E739" s="60"/>
      <c r="F739" s="60"/>
    </row>
    <row r="740">
      <c r="A740" s="60"/>
      <c r="B740" s="60"/>
      <c r="C740" s="60"/>
      <c r="D740" s="60"/>
      <c r="E740" s="60"/>
      <c r="F740" s="60"/>
    </row>
    <row r="741">
      <c r="A741" s="60"/>
      <c r="B741" s="60"/>
      <c r="C741" s="60"/>
      <c r="D741" s="60"/>
      <c r="E741" s="60"/>
      <c r="F741" s="60"/>
    </row>
    <row r="742">
      <c r="A742" s="60"/>
      <c r="B742" s="60"/>
      <c r="C742" s="60"/>
      <c r="D742" s="60"/>
      <c r="E742" s="60"/>
      <c r="F742" s="60"/>
    </row>
    <row r="743">
      <c r="A743" s="60"/>
      <c r="B743" s="60"/>
      <c r="C743" s="60"/>
      <c r="D743" s="60"/>
      <c r="E743" s="60"/>
      <c r="F743" s="60"/>
    </row>
    <row r="744">
      <c r="A744" s="60"/>
      <c r="B744" s="60"/>
      <c r="C744" s="60"/>
      <c r="D744" s="60"/>
      <c r="E744" s="60"/>
      <c r="F744" s="60"/>
    </row>
    <row r="745">
      <c r="A745" s="60"/>
      <c r="B745" s="60"/>
      <c r="C745" s="60"/>
      <c r="D745" s="60"/>
      <c r="E745" s="60"/>
      <c r="F745" s="60"/>
    </row>
    <row r="746">
      <c r="A746" s="60"/>
      <c r="B746" s="60"/>
      <c r="C746" s="60"/>
      <c r="D746" s="60"/>
      <c r="E746" s="60"/>
      <c r="F746" s="60"/>
    </row>
    <row r="747">
      <c r="A747" s="60"/>
      <c r="B747" s="60"/>
      <c r="C747" s="60"/>
      <c r="D747" s="60"/>
      <c r="E747" s="60"/>
      <c r="F747" s="60"/>
    </row>
    <row r="748">
      <c r="A748" s="60"/>
      <c r="B748" s="60"/>
      <c r="C748" s="60"/>
      <c r="D748" s="60"/>
      <c r="E748" s="60"/>
      <c r="F748" s="60"/>
    </row>
    <row r="749">
      <c r="A749" s="60"/>
      <c r="B749" s="60"/>
      <c r="C749" s="60"/>
      <c r="D749" s="60"/>
      <c r="E749" s="60"/>
      <c r="F749" s="60"/>
    </row>
    <row r="750">
      <c r="A750" s="60"/>
      <c r="B750" s="60"/>
      <c r="C750" s="60"/>
      <c r="D750" s="60"/>
      <c r="E750" s="60"/>
      <c r="F750" s="60"/>
    </row>
    <row r="751">
      <c r="A751" s="60"/>
      <c r="B751" s="60"/>
      <c r="C751" s="60"/>
      <c r="D751" s="60"/>
      <c r="E751" s="60"/>
      <c r="F751" s="60"/>
    </row>
    <row r="752">
      <c r="A752" s="60"/>
      <c r="B752" s="60"/>
      <c r="C752" s="60"/>
      <c r="D752" s="60"/>
      <c r="E752" s="60"/>
      <c r="F752" s="60"/>
    </row>
    <row r="753">
      <c r="A753" s="60"/>
      <c r="B753" s="60"/>
      <c r="C753" s="60"/>
      <c r="D753" s="60"/>
      <c r="E753" s="60"/>
      <c r="F753" s="60"/>
    </row>
    <row r="754">
      <c r="A754" s="60"/>
      <c r="B754" s="60"/>
      <c r="C754" s="60"/>
      <c r="D754" s="60"/>
      <c r="E754" s="60"/>
      <c r="F754" s="60"/>
    </row>
    <row r="755">
      <c r="A755" s="60"/>
      <c r="B755" s="60"/>
      <c r="C755" s="60"/>
      <c r="D755" s="60"/>
      <c r="E755" s="60"/>
      <c r="F755" s="60"/>
    </row>
    <row r="756">
      <c r="A756" s="60"/>
      <c r="B756" s="60"/>
      <c r="C756" s="60"/>
      <c r="D756" s="60"/>
      <c r="E756" s="60"/>
      <c r="F756" s="60"/>
    </row>
    <row r="757">
      <c r="A757" s="60"/>
      <c r="B757" s="60"/>
      <c r="C757" s="60"/>
      <c r="D757" s="60"/>
      <c r="E757" s="60"/>
      <c r="F757" s="60"/>
    </row>
    <row r="758">
      <c r="A758" s="60"/>
      <c r="B758" s="60"/>
      <c r="C758" s="60"/>
      <c r="D758" s="60"/>
      <c r="E758" s="60"/>
      <c r="F758" s="60"/>
    </row>
    <row r="759">
      <c r="A759" s="60"/>
      <c r="B759" s="60"/>
      <c r="C759" s="60"/>
      <c r="D759" s="60"/>
      <c r="E759" s="60"/>
      <c r="F759" s="60"/>
    </row>
    <row r="760">
      <c r="A760" s="60"/>
      <c r="B760" s="60"/>
      <c r="C760" s="60"/>
      <c r="D760" s="60"/>
      <c r="E760" s="60"/>
      <c r="F760" s="60"/>
    </row>
    <row r="761">
      <c r="A761" s="60"/>
      <c r="B761" s="60"/>
      <c r="C761" s="60"/>
      <c r="D761" s="60"/>
      <c r="E761" s="60"/>
      <c r="F761" s="60"/>
    </row>
    <row r="762">
      <c r="A762" s="60"/>
      <c r="B762" s="60"/>
      <c r="C762" s="60"/>
      <c r="D762" s="60"/>
      <c r="E762" s="60"/>
      <c r="F762" s="60"/>
    </row>
    <row r="763">
      <c r="A763" s="60"/>
      <c r="B763" s="60"/>
      <c r="C763" s="60"/>
      <c r="D763" s="60"/>
      <c r="E763" s="60"/>
      <c r="F763" s="60"/>
    </row>
    <row r="764">
      <c r="A764" s="60"/>
      <c r="B764" s="60"/>
      <c r="C764" s="60"/>
      <c r="D764" s="60"/>
      <c r="E764" s="60"/>
      <c r="F764" s="60"/>
    </row>
    <row r="765">
      <c r="A765" s="60"/>
      <c r="B765" s="60"/>
      <c r="C765" s="60"/>
      <c r="D765" s="60"/>
      <c r="E765" s="60"/>
      <c r="F765" s="60"/>
    </row>
    <row r="766">
      <c r="A766" s="60"/>
      <c r="B766" s="60"/>
      <c r="C766" s="60"/>
      <c r="D766" s="60"/>
      <c r="E766" s="60"/>
      <c r="F766" s="60"/>
    </row>
    <row r="767">
      <c r="A767" s="60"/>
      <c r="B767" s="60"/>
      <c r="C767" s="60"/>
      <c r="D767" s="60"/>
      <c r="E767" s="60"/>
      <c r="F767" s="60"/>
    </row>
    <row r="768">
      <c r="A768" s="60"/>
      <c r="B768" s="60"/>
      <c r="C768" s="60"/>
      <c r="D768" s="60"/>
      <c r="E768" s="60"/>
      <c r="F768" s="60"/>
    </row>
    <row r="769">
      <c r="A769" s="60"/>
      <c r="B769" s="60"/>
      <c r="C769" s="60"/>
      <c r="D769" s="60"/>
      <c r="E769" s="60"/>
      <c r="F769" s="60"/>
    </row>
    <row r="770">
      <c r="A770" s="60"/>
      <c r="B770" s="60"/>
      <c r="C770" s="60"/>
      <c r="D770" s="60"/>
      <c r="E770" s="60"/>
      <c r="F770" s="60"/>
    </row>
    <row r="771">
      <c r="A771" s="60"/>
      <c r="B771" s="60"/>
      <c r="C771" s="60"/>
      <c r="D771" s="60"/>
      <c r="E771" s="60"/>
      <c r="F771" s="60"/>
    </row>
    <row r="772">
      <c r="A772" s="60"/>
      <c r="B772" s="60"/>
      <c r="C772" s="60"/>
      <c r="D772" s="60"/>
      <c r="E772" s="60"/>
      <c r="F772" s="60"/>
    </row>
    <row r="773">
      <c r="A773" s="60"/>
      <c r="B773" s="60"/>
      <c r="C773" s="60"/>
      <c r="D773" s="60"/>
      <c r="E773" s="60"/>
      <c r="F773" s="60"/>
    </row>
    <row r="774">
      <c r="A774" s="60"/>
      <c r="B774" s="60"/>
      <c r="C774" s="60"/>
      <c r="D774" s="60"/>
      <c r="E774" s="60"/>
      <c r="F774" s="60"/>
    </row>
    <row r="775">
      <c r="A775" s="60"/>
      <c r="B775" s="60"/>
      <c r="C775" s="60"/>
      <c r="D775" s="60"/>
      <c r="E775" s="60"/>
      <c r="F775" s="60"/>
    </row>
    <row r="776">
      <c r="A776" s="60"/>
      <c r="B776" s="60"/>
      <c r="C776" s="60"/>
      <c r="D776" s="60"/>
      <c r="E776" s="60"/>
      <c r="F776" s="60"/>
    </row>
    <row r="777">
      <c r="A777" s="60"/>
      <c r="B777" s="60"/>
      <c r="C777" s="60"/>
      <c r="D777" s="60"/>
      <c r="E777" s="60"/>
      <c r="F777" s="60"/>
    </row>
    <row r="778">
      <c r="A778" s="60"/>
      <c r="B778" s="60"/>
      <c r="C778" s="60"/>
      <c r="D778" s="60"/>
      <c r="E778" s="60"/>
      <c r="F778" s="60"/>
    </row>
    <row r="779">
      <c r="A779" s="60"/>
      <c r="B779" s="60"/>
      <c r="C779" s="60"/>
      <c r="D779" s="60"/>
      <c r="E779" s="60"/>
      <c r="F779" s="60"/>
    </row>
    <row r="780">
      <c r="A780" s="60"/>
      <c r="B780" s="60"/>
      <c r="C780" s="60"/>
      <c r="D780" s="60"/>
      <c r="E780" s="60"/>
      <c r="F780" s="60"/>
    </row>
    <row r="781">
      <c r="A781" s="60"/>
      <c r="B781" s="60"/>
      <c r="C781" s="60"/>
      <c r="D781" s="60"/>
      <c r="E781" s="60"/>
      <c r="F781" s="60"/>
    </row>
    <row r="782">
      <c r="A782" s="60"/>
      <c r="B782" s="60"/>
      <c r="C782" s="60"/>
      <c r="D782" s="60"/>
      <c r="E782" s="60"/>
      <c r="F782" s="60"/>
    </row>
    <row r="783">
      <c r="A783" s="60"/>
      <c r="B783" s="60"/>
      <c r="C783" s="60"/>
      <c r="D783" s="60"/>
      <c r="E783" s="60"/>
      <c r="F783" s="60"/>
    </row>
    <row r="784">
      <c r="A784" s="60"/>
      <c r="B784" s="60"/>
      <c r="C784" s="60"/>
      <c r="D784" s="60"/>
      <c r="E784" s="60"/>
      <c r="F784" s="60"/>
    </row>
    <row r="785">
      <c r="A785" s="60"/>
      <c r="B785" s="60"/>
      <c r="C785" s="60"/>
      <c r="D785" s="60"/>
      <c r="E785" s="60"/>
      <c r="F785" s="60"/>
    </row>
    <row r="786">
      <c r="A786" s="60"/>
      <c r="B786" s="60"/>
      <c r="C786" s="60"/>
      <c r="D786" s="60"/>
      <c r="E786" s="60"/>
      <c r="F786" s="60"/>
    </row>
    <row r="787">
      <c r="A787" s="60"/>
      <c r="B787" s="60"/>
      <c r="C787" s="60"/>
      <c r="D787" s="60"/>
      <c r="E787" s="60"/>
      <c r="F787" s="60"/>
    </row>
    <row r="788">
      <c r="A788" s="60"/>
      <c r="B788" s="60"/>
      <c r="C788" s="60"/>
      <c r="D788" s="60"/>
      <c r="E788" s="60"/>
      <c r="F788" s="60"/>
    </row>
    <row r="789">
      <c r="A789" s="60"/>
      <c r="B789" s="60"/>
      <c r="C789" s="60"/>
      <c r="D789" s="60"/>
      <c r="E789" s="60"/>
      <c r="F789" s="60"/>
    </row>
    <row r="790">
      <c r="A790" s="60"/>
      <c r="B790" s="60"/>
      <c r="C790" s="60"/>
      <c r="D790" s="60"/>
      <c r="E790" s="60"/>
      <c r="F790" s="60"/>
    </row>
    <row r="791">
      <c r="A791" s="60"/>
      <c r="B791" s="60"/>
      <c r="C791" s="60"/>
      <c r="D791" s="60"/>
      <c r="E791" s="60"/>
      <c r="F791" s="60"/>
    </row>
    <row r="792">
      <c r="A792" s="60"/>
      <c r="B792" s="60"/>
      <c r="C792" s="60"/>
      <c r="D792" s="60"/>
      <c r="E792" s="60"/>
      <c r="F792" s="60"/>
    </row>
    <row r="793">
      <c r="A793" s="60"/>
      <c r="B793" s="60"/>
      <c r="C793" s="60"/>
      <c r="D793" s="60"/>
      <c r="E793" s="60"/>
      <c r="F793" s="60"/>
    </row>
    <row r="794">
      <c r="A794" s="60"/>
      <c r="B794" s="60"/>
      <c r="C794" s="60"/>
      <c r="D794" s="60"/>
      <c r="E794" s="60"/>
      <c r="F794" s="60"/>
    </row>
    <row r="795">
      <c r="A795" s="60"/>
      <c r="B795" s="60"/>
      <c r="C795" s="60"/>
      <c r="D795" s="60"/>
      <c r="E795" s="60"/>
      <c r="F795" s="60"/>
    </row>
    <row r="796">
      <c r="A796" s="60"/>
      <c r="B796" s="60"/>
      <c r="C796" s="60"/>
      <c r="D796" s="60"/>
      <c r="E796" s="60"/>
      <c r="F796" s="60"/>
    </row>
    <row r="797">
      <c r="A797" s="60"/>
      <c r="B797" s="60"/>
      <c r="C797" s="60"/>
      <c r="D797" s="60"/>
      <c r="E797" s="60"/>
      <c r="F797" s="60"/>
    </row>
    <row r="798">
      <c r="A798" s="60"/>
      <c r="B798" s="60"/>
      <c r="C798" s="60"/>
      <c r="D798" s="60"/>
      <c r="E798" s="60"/>
      <c r="F798" s="60"/>
    </row>
    <row r="799">
      <c r="A799" s="60"/>
      <c r="B799" s="60"/>
      <c r="C799" s="60"/>
      <c r="D799" s="60"/>
      <c r="E799" s="60"/>
      <c r="F799" s="60"/>
    </row>
    <row r="800">
      <c r="A800" s="60"/>
      <c r="B800" s="60"/>
      <c r="C800" s="60"/>
      <c r="D800" s="60"/>
      <c r="E800" s="60"/>
      <c r="F800" s="60"/>
    </row>
    <row r="801">
      <c r="A801" s="60"/>
      <c r="B801" s="60"/>
      <c r="C801" s="60"/>
      <c r="D801" s="60"/>
      <c r="E801" s="60"/>
      <c r="F801" s="60"/>
    </row>
    <row r="802">
      <c r="A802" s="60"/>
      <c r="B802" s="60"/>
      <c r="C802" s="60"/>
      <c r="D802" s="60"/>
      <c r="E802" s="60"/>
      <c r="F802" s="60"/>
    </row>
    <row r="803">
      <c r="A803" s="60"/>
      <c r="B803" s="60"/>
      <c r="C803" s="60"/>
      <c r="D803" s="60"/>
      <c r="E803" s="60"/>
      <c r="F803" s="60"/>
    </row>
    <row r="804">
      <c r="A804" s="60"/>
      <c r="B804" s="60"/>
      <c r="C804" s="60"/>
      <c r="D804" s="60"/>
      <c r="E804" s="60"/>
      <c r="F804" s="60"/>
    </row>
    <row r="805">
      <c r="A805" s="60"/>
      <c r="B805" s="60"/>
      <c r="C805" s="60"/>
      <c r="D805" s="60"/>
      <c r="E805" s="60"/>
      <c r="F805" s="60"/>
    </row>
    <row r="806">
      <c r="A806" s="60"/>
      <c r="B806" s="60"/>
      <c r="C806" s="60"/>
      <c r="D806" s="60"/>
      <c r="E806" s="60"/>
      <c r="F806" s="60"/>
    </row>
    <row r="807">
      <c r="A807" s="60"/>
      <c r="B807" s="60"/>
      <c r="C807" s="60"/>
      <c r="D807" s="60"/>
      <c r="E807" s="60"/>
      <c r="F807" s="60"/>
    </row>
    <row r="808">
      <c r="A808" s="60"/>
      <c r="B808" s="60"/>
      <c r="C808" s="60"/>
      <c r="D808" s="60"/>
      <c r="E808" s="60"/>
      <c r="F808" s="60"/>
    </row>
    <row r="809">
      <c r="A809" s="60"/>
      <c r="B809" s="60"/>
      <c r="C809" s="60"/>
      <c r="D809" s="60"/>
      <c r="E809" s="60"/>
      <c r="F809" s="60"/>
    </row>
    <row r="810">
      <c r="A810" s="60"/>
      <c r="B810" s="60"/>
      <c r="C810" s="60"/>
      <c r="D810" s="60"/>
      <c r="E810" s="60"/>
      <c r="F810" s="60"/>
    </row>
    <row r="811">
      <c r="A811" s="60"/>
      <c r="B811" s="60"/>
      <c r="C811" s="60"/>
      <c r="D811" s="60"/>
      <c r="E811" s="60"/>
      <c r="F811" s="60"/>
    </row>
    <row r="812">
      <c r="A812" s="60"/>
      <c r="B812" s="60"/>
      <c r="C812" s="60"/>
      <c r="D812" s="60"/>
      <c r="E812" s="60"/>
      <c r="F812" s="60"/>
    </row>
    <row r="813">
      <c r="A813" s="60"/>
      <c r="B813" s="60"/>
      <c r="C813" s="60"/>
      <c r="D813" s="60"/>
      <c r="E813" s="60"/>
      <c r="F813" s="60"/>
    </row>
    <row r="814">
      <c r="A814" s="60"/>
      <c r="B814" s="60"/>
      <c r="C814" s="60"/>
      <c r="D814" s="60"/>
      <c r="E814" s="60"/>
      <c r="F814" s="60"/>
    </row>
    <row r="815">
      <c r="A815" s="60"/>
      <c r="B815" s="60"/>
      <c r="C815" s="60"/>
      <c r="D815" s="60"/>
      <c r="E815" s="60"/>
      <c r="F815" s="60"/>
    </row>
    <row r="816">
      <c r="A816" s="60"/>
      <c r="B816" s="60"/>
      <c r="C816" s="60"/>
      <c r="D816" s="60"/>
      <c r="E816" s="60"/>
      <c r="F816" s="60"/>
    </row>
    <row r="817">
      <c r="A817" s="60"/>
      <c r="B817" s="60"/>
      <c r="C817" s="60"/>
      <c r="D817" s="60"/>
      <c r="E817" s="60"/>
      <c r="F817" s="60"/>
    </row>
    <row r="818">
      <c r="A818" s="60"/>
      <c r="B818" s="60"/>
      <c r="C818" s="60"/>
      <c r="D818" s="60"/>
      <c r="E818" s="60"/>
      <c r="F818" s="60"/>
    </row>
    <row r="819">
      <c r="A819" s="60"/>
      <c r="B819" s="60"/>
      <c r="C819" s="60"/>
      <c r="D819" s="60"/>
      <c r="E819" s="60"/>
      <c r="F819" s="60"/>
    </row>
    <row r="820">
      <c r="A820" s="60"/>
      <c r="B820" s="60"/>
      <c r="C820" s="60"/>
      <c r="D820" s="60"/>
      <c r="E820" s="60"/>
      <c r="F820" s="60"/>
    </row>
    <row r="821">
      <c r="A821" s="60"/>
      <c r="B821" s="60"/>
      <c r="C821" s="60"/>
      <c r="D821" s="60"/>
      <c r="E821" s="60"/>
      <c r="F821" s="60"/>
    </row>
    <row r="822">
      <c r="A822" s="60"/>
      <c r="B822" s="60"/>
      <c r="C822" s="60"/>
      <c r="D822" s="60"/>
      <c r="E822" s="60"/>
      <c r="F822" s="60"/>
    </row>
    <row r="823">
      <c r="A823" s="60"/>
      <c r="B823" s="60"/>
      <c r="C823" s="60"/>
      <c r="D823" s="60"/>
      <c r="E823" s="60"/>
      <c r="F823" s="60"/>
    </row>
    <row r="824">
      <c r="A824" s="60"/>
      <c r="B824" s="60"/>
      <c r="C824" s="60"/>
      <c r="D824" s="60"/>
      <c r="E824" s="60"/>
      <c r="F824" s="60"/>
    </row>
    <row r="825">
      <c r="A825" s="60"/>
      <c r="B825" s="60"/>
      <c r="C825" s="60"/>
      <c r="D825" s="60"/>
      <c r="E825" s="60"/>
      <c r="F825" s="60"/>
    </row>
    <row r="826">
      <c r="A826" s="60"/>
      <c r="B826" s="60"/>
      <c r="C826" s="60"/>
      <c r="D826" s="60"/>
      <c r="E826" s="60"/>
      <c r="F826" s="60"/>
    </row>
    <row r="827">
      <c r="A827" s="60"/>
      <c r="B827" s="60"/>
      <c r="C827" s="60"/>
      <c r="D827" s="60"/>
      <c r="E827" s="60"/>
      <c r="F827" s="60"/>
    </row>
    <row r="828">
      <c r="A828" s="60"/>
      <c r="B828" s="60"/>
      <c r="C828" s="60"/>
      <c r="D828" s="60"/>
      <c r="E828" s="60"/>
      <c r="F828" s="60"/>
    </row>
    <row r="829">
      <c r="A829" s="60"/>
      <c r="B829" s="60"/>
      <c r="C829" s="60"/>
      <c r="D829" s="60"/>
      <c r="E829" s="60"/>
      <c r="F829" s="60"/>
    </row>
    <row r="830">
      <c r="A830" s="60"/>
      <c r="B830" s="60"/>
      <c r="C830" s="60"/>
      <c r="D830" s="60"/>
      <c r="E830" s="60"/>
      <c r="F830" s="60"/>
    </row>
    <row r="831">
      <c r="A831" s="60"/>
      <c r="B831" s="60"/>
      <c r="C831" s="60"/>
      <c r="D831" s="60"/>
      <c r="E831" s="60"/>
      <c r="F831" s="60"/>
    </row>
    <row r="832">
      <c r="A832" s="60"/>
      <c r="B832" s="60"/>
      <c r="C832" s="60"/>
      <c r="D832" s="60"/>
      <c r="E832" s="60"/>
      <c r="F832" s="60"/>
    </row>
    <row r="833">
      <c r="A833" s="60"/>
      <c r="B833" s="60"/>
      <c r="C833" s="60"/>
      <c r="D833" s="60"/>
      <c r="E833" s="60"/>
      <c r="F833" s="60"/>
    </row>
    <row r="834">
      <c r="A834" s="60"/>
      <c r="B834" s="60"/>
      <c r="C834" s="60"/>
      <c r="D834" s="60"/>
      <c r="E834" s="60"/>
      <c r="F834" s="60"/>
    </row>
    <row r="835">
      <c r="A835" s="60"/>
      <c r="B835" s="60"/>
      <c r="C835" s="60"/>
      <c r="D835" s="60"/>
      <c r="E835" s="60"/>
      <c r="F835" s="60"/>
    </row>
    <row r="836">
      <c r="A836" s="60"/>
      <c r="B836" s="60"/>
      <c r="C836" s="60"/>
      <c r="D836" s="60"/>
      <c r="E836" s="60"/>
      <c r="F836" s="60"/>
    </row>
    <row r="837">
      <c r="A837" s="60"/>
      <c r="B837" s="60"/>
      <c r="C837" s="60"/>
      <c r="D837" s="60"/>
      <c r="E837" s="60"/>
      <c r="F837" s="60"/>
    </row>
    <row r="838">
      <c r="A838" s="60"/>
      <c r="B838" s="60"/>
      <c r="C838" s="60"/>
      <c r="D838" s="60"/>
      <c r="E838" s="60"/>
      <c r="F838" s="60"/>
    </row>
    <row r="839">
      <c r="A839" s="60"/>
      <c r="B839" s="60"/>
      <c r="C839" s="60"/>
      <c r="D839" s="60"/>
      <c r="E839" s="60"/>
      <c r="F839" s="60"/>
    </row>
    <row r="840">
      <c r="A840" s="60"/>
      <c r="B840" s="60"/>
      <c r="C840" s="60"/>
      <c r="D840" s="60"/>
      <c r="E840" s="60"/>
      <c r="F840" s="60"/>
    </row>
    <row r="841">
      <c r="A841" s="60"/>
      <c r="B841" s="60"/>
      <c r="C841" s="60"/>
      <c r="D841" s="60"/>
      <c r="E841" s="60"/>
      <c r="F841" s="60"/>
    </row>
    <row r="842">
      <c r="A842" s="60"/>
      <c r="B842" s="60"/>
      <c r="C842" s="60"/>
      <c r="D842" s="60"/>
      <c r="E842" s="60"/>
      <c r="F842" s="60"/>
    </row>
    <row r="843">
      <c r="A843" s="60"/>
      <c r="B843" s="60"/>
      <c r="C843" s="60"/>
      <c r="D843" s="60"/>
      <c r="E843" s="60"/>
      <c r="F843" s="60"/>
    </row>
    <row r="844">
      <c r="A844" s="60"/>
      <c r="B844" s="60"/>
      <c r="C844" s="60"/>
      <c r="D844" s="60"/>
      <c r="E844" s="60"/>
      <c r="F844" s="60"/>
    </row>
    <row r="845">
      <c r="A845" s="60"/>
      <c r="B845" s="60"/>
      <c r="C845" s="60"/>
      <c r="D845" s="60"/>
      <c r="E845" s="60"/>
      <c r="F845" s="60"/>
    </row>
    <row r="846">
      <c r="A846" s="60"/>
      <c r="B846" s="60"/>
      <c r="C846" s="60"/>
      <c r="D846" s="60"/>
      <c r="E846" s="60"/>
      <c r="F846" s="60"/>
    </row>
    <row r="847">
      <c r="A847" s="60"/>
      <c r="B847" s="60"/>
      <c r="C847" s="60"/>
      <c r="D847" s="60"/>
      <c r="E847" s="60"/>
      <c r="F847" s="60"/>
    </row>
    <row r="848">
      <c r="A848" s="60"/>
      <c r="B848" s="60"/>
      <c r="C848" s="60"/>
      <c r="D848" s="60"/>
      <c r="E848" s="60"/>
      <c r="F848" s="60"/>
    </row>
    <row r="849">
      <c r="A849" s="60"/>
      <c r="B849" s="60"/>
      <c r="C849" s="60"/>
      <c r="D849" s="60"/>
      <c r="E849" s="60"/>
      <c r="F849" s="60"/>
    </row>
    <row r="850">
      <c r="A850" s="60"/>
      <c r="B850" s="60"/>
      <c r="C850" s="60"/>
      <c r="D850" s="60"/>
      <c r="E850" s="60"/>
      <c r="F850" s="60"/>
    </row>
    <row r="851">
      <c r="A851" s="60"/>
      <c r="B851" s="60"/>
      <c r="C851" s="60"/>
      <c r="D851" s="60"/>
      <c r="E851" s="60"/>
      <c r="F851" s="60"/>
    </row>
    <row r="852">
      <c r="A852" s="60"/>
      <c r="B852" s="60"/>
      <c r="C852" s="60"/>
      <c r="D852" s="60"/>
      <c r="E852" s="60"/>
      <c r="F852" s="60"/>
    </row>
    <row r="853">
      <c r="A853" s="60"/>
      <c r="B853" s="60"/>
      <c r="C853" s="60"/>
      <c r="D853" s="60"/>
      <c r="E853" s="60"/>
      <c r="F853" s="60"/>
    </row>
    <row r="854">
      <c r="A854" s="60"/>
      <c r="B854" s="60"/>
      <c r="C854" s="60"/>
      <c r="D854" s="60"/>
      <c r="E854" s="60"/>
      <c r="F854" s="60"/>
    </row>
    <row r="855">
      <c r="A855" s="60"/>
      <c r="B855" s="60"/>
      <c r="C855" s="60"/>
      <c r="D855" s="60"/>
      <c r="E855" s="60"/>
      <c r="F855" s="60"/>
    </row>
    <row r="856">
      <c r="A856" s="60"/>
      <c r="B856" s="60"/>
      <c r="C856" s="60"/>
      <c r="D856" s="60"/>
      <c r="E856" s="60"/>
      <c r="F856" s="60"/>
    </row>
    <row r="857">
      <c r="A857" s="60"/>
      <c r="B857" s="60"/>
      <c r="C857" s="60"/>
      <c r="D857" s="60"/>
      <c r="E857" s="60"/>
      <c r="F857" s="60"/>
    </row>
    <row r="858">
      <c r="A858" s="60"/>
      <c r="B858" s="60"/>
      <c r="C858" s="60"/>
      <c r="D858" s="60"/>
      <c r="E858" s="60"/>
      <c r="F858" s="60"/>
    </row>
    <row r="859">
      <c r="A859" s="60"/>
      <c r="B859" s="60"/>
      <c r="C859" s="60"/>
      <c r="D859" s="60"/>
      <c r="E859" s="60"/>
      <c r="F859" s="60"/>
    </row>
    <row r="860">
      <c r="A860" s="60"/>
      <c r="B860" s="60"/>
      <c r="C860" s="60"/>
      <c r="D860" s="60"/>
      <c r="E860" s="60"/>
      <c r="F860" s="60"/>
    </row>
    <row r="861">
      <c r="A861" s="60"/>
      <c r="B861" s="60"/>
      <c r="C861" s="60"/>
      <c r="D861" s="60"/>
      <c r="E861" s="60"/>
      <c r="F861" s="60"/>
    </row>
    <row r="862">
      <c r="A862" s="60"/>
      <c r="B862" s="60"/>
      <c r="C862" s="60"/>
      <c r="D862" s="60"/>
      <c r="E862" s="60"/>
      <c r="F862" s="60"/>
    </row>
    <row r="863">
      <c r="A863" s="60"/>
      <c r="B863" s="60"/>
      <c r="C863" s="60"/>
      <c r="D863" s="60"/>
      <c r="E863" s="60"/>
      <c r="F863" s="60"/>
    </row>
    <row r="864">
      <c r="A864" s="60"/>
      <c r="B864" s="60"/>
      <c r="C864" s="60"/>
      <c r="D864" s="60"/>
      <c r="E864" s="60"/>
      <c r="F864" s="60"/>
    </row>
    <row r="865">
      <c r="A865" s="60"/>
      <c r="B865" s="60"/>
      <c r="C865" s="60"/>
      <c r="D865" s="60"/>
      <c r="E865" s="60"/>
      <c r="F865" s="60"/>
    </row>
    <row r="866">
      <c r="A866" s="60"/>
      <c r="B866" s="60"/>
      <c r="C866" s="60"/>
      <c r="D866" s="60"/>
      <c r="E866" s="60"/>
      <c r="F866" s="60"/>
    </row>
    <row r="867">
      <c r="A867" s="60"/>
      <c r="B867" s="60"/>
      <c r="C867" s="60"/>
      <c r="D867" s="60"/>
      <c r="E867" s="60"/>
      <c r="F867" s="60"/>
    </row>
    <row r="868">
      <c r="A868" s="60"/>
      <c r="B868" s="60"/>
      <c r="C868" s="60"/>
      <c r="D868" s="60"/>
      <c r="E868" s="60"/>
      <c r="F868" s="60"/>
    </row>
    <row r="869">
      <c r="A869" s="60"/>
      <c r="B869" s="60"/>
      <c r="C869" s="60"/>
      <c r="D869" s="60"/>
      <c r="E869" s="60"/>
      <c r="F869" s="60"/>
    </row>
    <row r="870">
      <c r="A870" s="60"/>
      <c r="B870" s="60"/>
      <c r="C870" s="60"/>
      <c r="D870" s="60"/>
      <c r="E870" s="60"/>
      <c r="F870" s="60"/>
    </row>
    <row r="871">
      <c r="A871" s="60"/>
      <c r="B871" s="60"/>
      <c r="C871" s="60"/>
      <c r="D871" s="60"/>
      <c r="E871" s="60"/>
      <c r="F871" s="60"/>
    </row>
    <row r="872">
      <c r="A872" s="60"/>
      <c r="B872" s="60"/>
      <c r="C872" s="60"/>
      <c r="D872" s="60"/>
      <c r="E872" s="60"/>
      <c r="F872" s="60"/>
    </row>
    <row r="873">
      <c r="A873" s="60"/>
      <c r="B873" s="60"/>
      <c r="C873" s="60"/>
      <c r="D873" s="60"/>
      <c r="E873" s="60"/>
      <c r="F873" s="60"/>
    </row>
    <row r="874">
      <c r="A874" s="60"/>
      <c r="B874" s="60"/>
      <c r="C874" s="60"/>
      <c r="D874" s="60"/>
      <c r="E874" s="60"/>
      <c r="F874" s="60"/>
    </row>
    <row r="875">
      <c r="A875" s="60"/>
      <c r="B875" s="60"/>
      <c r="C875" s="60"/>
      <c r="D875" s="60"/>
      <c r="E875" s="60"/>
      <c r="F875" s="60"/>
    </row>
    <row r="876">
      <c r="A876" s="60"/>
      <c r="B876" s="60"/>
      <c r="C876" s="60"/>
      <c r="D876" s="60"/>
      <c r="E876" s="60"/>
      <c r="F876" s="60"/>
    </row>
    <row r="877">
      <c r="A877" s="60"/>
      <c r="B877" s="60"/>
      <c r="C877" s="60"/>
      <c r="D877" s="60"/>
      <c r="E877" s="60"/>
      <c r="F877" s="60"/>
    </row>
    <row r="878">
      <c r="A878" s="60"/>
      <c r="B878" s="60"/>
      <c r="C878" s="60"/>
      <c r="D878" s="60"/>
      <c r="E878" s="60"/>
      <c r="F878" s="60"/>
    </row>
    <row r="879">
      <c r="A879" s="60"/>
      <c r="B879" s="60"/>
      <c r="C879" s="60"/>
      <c r="D879" s="60"/>
      <c r="E879" s="60"/>
      <c r="F879" s="60"/>
    </row>
    <row r="880">
      <c r="A880" s="60"/>
      <c r="B880" s="60"/>
      <c r="C880" s="60"/>
      <c r="D880" s="60"/>
      <c r="E880" s="60"/>
      <c r="F880" s="60"/>
    </row>
    <row r="881">
      <c r="A881" s="60"/>
      <c r="B881" s="60"/>
      <c r="C881" s="60"/>
      <c r="D881" s="60"/>
      <c r="E881" s="60"/>
      <c r="F881" s="60"/>
    </row>
    <row r="882">
      <c r="A882" s="60"/>
      <c r="B882" s="60"/>
      <c r="C882" s="60"/>
      <c r="D882" s="60"/>
      <c r="E882" s="60"/>
      <c r="F882" s="60"/>
    </row>
    <row r="883">
      <c r="A883" s="60"/>
      <c r="B883" s="60"/>
      <c r="C883" s="60"/>
      <c r="D883" s="60"/>
      <c r="E883" s="60"/>
      <c r="F883" s="60"/>
    </row>
    <row r="884">
      <c r="A884" s="60"/>
      <c r="B884" s="60"/>
      <c r="C884" s="60"/>
      <c r="D884" s="60"/>
      <c r="E884" s="60"/>
      <c r="F884" s="60"/>
    </row>
    <row r="885">
      <c r="A885" s="60"/>
      <c r="B885" s="60"/>
      <c r="C885" s="60"/>
      <c r="D885" s="60"/>
      <c r="E885" s="60"/>
      <c r="F885" s="60"/>
    </row>
    <row r="886">
      <c r="A886" s="60"/>
      <c r="B886" s="60"/>
      <c r="C886" s="60"/>
      <c r="D886" s="60"/>
      <c r="E886" s="60"/>
      <c r="F886" s="60"/>
    </row>
    <row r="887">
      <c r="A887" s="60"/>
      <c r="B887" s="60"/>
      <c r="C887" s="60"/>
      <c r="D887" s="60"/>
      <c r="E887" s="60"/>
      <c r="F887" s="60"/>
    </row>
    <row r="888">
      <c r="A888" s="60"/>
      <c r="B888" s="60"/>
      <c r="C888" s="60"/>
      <c r="D888" s="60"/>
      <c r="E888" s="60"/>
      <c r="F888" s="60"/>
    </row>
    <row r="889">
      <c r="A889" s="60"/>
      <c r="B889" s="60"/>
      <c r="C889" s="60"/>
      <c r="D889" s="60"/>
      <c r="E889" s="60"/>
      <c r="F889" s="60"/>
    </row>
    <row r="890">
      <c r="A890" s="60"/>
      <c r="B890" s="60"/>
      <c r="C890" s="60"/>
      <c r="D890" s="60"/>
      <c r="E890" s="60"/>
      <c r="F890" s="60"/>
    </row>
    <row r="891">
      <c r="A891" s="60"/>
      <c r="B891" s="60"/>
      <c r="C891" s="60"/>
      <c r="D891" s="60"/>
      <c r="E891" s="60"/>
      <c r="F891" s="60"/>
    </row>
    <row r="892">
      <c r="A892" s="60"/>
      <c r="B892" s="60"/>
      <c r="C892" s="60"/>
      <c r="D892" s="60"/>
      <c r="E892" s="60"/>
      <c r="F892" s="60"/>
    </row>
    <row r="893">
      <c r="A893" s="60"/>
      <c r="B893" s="60"/>
      <c r="C893" s="60"/>
      <c r="D893" s="60"/>
      <c r="E893" s="60"/>
      <c r="F893" s="60"/>
    </row>
    <row r="894">
      <c r="A894" s="60"/>
      <c r="B894" s="60"/>
      <c r="C894" s="60"/>
      <c r="D894" s="60"/>
      <c r="E894" s="60"/>
      <c r="F894" s="60"/>
    </row>
    <row r="895">
      <c r="A895" s="60"/>
      <c r="B895" s="60"/>
      <c r="C895" s="60"/>
      <c r="D895" s="60"/>
      <c r="E895" s="60"/>
      <c r="F895" s="60"/>
    </row>
    <row r="896">
      <c r="A896" s="60"/>
      <c r="B896" s="60"/>
      <c r="C896" s="60"/>
      <c r="D896" s="60"/>
      <c r="E896" s="60"/>
      <c r="F896" s="60"/>
    </row>
    <row r="897">
      <c r="A897" s="60"/>
      <c r="B897" s="60"/>
      <c r="C897" s="60"/>
      <c r="D897" s="60"/>
      <c r="E897" s="60"/>
      <c r="F897" s="60"/>
    </row>
    <row r="898">
      <c r="A898" s="60"/>
      <c r="B898" s="60"/>
      <c r="C898" s="60"/>
      <c r="D898" s="60"/>
      <c r="E898" s="60"/>
      <c r="F898" s="60"/>
    </row>
    <row r="899">
      <c r="A899" s="60"/>
      <c r="B899" s="60"/>
      <c r="C899" s="60"/>
      <c r="D899" s="60"/>
      <c r="E899" s="60"/>
      <c r="F899" s="60"/>
    </row>
    <row r="900">
      <c r="A900" s="60"/>
      <c r="B900" s="60"/>
      <c r="C900" s="60"/>
      <c r="D900" s="60"/>
      <c r="E900" s="60"/>
      <c r="F900" s="60"/>
    </row>
    <row r="901">
      <c r="A901" s="60"/>
      <c r="B901" s="60"/>
      <c r="C901" s="60"/>
      <c r="D901" s="60"/>
      <c r="E901" s="60"/>
      <c r="F901" s="60"/>
    </row>
    <row r="902">
      <c r="A902" s="60"/>
      <c r="B902" s="60"/>
      <c r="C902" s="60"/>
      <c r="D902" s="60"/>
      <c r="E902" s="60"/>
      <c r="F902" s="60"/>
    </row>
    <row r="903">
      <c r="A903" s="60"/>
      <c r="B903" s="60"/>
      <c r="C903" s="60"/>
      <c r="D903" s="60"/>
      <c r="E903" s="60"/>
      <c r="F903" s="60"/>
    </row>
    <row r="904">
      <c r="A904" s="60"/>
      <c r="B904" s="60"/>
      <c r="C904" s="60"/>
      <c r="D904" s="60"/>
      <c r="E904" s="60"/>
      <c r="F904" s="60"/>
    </row>
    <row r="905">
      <c r="A905" s="60"/>
      <c r="B905" s="60"/>
      <c r="C905" s="60"/>
      <c r="D905" s="60"/>
      <c r="E905" s="60"/>
      <c r="F905" s="60"/>
    </row>
    <row r="906">
      <c r="A906" s="60"/>
      <c r="B906" s="60"/>
      <c r="C906" s="60"/>
      <c r="D906" s="60"/>
      <c r="E906" s="60"/>
      <c r="F906" s="60"/>
    </row>
    <row r="907">
      <c r="A907" s="60"/>
      <c r="B907" s="60"/>
      <c r="C907" s="60"/>
      <c r="D907" s="60"/>
      <c r="E907" s="60"/>
      <c r="F907" s="60"/>
    </row>
    <row r="908">
      <c r="A908" s="60"/>
      <c r="B908" s="60"/>
      <c r="C908" s="60"/>
      <c r="D908" s="60"/>
      <c r="E908" s="60"/>
      <c r="F908" s="60"/>
    </row>
    <row r="909">
      <c r="A909" s="60"/>
      <c r="B909" s="60"/>
      <c r="C909" s="60"/>
      <c r="D909" s="60"/>
      <c r="E909" s="60"/>
      <c r="F909" s="60"/>
    </row>
    <row r="910">
      <c r="A910" s="60"/>
      <c r="B910" s="60"/>
      <c r="C910" s="60"/>
      <c r="D910" s="60"/>
      <c r="E910" s="60"/>
      <c r="F910" s="60"/>
    </row>
    <row r="911">
      <c r="A911" s="60"/>
      <c r="B911" s="60"/>
      <c r="C911" s="60"/>
      <c r="D911" s="60"/>
      <c r="E911" s="60"/>
      <c r="F911" s="60"/>
    </row>
    <row r="912">
      <c r="A912" s="60"/>
      <c r="B912" s="60"/>
      <c r="C912" s="60"/>
      <c r="D912" s="60"/>
      <c r="E912" s="60"/>
      <c r="F912" s="60"/>
    </row>
    <row r="913">
      <c r="A913" s="60"/>
      <c r="B913" s="60"/>
      <c r="C913" s="60"/>
      <c r="D913" s="60"/>
      <c r="E913" s="60"/>
      <c r="F913" s="60"/>
    </row>
    <row r="914">
      <c r="A914" s="60"/>
      <c r="B914" s="60"/>
      <c r="C914" s="60"/>
      <c r="D914" s="60"/>
      <c r="E914" s="60"/>
      <c r="F914" s="60"/>
    </row>
    <row r="915">
      <c r="A915" s="60"/>
      <c r="B915" s="60"/>
      <c r="C915" s="60"/>
      <c r="D915" s="60"/>
      <c r="E915" s="60"/>
      <c r="F915" s="60"/>
    </row>
    <row r="916">
      <c r="A916" s="60"/>
      <c r="B916" s="60"/>
      <c r="C916" s="60"/>
      <c r="D916" s="60"/>
      <c r="E916" s="60"/>
      <c r="F916" s="60"/>
    </row>
    <row r="917">
      <c r="A917" s="60"/>
      <c r="B917" s="60"/>
      <c r="C917" s="60"/>
      <c r="D917" s="60"/>
      <c r="E917" s="60"/>
      <c r="F917" s="60"/>
    </row>
    <row r="918">
      <c r="A918" s="60"/>
      <c r="B918" s="60"/>
      <c r="C918" s="60"/>
      <c r="D918" s="60"/>
      <c r="E918" s="60"/>
      <c r="F918" s="60"/>
    </row>
    <row r="919">
      <c r="A919" s="60"/>
      <c r="B919" s="60"/>
      <c r="C919" s="60"/>
      <c r="D919" s="60"/>
      <c r="E919" s="60"/>
      <c r="F919" s="60"/>
    </row>
    <row r="920">
      <c r="A920" s="60"/>
      <c r="B920" s="60"/>
      <c r="C920" s="60"/>
      <c r="D920" s="60"/>
      <c r="E920" s="60"/>
      <c r="F920" s="60"/>
    </row>
    <row r="921">
      <c r="A921" s="60"/>
      <c r="B921" s="60"/>
      <c r="C921" s="60"/>
      <c r="D921" s="60"/>
      <c r="E921" s="60"/>
      <c r="F921" s="60"/>
    </row>
    <row r="922">
      <c r="A922" s="60"/>
      <c r="B922" s="60"/>
      <c r="C922" s="60"/>
      <c r="D922" s="60"/>
      <c r="E922" s="60"/>
      <c r="F922" s="60"/>
    </row>
    <row r="923">
      <c r="A923" s="60"/>
      <c r="B923" s="60"/>
      <c r="C923" s="60"/>
      <c r="D923" s="60"/>
      <c r="E923" s="60"/>
      <c r="F923" s="60"/>
    </row>
    <row r="924">
      <c r="A924" s="60"/>
      <c r="B924" s="60"/>
      <c r="C924" s="60"/>
      <c r="D924" s="60"/>
      <c r="E924" s="60"/>
      <c r="F924" s="60"/>
    </row>
    <row r="925">
      <c r="A925" s="60"/>
      <c r="B925" s="60"/>
      <c r="C925" s="60"/>
      <c r="D925" s="60"/>
      <c r="E925" s="60"/>
      <c r="F925" s="60"/>
    </row>
    <row r="926">
      <c r="A926" s="60"/>
      <c r="B926" s="60"/>
      <c r="C926" s="60"/>
      <c r="D926" s="60"/>
      <c r="E926" s="60"/>
      <c r="F926" s="60"/>
    </row>
    <row r="927">
      <c r="A927" s="60"/>
      <c r="B927" s="60"/>
      <c r="C927" s="60"/>
      <c r="D927" s="60"/>
      <c r="E927" s="60"/>
      <c r="F927" s="60"/>
    </row>
    <row r="928">
      <c r="A928" s="60"/>
      <c r="B928" s="60"/>
      <c r="C928" s="60"/>
      <c r="D928" s="60"/>
      <c r="E928" s="60"/>
      <c r="F928" s="60"/>
    </row>
    <row r="929">
      <c r="A929" s="60"/>
      <c r="B929" s="60"/>
      <c r="C929" s="60"/>
      <c r="D929" s="60"/>
      <c r="E929" s="60"/>
      <c r="F929" s="60"/>
    </row>
    <row r="930">
      <c r="A930" s="60"/>
      <c r="B930" s="60"/>
      <c r="C930" s="60"/>
      <c r="D930" s="60"/>
      <c r="E930" s="60"/>
      <c r="F930" s="60"/>
    </row>
    <row r="931">
      <c r="A931" s="60"/>
      <c r="B931" s="60"/>
      <c r="C931" s="60"/>
      <c r="D931" s="60"/>
      <c r="E931" s="60"/>
      <c r="F931" s="60"/>
    </row>
    <row r="932">
      <c r="A932" s="60"/>
      <c r="B932" s="60"/>
      <c r="C932" s="60"/>
      <c r="D932" s="60"/>
      <c r="E932" s="60"/>
      <c r="F932" s="60"/>
    </row>
    <row r="933">
      <c r="A933" s="60"/>
      <c r="B933" s="60"/>
      <c r="C933" s="60"/>
      <c r="D933" s="60"/>
      <c r="E933" s="60"/>
      <c r="F933" s="60"/>
    </row>
    <row r="934">
      <c r="A934" s="60"/>
      <c r="B934" s="60"/>
      <c r="C934" s="60"/>
      <c r="D934" s="60"/>
      <c r="E934" s="60"/>
      <c r="F934" s="60"/>
    </row>
    <row r="935">
      <c r="A935" s="60"/>
      <c r="B935" s="60"/>
      <c r="C935" s="60"/>
      <c r="D935" s="60"/>
      <c r="E935" s="60"/>
      <c r="F935" s="60"/>
    </row>
    <row r="936">
      <c r="A936" s="60"/>
      <c r="B936" s="60"/>
      <c r="C936" s="60"/>
      <c r="D936" s="60"/>
      <c r="E936" s="60"/>
      <c r="F936" s="60"/>
    </row>
    <row r="937">
      <c r="A937" s="60"/>
      <c r="B937" s="60"/>
      <c r="C937" s="60"/>
      <c r="D937" s="60"/>
      <c r="E937" s="60"/>
      <c r="F937" s="60"/>
    </row>
    <row r="938">
      <c r="A938" s="60"/>
      <c r="B938" s="60"/>
      <c r="C938" s="60"/>
      <c r="D938" s="60"/>
      <c r="E938" s="60"/>
      <c r="F938" s="60"/>
    </row>
    <row r="939">
      <c r="A939" s="60"/>
      <c r="B939" s="60"/>
      <c r="C939" s="60"/>
      <c r="D939" s="60"/>
      <c r="E939" s="60"/>
      <c r="F939" s="60"/>
    </row>
    <row r="940">
      <c r="A940" s="60"/>
      <c r="B940" s="60"/>
      <c r="C940" s="60"/>
      <c r="D940" s="60"/>
      <c r="E940" s="60"/>
      <c r="F940" s="60"/>
    </row>
    <row r="941">
      <c r="A941" s="60"/>
      <c r="B941" s="60"/>
      <c r="C941" s="60"/>
      <c r="D941" s="60"/>
      <c r="E941" s="60"/>
      <c r="F941" s="60"/>
    </row>
    <row r="942">
      <c r="A942" s="60"/>
      <c r="B942" s="60"/>
      <c r="C942" s="60"/>
      <c r="D942" s="60"/>
      <c r="E942" s="60"/>
      <c r="F942" s="60"/>
    </row>
    <row r="943">
      <c r="A943" s="60"/>
      <c r="B943" s="60"/>
      <c r="C943" s="60"/>
      <c r="D943" s="60"/>
      <c r="E943" s="60"/>
      <c r="F943" s="60"/>
    </row>
    <row r="944">
      <c r="A944" s="60"/>
      <c r="B944" s="60"/>
      <c r="C944" s="60"/>
      <c r="D944" s="60"/>
      <c r="E944" s="60"/>
      <c r="F944" s="60"/>
    </row>
    <row r="945">
      <c r="A945" s="60"/>
      <c r="B945" s="60"/>
      <c r="C945" s="60"/>
      <c r="D945" s="60"/>
      <c r="E945" s="60"/>
      <c r="F945" s="60"/>
    </row>
    <row r="946">
      <c r="A946" s="60"/>
      <c r="B946" s="60"/>
      <c r="C946" s="60"/>
      <c r="D946" s="60"/>
      <c r="E946" s="60"/>
      <c r="F946" s="60"/>
    </row>
    <row r="947">
      <c r="A947" s="60"/>
      <c r="B947" s="60"/>
      <c r="C947" s="60"/>
      <c r="D947" s="60"/>
      <c r="E947" s="60"/>
      <c r="F947" s="60"/>
    </row>
    <row r="948">
      <c r="A948" s="60"/>
      <c r="B948" s="60"/>
      <c r="C948" s="60"/>
      <c r="D948" s="60"/>
      <c r="E948" s="60"/>
      <c r="F948" s="60"/>
    </row>
    <row r="949">
      <c r="A949" s="60"/>
      <c r="B949" s="60"/>
      <c r="C949" s="60"/>
      <c r="D949" s="60"/>
      <c r="E949" s="60"/>
      <c r="F949" s="60"/>
    </row>
    <row r="950">
      <c r="A950" s="60"/>
      <c r="B950" s="60"/>
      <c r="C950" s="60"/>
      <c r="D950" s="60"/>
      <c r="E950" s="60"/>
      <c r="F950" s="60"/>
    </row>
    <row r="951">
      <c r="A951" s="60"/>
      <c r="B951" s="60"/>
      <c r="C951" s="60"/>
      <c r="D951" s="60"/>
      <c r="E951" s="60"/>
      <c r="F951" s="60"/>
    </row>
    <row r="952">
      <c r="A952" s="60"/>
      <c r="B952" s="60"/>
      <c r="C952" s="60"/>
      <c r="D952" s="60"/>
      <c r="E952" s="60"/>
      <c r="F952" s="60"/>
    </row>
    <row r="953">
      <c r="A953" s="60"/>
      <c r="B953" s="60"/>
      <c r="C953" s="60"/>
      <c r="D953" s="60"/>
      <c r="E953" s="60"/>
      <c r="F953" s="60"/>
    </row>
    <row r="954">
      <c r="A954" s="60"/>
      <c r="B954" s="60"/>
      <c r="C954" s="60"/>
      <c r="D954" s="60"/>
      <c r="E954" s="60"/>
      <c r="F954" s="60"/>
    </row>
    <row r="955">
      <c r="A955" s="60"/>
      <c r="B955" s="60"/>
      <c r="C955" s="60"/>
      <c r="D955" s="60"/>
      <c r="E955" s="60"/>
      <c r="F955" s="60"/>
    </row>
    <row r="956">
      <c r="A956" s="60"/>
      <c r="B956" s="60"/>
      <c r="C956" s="60"/>
      <c r="D956" s="60"/>
      <c r="E956" s="60"/>
      <c r="F956" s="60"/>
    </row>
    <row r="957">
      <c r="A957" s="60"/>
      <c r="B957" s="60"/>
      <c r="C957" s="60"/>
      <c r="D957" s="60"/>
      <c r="E957" s="60"/>
      <c r="F957" s="60"/>
    </row>
    <row r="958">
      <c r="A958" s="60"/>
      <c r="B958" s="60"/>
      <c r="C958" s="60"/>
      <c r="D958" s="60"/>
      <c r="E958" s="60"/>
      <c r="F958" s="60"/>
    </row>
    <row r="959">
      <c r="A959" s="60"/>
      <c r="B959" s="60"/>
      <c r="C959" s="60"/>
      <c r="D959" s="60"/>
      <c r="E959" s="60"/>
      <c r="F959" s="60"/>
    </row>
    <row r="960">
      <c r="A960" s="60"/>
      <c r="B960" s="60"/>
      <c r="C960" s="60"/>
      <c r="D960" s="60"/>
      <c r="E960" s="60"/>
      <c r="F960" s="60"/>
    </row>
    <row r="961">
      <c r="A961" s="60"/>
      <c r="B961" s="60"/>
      <c r="C961" s="60"/>
      <c r="D961" s="60"/>
      <c r="E961" s="60"/>
      <c r="F961" s="60"/>
    </row>
    <row r="962">
      <c r="A962" s="60"/>
      <c r="B962" s="60"/>
      <c r="C962" s="60"/>
      <c r="D962" s="60"/>
      <c r="E962" s="60"/>
      <c r="F962" s="60"/>
    </row>
    <row r="963">
      <c r="A963" s="60"/>
      <c r="B963" s="60"/>
      <c r="C963" s="60"/>
      <c r="D963" s="60"/>
      <c r="E963" s="60"/>
      <c r="F963" s="60"/>
    </row>
    <row r="964">
      <c r="A964" s="60"/>
      <c r="B964" s="60"/>
      <c r="C964" s="60"/>
      <c r="D964" s="60"/>
      <c r="E964" s="60"/>
      <c r="F964" s="60"/>
    </row>
    <row r="965">
      <c r="A965" s="60"/>
      <c r="B965" s="60"/>
      <c r="C965" s="60"/>
      <c r="D965" s="60"/>
      <c r="E965" s="60"/>
      <c r="F965" s="60"/>
    </row>
    <row r="966">
      <c r="A966" s="60"/>
      <c r="B966" s="60"/>
      <c r="C966" s="60"/>
      <c r="D966" s="60"/>
      <c r="E966" s="60"/>
      <c r="F966" s="60"/>
    </row>
    <row r="967">
      <c r="A967" s="60"/>
      <c r="B967" s="60"/>
      <c r="C967" s="60"/>
      <c r="D967" s="60"/>
      <c r="E967" s="60"/>
      <c r="F967" s="60"/>
    </row>
    <row r="968">
      <c r="A968" s="60"/>
      <c r="B968" s="60"/>
      <c r="C968" s="60"/>
      <c r="D968" s="60"/>
      <c r="E968" s="60"/>
      <c r="F968" s="60"/>
    </row>
    <row r="969">
      <c r="A969" s="60"/>
      <c r="B969" s="60"/>
      <c r="C969" s="60"/>
      <c r="D969" s="60"/>
      <c r="E969" s="60"/>
      <c r="F969" s="60"/>
    </row>
    <row r="970">
      <c r="A970" s="60"/>
      <c r="B970" s="60"/>
      <c r="C970" s="60"/>
      <c r="D970" s="60"/>
      <c r="E970" s="60"/>
      <c r="F970" s="60"/>
    </row>
    <row r="971">
      <c r="A971" s="60"/>
      <c r="B971" s="60"/>
      <c r="C971" s="60"/>
      <c r="D971" s="60"/>
      <c r="E971" s="60"/>
      <c r="F971" s="60"/>
    </row>
    <row r="972">
      <c r="A972" s="60"/>
      <c r="B972" s="60"/>
      <c r="C972" s="60"/>
      <c r="D972" s="60"/>
      <c r="E972" s="60"/>
      <c r="F972" s="60"/>
    </row>
    <row r="973">
      <c r="A973" s="60"/>
      <c r="B973" s="60"/>
      <c r="C973" s="60"/>
      <c r="D973" s="60"/>
      <c r="E973" s="60"/>
      <c r="F973" s="60"/>
    </row>
    <row r="974">
      <c r="A974" s="60"/>
      <c r="B974" s="60"/>
      <c r="C974" s="60"/>
      <c r="D974" s="60"/>
      <c r="E974" s="60"/>
      <c r="F974" s="60"/>
    </row>
    <row r="975">
      <c r="A975" s="60"/>
      <c r="B975" s="60"/>
      <c r="C975" s="60"/>
      <c r="D975" s="60"/>
      <c r="E975" s="60"/>
      <c r="F975" s="60"/>
    </row>
    <row r="976">
      <c r="A976" s="60"/>
      <c r="B976" s="60"/>
      <c r="C976" s="60"/>
      <c r="D976" s="60"/>
      <c r="E976" s="60"/>
      <c r="F976" s="60"/>
    </row>
    <row r="977">
      <c r="A977" s="60"/>
      <c r="B977" s="60"/>
      <c r="C977" s="60"/>
      <c r="D977" s="60"/>
      <c r="E977" s="60"/>
      <c r="F977" s="60"/>
    </row>
    <row r="978">
      <c r="A978" s="60"/>
      <c r="B978" s="60"/>
      <c r="C978" s="60"/>
      <c r="D978" s="60"/>
      <c r="E978" s="60"/>
      <c r="F978" s="60"/>
    </row>
    <row r="979">
      <c r="A979" s="60"/>
      <c r="B979" s="60"/>
      <c r="C979" s="60"/>
      <c r="D979" s="60"/>
      <c r="E979" s="60"/>
      <c r="F979" s="60"/>
    </row>
    <row r="980">
      <c r="A980" s="60"/>
      <c r="B980" s="60"/>
      <c r="C980" s="60"/>
      <c r="D980" s="60"/>
      <c r="E980" s="60"/>
      <c r="F980" s="60"/>
    </row>
    <row r="981">
      <c r="A981" s="60"/>
      <c r="B981" s="60"/>
      <c r="C981" s="60"/>
      <c r="D981" s="60"/>
      <c r="E981" s="60"/>
      <c r="F981" s="60"/>
    </row>
    <row r="982">
      <c r="A982" s="60"/>
      <c r="B982" s="60"/>
      <c r="C982" s="60"/>
      <c r="D982" s="60"/>
      <c r="E982" s="60"/>
      <c r="F982" s="60"/>
    </row>
    <row r="983">
      <c r="A983" s="60"/>
      <c r="B983" s="60"/>
      <c r="C983" s="60"/>
      <c r="D983" s="60"/>
      <c r="E983" s="60"/>
      <c r="F983" s="60"/>
    </row>
    <row r="984">
      <c r="A984" s="60"/>
      <c r="B984" s="60"/>
      <c r="C984" s="60"/>
      <c r="D984" s="60"/>
      <c r="E984" s="60"/>
      <c r="F984" s="60"/>
    </row>
    <row r="985">
      <c r="A985" s="60"/>
      <c r="B985" s="60"/>
      <c r="C985" s="60"/>
      <c r="D985" s="60"/>
      <c r="E985" s="60"/>
      <c r="F985" s="60"/>
    </row>
    <row r="986">
      <c r="A986" s="60"/>
      <c r="B986" s="60"/>
      <c r="C986" s="60"/>
      <c r="D986" s="60"/>
      <c r="E986" s="60"/>
      <c r="F986" s="60"/>
    </row>
    <row r="987">
      <c r="A987" s="60"/>
      <c r="B987" s="60"/>
      <c r="C987" s="60"/>
      <c r="D987" s="60"/>
      <c r="E987" s="60"/>
      <c r="F987" s="60"/>
    </row>
    <row r="988">
      <c r="A988" s="60"/>
      <c r="B988" s="60"/>
      <c r="C988" s="60"/>
      <c r="D988" s="60"/>
      <c r="E988" s="60"/>
      <c r="F988" s="60"/>
    </row>
    <row r="989">
      <c r="A989" s="60"/>
      <c r="B989" s="60"/>
      <c r="C989" s="60"/>
      <c r="D989" s="60"/>
      <c r="E989" s="60"/>
      <c r="F989" s="60"/>
    </row>
    <row r="990">
      <c r="A990" s="60"/>
      <c r="B990" s="60"/>
      <c r="C990" s="60"/>
      <c r="D990" s="60"/>
      <c r="E990" s="60"/>
      <c r="F990" s="60"/>
    </row>
    <row r="991">
      <c r="A991" s="60"/>
      <c r="B991" s="60"/>
      <c r="C991" s="60"/>
      <c r="D991" s="60"/>
      <c r="E991" s="60"/>
      <c r="F991" s="60"/>
    </row>
    <row r="992">
      <c r="A992" s="60"/>
      <c r="B992" s="60"/>
      <c r="C992" s="60"/>
      <c r="D992" s="60"/>
      <c r="E992" s="60"/>
      <c r="F992" s="60"/>
    </row>
    <row r="993">
      <c r="A993" s="60"/>
      <c r="B993" s="60"/>
      <c r="C993" s="60"/>
      <c r="D993" s="60"/>
      <c r="E993" s="60"/>
      <c r="F993" s="60"/>
    </row>
    <row r="994">
      <c r="A994" s="60"/>
      <c r="B994" s="60"/>
      <c r="C994" s="60"/>
      <c r="D994" s="60"/>
      <c r="E994" s="60"/>
      <c r="F994" s="60"/>
    </row>
    <row r="995">
      <c r="A995" s="60"/>
      <c r="B995" s="60"/>
      <c r="C995" s="60"/>
      <c r="D995" s="60"/>
      <c r="E995" s="60"/>
      <c r="F995" s="60"/>
    </row>
    <row r="996">
      <c r="A996" s="60"/>
      <c r="B996" s="60"/>
      <c r="C996" s="60"/>
      <c r="D996" s="60"/>
      <c r="E996" s="60"/>
      <c r="F996" s="60"/>
    </row>
    <row r="997">
      <c r="A997" s="60"/>
      <c r="B997" s="60"/>
      <c r="C997" s="60"/>
      <c r="D997" s="60"/>
      <c r="E997" s="60"/>
      <c r="F997" s="60"/>
    </row>
    <row r="998">
      <c r="A998" s="60"/>
      <c r="B998" s="60"/>
      <c r="C998" s="60"/>
      <c r="D998" s="60"/>
      <c r="E998" s="60"/>
      <c r="F998" s="60"/>
    </row>
    <row r="999">
      <c r="A999" s="60"/>
      <c r="B999" s="60"/>
      <c r="C999" s="60"/>
      <c r="D999" s="60"/>
      <c r="E999" s="60"/>
      <c r="F999" s="60"/>
    </row>
    <row r="1000">
      <c r="A1000" s="60"/>
      <c r="B1000" s="60"/>
      <c r="C1000" s="60"/>
      <c r="D1000" s="60"/>
      <c r="E1000" s="60"/>
      <c r="F1000" s="60"/>
    </row>
  </sheetData>
  <conditionalFormatting sqref="I2:I126">
    <cfRule type="beginsWith" dxfId="1" priority="1" operator="beginsWith" text="Y">
      <formula>LEFT((I2),LEN("Y"))=("Y")</formula>
    </cfRule>
  </conditionalFormatting>
  <conditionalFormatting sqref="I2:I126">
    <cfRule type="beginsWith" dxfId="0" priority="2" operator="beginsWith" text="N">
      <formula>LEFT((I2),LEN("N"))=("N")</formula>
    </cfRule>
  </conditionalFormatting>
  <conditionalFormatting sqref="G1:H1000">
    <cfRule type="beginsWith" dxfId="0" priority="3" operator="beginsWith" text="Y">
      <formula>LEFT((G1),LEN("Y"))=("Y")</formula>
    </cfRule>
  </conditionalFormatting>
  <conditionalFormatting sqref="G1:H1000">
    <cfRule type="beginsWith" dxfId="1" priority="4" operator="beginsWith" text="N">
      <formula>LEFT((G1),LEN("N"))=("N")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63"/>
    <col customWidth="1" min="2" max="2" width="25.13"/>
    <col customWidth="1" min="3" max="3" width="20.25"/>
    <col customWidth="1" min="4" max="4" width="35.88"/>
    <col customWidth="1" min="5" max="5" width="28.25"/>
    <col customWidth="1" min="6" max="6" width="24.63"/>
  </cols>
  <sheetData>
    <row r="1" ht="27.75" customHeight="1">
      <c r="A1" s="61" t="s">
        <v>3331</v>
      </c>
      <c r="B1" s="61" t="s">
        <v>3671</v>
      </c>
      <c r="C1" s="61" t="s">
        <v>3333</v>
      </c>
      <c r="D1" s="61" t="s">
        <v>3334</v>
      </c>
      <c r="E1" s="61" t="s">
        <v>3335</v>
      </c>
      <c r="F1" s="61" t="s">
        <v>3336</v>
      </c>
      <c r="G1" s="62" t="s">
        <v>3338</v>
      </c>
      <c r="H1" s="62" t="s">
        <v>1461</v>
      </c>
      <c r="I1" s="63" t="s">
        <v>1460</v>
      </c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</row>
    <row r="2">
      <c r="A2" s="58" t="s">
        <v>3672</v>
      </c>
      <c r="B2" s="58" t="s">
        <v>3673</v>
      </c>
      <c r="C2" s="58" t="s">
        <v>3340</v>
      </c>
      <c r="D2" s="58" t="s">
        <v>3674</v>
      </c>
      <c r="E2" s="58" t="s">
        <v>3674</v>
      </c>
      <c r="F2" s="58" t="s">
        <v>3342</v>
      </c>
      <c r="G2" s="49" t="s">
        <v>3343</v>
      </c>
      <c r="H2" s="49" t="s">
        <v>3675</v>
      </c>
    </row>
    <row r="3">
      <c r="A3" s="58" t="s">
        <v>3676</v>
      </c>
      <c r="B3" s="58" t="s">
        <v>3673</v>
      </c>
      <c r="C3" s="58" t="s">
        <v>3340</v>
      </c>
      <c r="D3" s="58" t="s">
        <v>3677</v>
      </c>
      <c r="E3" s="58" t="s">
        <v>3677</v>
      </c>
      <c r="F3" s="58" t="s">
        <v>3678</v>
      </c>
    </row>
    <row r="4">
      <c r="A4" s="58" t="s">
        <v>3679</v>
      </c>
      <c r="B4" s="58" t="s">
        <v>3673</v>
      </c>
      <c r="C4" s="58" t="s">
        <v>3340</v>
      </c>
      <c r="D4" s="58" t="s">
        <v>3342</v>
      </c>
      <c r="E4" s="58" t="s">
        <v>3680</v>
      </c>
      <c r="F4" s="58" t="s">
        <v>3681</v>
      </c>
    </row>
    <row r="5">
      <c r="A5" s="58" t="s">
        <v>3682</v>
      </c>
      <c r="B5" s="58" t="s">
        <v>3683</v>
      </c>
      <c r="C5" s="58" t="s">
        <v>3340</v>
      </c>
      <c r="D5" s="58" t="s">
        <v>3684</v>
      </c>
      <c r="E5" s="58" t="s">
        <v>3684</v>
      </c>
      <c r="F5" s="58" t="s">
        <v>3685</v>
      </c>
    </row>
    <row r="6">
      <c r="A6" s="58" t="s">
        <v>3686</v>
      </c>
      <c r="B6" s="58" t="s">
        <v>3673</v>
      </c>
      <c r="C6" s="58" t="s">
        <v>3340</v>
      </c>
      <c r="D6" s="58" t="s">
        <v>3687</v>
      </c>
      <c r="E6" s="58" t="s">
        <v>3687</v>
      </c>
      <c r="F6" s="58" t="s">
        <v>3688</v>
      </c>
    </row>
    <row r="7">
      <c r="A7" s="58" t="s">
        <v>3689</v>
      </c>
      <c r="B7" s="58" t="s">
        <v>3673</v>
      </c>
      <c r="C7" s="58" t="s">
        <v>3340</v>
      </c>
      <c r="D7" s="58" t="s">
        <v>3690</v>
      </c>
      <c r="E7" s="58" t="s">
        <v>3690</v>
      </c>
      <c r="F7" s="65" t="s">
        <v>3691</v>
      </c>
    </row>
    <row r="8">
      <c r="A8" s="58" t="s">
        <v>3692</v>
      </c>
      <c r="B8" s="58" t="s">
        <v>3683</v>
      </c>
      <c r="C8" s="58" t="s">
        <v>3340</v>
      </c>
      <c r="D8" s="58" t="s">
        <v>3693</v>
      </c>
      <c r="E8" s="58" t="s">
        <v>3693</v>
      </c>
      <c r="F8" s="58" t="s">
        <v>3694</v>
      </c>
    </row>
    <row r="9">
      <c r="A9" s="58" t="s">
        <v>3695</v>
      </c>
      <c r="B9" s="58" t="s">
        <v>3673</v>
      </c>
      <c r="C9" s="58" t="s">
        <v>3340</v>
      </c>
      <c r="D9" s="58" t="s">
        <v>3696</v>
      </c>
      <c r="E9" s="58" t="s">
        <v>3696</v>
      </c>
      <c r="F9" s="58" t="s">
        <v>3697</v>
      </c>
    </row>
    <row r="10">
      <c r="A10" s="58" t="s">
        <v>3698</v>
      </c>
      <c r="B10" s="58" t="s">
        <v>3673</v>
      </c>
      <c r="C10" s="58" t="s">
        <v>3352</v>
      </c>
      <c r="D10" s="58" t="s">
        <v>3699</v>
      </c>
      <c r="E10" s="58" t="s">
        <v>3699</v>
      </c>
      <c r="F10" s="58" t="s">
        <v>3700</v>
      </c>
    </row>
    <row r="11">
      <c r="A11" s="58" t="s">
        <v>3701</v>
      </c>
      <c r="B11" s="58" t="s">
        <v>3673</v>
      </c>
      <c r="C11" s="58" t="s">
        <v>3340</v>
      </c>
      <c r="D11" s="58" t="s">
        <v>3702</v>
      </c>
      <c r="E11" s="58" t="s">
        <v>3703</v>
      </c>
      <c r="F11" s="58" t="s">
        <v>3704</v>
      </c>
    </row>
    <row r="12">
      <c r="A12" s="58" t="s">
        <v>3705</v>
      </c>
      <c r="B12" s="58" t="s">
        <v>3683</v>
      </c>
      <c r="C12" s="58" t="s">
        <v>3340</v>
      </c>
      <c r="D12" s="58" t="s">
        <v>3706</v>
      </c>
      <c r="E12" s="58" t="s">
        <v>3706</v>
      </c>
      <c r="F12" s="58" t="s">
        <v>3707</v>
      </c>
    </row>
    <row r="13">
      <c r="A13" s="58" t="s">
        <v>3708</v>
      </c>
      <c r="B13" s="58" t="s">
        <v>3683</v>
      </c>
      <c r="C13" s="58" t="s">
        <v>3340</v>
      </c>
      <c r="D13" s="58" t="s">
        <v>3342</v>
      </c>
      <c r="E13" s="58" t="s">
        <v>3709</v>
      </c>
      <c r="F13" s="58" t="s">
        <v>3710</v>
      </c>
    </row>
    <row r="14">
      <c r="A14" s="58" t="s">
        <v>3711</v>
      </c>
      <c r="B14" s="58" t="s">
        <v>3683</v>
      </c>
      <c r="C14" s="58" t="s">
        <v>3340</v>
      </c>
      <c r="D14" s="58" t="s">
        <v>3712</v>
      </c>
      <c r="E14" s="58" t="s">
        <v>3712</v>
      </c>
      <c r="F14" s="58" t="s">
        <v>3713</v>
      </c>
    </row>
    <row r="15">
      <c r="A15" s="58" t="s">
        <v>3714</v>
      </c>
      <c r="B15" s="58" t="s">
        <v>3683</v>
      </c>
      <c r="C15" s="58" t="s">
        <v>3340</v>
      </c>
      <c r="D15" s="58" t="s">
        <v>3715</v>
      </c>
      <c r="E15" s="58" t="s">
        <v>3716</v>
      </c>
      <c r="F15" s="58" t="s">
        <v>3717</v>
      </c>
    </row>
    <row r="16">
      <c r="A16" s="58" t="s">
        <v>3718</v>
      </c>
      <c r="B16" s="58" t="s">
        <v>3673</v>
      </c>
      <c r="C16" s="58" t="s">
        <v>3352</v>
      </c>
      <c r="D16" s="58" t="s">
        <v>3719</v>
      </c>
      <c r="E16" s="58" t="s">
        <v>3719</v>
      </c>
      <c r="F16" s="58" t="s">
        <v>3720</v>
      </c>
    </row>
    <row r="17">
      <c r="A17" s="58" t="s">
        <v>3721</v>
      </c>
      <c r="B17" s="58" t="s">
        <v>3683</v>
      </c>
      <c r="C17" s="58" t="s">
        <v>3340</v>
      </c>
      <c r="D17" s="58" t="s">
        <v>3722</v>
      </c>
      <c r="E17" s="58" t="s">
        <v>3723</v>
      </c>
      <c r="F17" s="58" t="s">
        <v>3724</v>
      </c>
    </row>
    <row r="18">
      <c r="A18" s="58" t="s">
        <v>3725</v>
      </c>
      <c r="B18" s="58" t="s">
        <v>3673</v>
      </c>
      <c r="C18" s="58" t="s">
        <v>3340</v>
      </c>
      <c r="D18" s="58" t="s">
        <v>3726</v>
      </c>
      <c r="E18" s="58" t="s">
        <v>3726</v>
      </c>
      <c r="F18" s="58" t="s">
        <v>3727</v>
      </c>
    </row>
    <row r="19">
      <c r="A19" s="58" t="s">
        <v>3728</v>
      </c>
      <c r="B19" s="58" t="s">
        <v>3683</v>
      </c>
      <c r="C19" s="58" t="s">
        <v>3340</v>
      </c>
      <c r="D19" s="58" t="s">
        <v>3729</v>
      </c>
      <c r="E19" s="58" t="s">
        <v>3729</v>
      </c>
      <c r="F19" s="58" t="s">
        <v>3730</v>
      </c>
    </row>
    <row r="20">
      <c r="A20" s="58" t="s">
        <v>3731</v>
      </c>
      <c r="B20" s="58" t="s">
        <v>3673</v>
      </c>
      <c r="C20" s="58" t="s">
        <v>3340</v>
      </c>
      <c r="D20" s="58" t="s">
        <v>3731</v>
      </c>
      <c r="E20" s="58" t="s">
        <v>3731</v>
      </c>
      <c r="F20" s="58" t="s">
        <v>3732</v>
      </c>
    </row>
    <row r="21">
      <c r="A21" s="58" t="s">
        <v>3733</v>
      </c>
      <c r="B21" s="58" t="s">
        <v>3673</v>
      </c>
      <c r="C21" s="58" t="s">
        <v>3340</v>
      </c>
      <c r="D21" s="58" t="s">
        <v>3342</v>
      </c>
      <c r="E21" s="58" t="s">
        <v>3680</v>
      </c>
      <c r="F21" s="58" t="s">
        <v>3734</v>
      </c>
    </row>
    <row r="22">
      <c r="A22" s="58" t="s">
        <v>3735</v>
      </c>
      <c r="B22" s="58" t="s">
        <v>3683</v>
      </c>
      <c r="C22" s="58" t="s">
        <v>3340</v>
      </c>
      <c r="D22" s="58" t="s">
        <v>3736</v>
      </c>
      <c r="E22" s="58" t="s">
        <v>3736</v>
      </c>
      <c r="F22" s="58" t="s">
        <v>3737</v>
      </c>
    </row>
    <row r="23">
      <c r="A23" s="58" t="s">
        <v>3738</v>
      </c>
      <c r="B23" s="58" t="s">
        <v>3683</v>
      </c>
      <c r="C23" s="58" t="s">
        <v>3340</v>
      </c>
      <c r="D23" s="58" t="s">
        <v>3739</v>
      </c>
      <c r="E23" s="58" t="s">
        <v>3739</v>
      </c>
      <c r="F23" s="58" t="s">
        <v>3740</v>
      </c>
    </row>
    <row r="24">
      <c r="A24" s="58" t="s">
        <v>3741</v>
      </c>
      <c r="B24" s="58" t="s">
        <v>3683</v>
      </c>
      <c r="C24" s="58" t="s">
        <v>3340</v>
      </c>
      <c r="D24" s="58" t="s">
        <v>3742</v>
      </c>
      <c r="E24" s="58" t="s">
        <v>3742</v>
      </c>
      <c r="F24" s="58" t="s">
        <v>3743</v>
      </c>
    </row>
    <row r="25">
      <c r="A25" s="58" t="s">
        <v>3744</v>
      </c>
      <c r="B25" s="58" t="s">
        <v>3683</v>
      </c>
      <c r="C25" s="58" t="s">
        <v>3340</v>
      </c>
      <c r="D25" s="58" t="s">
        <v>3745</v>
      </c>
      <c r="E25" s="58" t="s">
        <v>3745</v>
      </c>
      <c r="F25" s="58" t="s">
        <v>3746</v>
      </c>
    </row>
    <row r="26">
      <c r="A26" s="58" t="s">
        <v>3747</v>
      </c>
      <c r="B26" s="58" t="s">
        <v>3683</v>
      </c>
      <c r="C26" s="58" t="s">
        <v>3340</v>
      </c>
      <c r="D26" s="58" t="s">
        <v>3748</v>
      </c>
      <c r="E26" s="58" t="s">
        <v>3748</v>
      </c>
      <c r="F26" s="58" t="s">
        <v>3749</v>
      </c>
    </row>
    <row r="27">
      <c r="A27" s="58" t="s">
        <v>3750</v>
      </c>
      <c r="B27" s="58" t="s">
        <v>3683</v>
      </c>
      <c r="C27" s="58" t="s">
        <v>3340</v>
      </c>
      <c r="D27" s="58" t="s">
        <v>3751</v>
      </c>
      <c r="E27" s="58" t="s">
        <v>3751</v>
      </c>
      <c r="F27" s="58" t="s">
        <v>3752</v>
      </c>
    </row>
    <row r="28">
      <c r="A28" s="58" t="s">
        <v>3753</v>
      </c>
      <c r="B28" s="58" t="s">
        <v>3673</v>
      </c>
      <c r="C28" s="58" t="s">
        <v>3340</v>
      </c>
      <c r="D28" s="58" t="s">
        <v>3754</v>
      </c>
      <c r="E28" s="58" t="s">
        <v>3754</v>
      </c>
      <c r="F28" s="58" t="s">
        <v>3755</v>
      </c>
    </row>
    <row r="29">
      <c r="A29" s="58" t="s">
        <v>3756</v>
      </c>
      <c r="B29" s="58" t="s">
        <v>3683</v>
      </c>
      <c r="C29" s="58" t="s">
        <v>3340</v>
      </c>
      <c r="D29" s="58" t="s">
        <v>3756</v>
      </c>
      <c r="E29" s="58" t="s">
        <v>3756</v>
      </c>
      <c r="F29" s="58" t="s">
        <v>3757</v>
      </c>
    </row>
    <row r="30">
      <c r="A30" s="58" t="s">
        <v>3758</v>
      </c>
      <c r="B30" s="58" t="s">
        <v>3683</v>
      </c>
      <c r="C30" s="58" t="s">
        <v>3340</v>
      </c>
      <c r="D30" s="58" t="s">
        <v>3759</v>
      </c>
      <c r="E30" s="58" t="s">
        <v>3759</v>
      </c>
      <c r="F30" s="58" t="s">
        <v>3760</v>
      </c>
    </row>
    <row r="31">
      <c r="A31" s="58" t="s">
        <v>3761</v>
      </c>
      <c r="B31" s="58" t="s">
        <v>3673</v>
      </c>
      <c r="C31" s="58" t="s">
        <v>3340</v>
      </c>
      <c r="D31" s="58" t="s">
        <v>3762</v>
      </c>
      <c r="E31" s="58" t="s">
        <v>3762</v>
      </c>
      <c r="F31" s="58" t="s">
        <v>3763</v>
      </c>
    </row>
    <row r="32">
      <c r="A32" s="58" t="s">
        <v>3764</v>
      </c>
      <c r="B32" s="58" t="s">
        <v>3683</v>
      </c>
      <c r="C32" s="58" t="s">
        <v>3352</v>
      </c>
      <c r="D32" s="58" t="s">
        <v>3422</v>
      </c>
      <c r="E32" s="58" t="s">
        <v>3765</v>
      </c>
      <c r="F32" s="58" t="s">
        <v>3766</v>
      </c>
    </row>
    <row r="33">
      <c r="A33" s="58" t="s">
        <v>3767</v>
      </c>
      <c r="B33" s="58" t="s">
        <v>3673</v>
      </c>
      <c r="C33" s="58" t="s">
        <v>3340</v>
      </c>
      <c r="D33" s="58" t="s">
        <v>3767</v>
      </c>
      <c r="E33" s="58" t="s">
        <v>3767</v>
      </c>
      <c r="F33" s="58" t="s">
        <v>3768</v>
      </c>
    </row>
    <row r="34">
      <c r="A34" s="58" t="s">
        <v>3769</v>
      </c>
      <c r="B34" s="58" t="s">
        <v>3683</v>
      </c>
      <c r="C34" s="58" t="s">
        <v>3340</v>
      </c>
      <c r="D34" s="58" t="s">
        <v>3769</v>
      </c>
      <c r="E34" s="58" t="s">
        <v>3769</v>
      </c>
      <c r="F34" s="58" t="s">
        <v>3770</v>
      </c>
    </row>
    <row r="35">
      <c r="A35" s="58" t="s">
        <v>3771</v>
      </c>
      <c r="B35" s="58" t="s">
        <v>3673</v>
      </c>
      <c r="C35" s="58" t="s">
        <v>3340</v>
      </c>
      <c r="D35" s="58" t="s">
        <v>3772</v>
      </c>
      <c r="E35" s="58" t="s">
        <v>3772</v>
      </c>
      <c r="F35" s="58" t="s">
        <v>3773</v>
      </c>
    </row>
    <row r="36">
      <c r="A36" s="58" t="s">
        <v>3774</v>
      </c>
      <c r="B36" s="58" t="s">
        <v>3683</v>
      </c>
      <c r="C36" s="58" t="s">
        <v>3340</v>
      </c>
      <c r="D36" s="58" t="s">
        <v>3342</v>
      </c>
      <c r="E36" s="58" t="s">
        <v>3775</v>
      </c>
      <c r="F36" s="58" t="s">
        <v>3776</v>
      </c>
    </row>
    <row r="37">
      <c r="A37" s="58" t="s">
        <v>3777</v>
      </c>
      <c r="B37" s="58" t="s">
        <v>3673</v>
      </c>
      <c r="C37" s="58" t="s">
        <v>3340</v>
      </c>
      <c r="D37" s="58" t="s">
        <v>3778</v>
      </c>
      <c r="E37" s="58" t="s">
        <v>3778</v>
      </c>
      <c r="F37" s="58" t="s">
        <v>3779</v>
      </c>
    </row>
    <row r="38">
      <c r="A38" s="58" t="s">
        <v>3780</v>
      </c>
      <c r="B38" s="58" t="s">
        <v>3673</v>
      </c>
      <c r="C38" s="58" t="s">
        <v>3340</v>
      </c>
      <c r="D38" s="58" t="s">
        <v>3781</v>
      </c>
      <c r="E38" s="58" t="s">
        <v>3781</v>
      </c>
      <c r="F38" s="58" t="s">
        <v>3782</v>
      </c>
    </row>
    <row r="39">
      <c r="A39" s="58" t="s">
        <v>3783</v>
      </c>
      <c r="B39" s="58" t="s">
        <v>3683</v>
      </c>
      <c r="C39" s="58" t="s">
        <v>3340</v>
      </c>
      <c r="D39" s="58" t="s">
        <v>3784</v>
      </c>
      <c r="E39" s="58" t="s">
        <v>3709</v>
      </c>
      <c r="F39" s="58" t="s">
        <v>3785</v>
      </c>
    </row>
    <row r="40">
      <c r="A40" s="58" t="s">
        <v>3786</v>
      </c>
      <c r="B40" s="58" t="s">
        <v>3673</v>
      </c>
      <c r="C40" s="58" t="s">
        <v>3340</v>
      </c>
      <c r="D40" s="58" t="s">
        <v>3786</v>
      </c>
      <c r="E40" s="58" t="s">
        <v>3786</v>
      </c>
      <c r="F40" s="58" t="s">
        <v>3787</v>
      </c>
    </row>
    <row r="41">
      <c r="A41" s="58" t="s">
        <v>3788</v>
      </c>
      <c r="B41" s="58" t="s">
        <v>3683</v>
      </c>
      <c r="C41" s="58" t="s">
        <v>3340</v>
      </c>
      <c r="D41" s="58" t="s">
        <v>3789</v>
      </c>
      <c r="E41" s="58" t="s">
        <v>3789</v>
      </c>
      <c r="F41" s="58" t="s">
        <v>3790</v>
      </c>
    </row>
    <row r="42">
      <c r="A42" s="58" t="s">
        <v>3791</v>
      </c>
      <c r="B42" s="58" t="s">
        <v>3673</v>
      </c>
      <c r="C42" s="58" t="s">
        <v>3340</v>
      </c>
      <c r="D42" s="58" t="s">
        <v>3792</v>
      </c>
      <c r="E42" s="58" t="s">
        <v>3793</v>
      </c>
      <c r="F42" s="58" t="s">
        <v>3794</v>
      </c>
    </row>
    <row r="43">
      <c r="A43" s="58" t="s">
        <v>3795</v>
      </c>
      <c r="B43" s="58" t="s">
        <v>3683</v>
      </c>
      <c r="C43" s="58" t="s">
        <v>3340</v>
      </c>
      <c r="D43" s="58" t="s">
        <v>3796</v>
      </c>
      <c r="E43" s="58" t="s">
        <v>3796</v>
      </c>
      <c r="F43" s="58" t="s">
        <v>3797</v>
      </c>
    </row>
    <row r="44">
      <c r="A44" s="58" t="s">
        <v>3798</v>
      </c>
      <c r="B44" s="58" t="s">
        <v>3683</v>
      </c>
      <c r="C44" s="58" t="s">
        <v>3340</v>
      </c>
      <c r="D44" s="58" t="s">
        <v>3799</v>
      </c>
      <c r="E44" s="58" t="s">
        <v>3799</v>
      </c>
      <c r="F44" s="58" t="s">
        <v>3800</v>
      </c>
    </row>
    <row r="45">
      <c r="A45" s="58" t="s">
        <v>3801</v>
      </c>
      <c r="B45" s="58" t="s">
        <v>3673</v>
      </c>
      <c r="C45" s="58" t="s">
        <v>3352</v>
      </c>
      <c r="D45" s="58" t="s">
        <v>3802</v>
      </c>
      <c r="E45" s="58" t="s">
        <v>3802</v>
      </c>
      <c r="F45" s="58" t="s">
        <v>3803</v>
      </c>
    </row>
    <row r="46">
      <c r="A46" s="58" t="s">
        <v>3804</v>
      </c>
      <c r="B46" s="58" t="s">
        <v>3683</v>
      </c>
      <c r="C46" s="58" t="s">
        <v>3340</v>
      </c>
      <c r="D46" s="58" t="s">
        <v>3805</v>
      </c>
      <c r="E46" s="58" t="s">
        <v>3805</v>
      </c>
      <c r="F46" s="58" t="s">
        <v>3806</v>
      </c>
    </row>
    <row r="47">
      <c r="A47" s="58" t="s">
        <v>3807</v>
      </c>
      <c r="B47" s="58" t="s">
        <v>3673</v>
      </c>
      <c r="C47" s="58" t="s">
        <v>3340</v>
      </c>
      <c r="D47" s="58" t="s">
        <v>3808</v>
      </c>
      <c r="E47" s="58" t="s">
        <v>3808</v>
      </c>
      <c r="F47" s="58" t="s">
        <v>3809</v>
      </c>
    </row>
    <row r="48">
      <c r="A48" s="58" t="s">
        <v>3810</v>
      </c>
      <c r="B48" s="58" t="s">
        <v>3673</v>
      </c>
      <c r="C48" s="58" t="s">
        <v>3340</v>
      </c>
      <c r="D48" s="58" t="s">
        <v>3811</v>
      </c>
      <c r="E48" s="58" t="s">
        <v>3812</v>
      </c>
      <c r="F48" s="58" t="s">
        <v>3813</v>
      </c>
    </row>
    <row r="49">
      <c r="A49" s="58" t="s">
        <v>3674</v>
      </c>
      <c r="B49" s="58" t="s">
        <v>3673</v>
      </c>
      <c r="C49" s="58" t="s">
        <v>3340</v>
      </c>
      <c r="D49" s="58" t="s">
        <v>3674</v>
      </c>
      <c r="E49" s="58" t="s">
        <v>3674</v>
      </c>
      <c r="F49" s="58" t="s">
        <v>3814</v>
      </c>
    </row>
    <row r="50">
      <c r="A50" s="58" t="s">
        <v>3815</v>
      </c>
      <c r="B50" s="58" t="s">
        <v>3683</v>
      </c>
      <c r="C50" s="58" t="s">
        <v>3352</v>
      </c>
      <c r="D50" s="58" t="s">
        <v>3816</v>
      </c>
      <c r="E50" s="58" t="s">
        <v>3817</v>
      </c>
      <c r="F50" s="58" t="s">
        <v>3818</v>
      </c>
    </row>
    <row r="51">
      <c r="A51" s="58" t="s">
        <v>3819</v>
      </c>
      <c r="B51" s="58" t="s">
        <v>3683</v>
      </c>
      <c r="C51" s="58" t="s">
        <v>3340</v>
      </c>
      <c r="D51" s="58" t="s">
        <v>3820</v>
      </c>
      <c r="E51" s="58" t="s">
        <v>3820</v>
      </c>
      <c r="F51" s="58" t="s">
        <v>3821</v>
      </c>
    </row>
    <row r="52">
      <c r="A52" s="58" t="s">
        <v>3822</v>
      </c>
      <c r="B52" s="58" t="s">
        <v>3673</v>
      </c>
      <c r="C52" s="58" t="s">
        <v>3340</v>
      </c>
      <c r="D52" s="58" t="s">
        <v>3754</v>
      </c>
      <c r="E52" s="58" t="s">
        <v>3823</v>
      </c>
      <c r="F52" s="58" t="s">
        <v>3824</v>
      </c>
    </row>
    <row r="53">
      <c r="A53" s="58" t="s">
        <v>3825</v>
      </c>
      <c r="B53" s="58" t="s">
        <v>3683</v>
      </c>
      <c r="C53" s="58" t="s">
        <v>3340</v>
      </c>
      <c r="D53" s="58" t="s">
        <v>3826</v>
      </c>
      <c r="E53" s="58" t="s">
        <v>3827</v>
      </c>
      <c r="F53" s="58" t="s">
        <v>3828</v>
      </c>
    </row>
    <row r="54">
      <c r="A54" s="58" t="s">
        <v>3829</v>
      </c>
      <c r="B54" s="58" t="s">
        <v>3683</v>
      </c>
      <c r="C54" s="58" t="s">
        <v>3340</v>
      </c>
      <c r="D54" s="58" t="s">
        <v>3830</v>
      </c>
      <c r="E54" s="58" t="s">
        <v>3831</v>
      </c>
      <c r="F54" s="58" t="s">
        <v>3832</v>
      </c>
    </row>
    <row r="55">
      <c r="A55" s="58" t="s">
        <v>3833</v>
      </c>
      <c r="B55" s="58" t="s">
        <v>3673</v>
      </c>
      <c r="C55" s="58" t="s">
        <v>3340</v>
      </c>
      <c r="D55" s="58" t="s">
        <v>3834</v>
      </c>
      <c r="E55" s="58" t="s">
        <v>3834</v>
      </c>
      <c r="F55" s="58" t="s">
        <v>3835</v>
      </c>
    </row>
    <row r="56">
      <c r="A56" s="58" t="s">
        <v>3836</v>
      </c>
      <c r="B56" s="58" t="s">
        <v>3673</v>
      </c>
      <c r="C56" s="58" t="s">
        <v>3340</v>
      </c>
      <c r="D56" s="58" t="s">
        <v>3837</v>
      </c>
      <c r="E56" s="58" t="s">
        <v>3838</v>
      </c>
      <c r="F56" s="58" t="s">
        <v>3839</v>
      </c>
    </row>
    <row r="57">
      <c r="A57" s="58" t="s">
        <v>3840</v>
      </c>
      <c r="B57" s="58" t="s">
        <v>3673</v>
      </c>
      <c r="C57" s="58" t="s">
        <v>3340</v>
      </c>
      <c r="D57" s="58" t="s">
        <v>3841</v>
      </c>
      <c r="E57" s="58" t="s">
        <v>3841</v>
      </c>
      <c r="F57" s="58" t="s">
        <v>3839</v>
      </c>
    </row>
    <row r="58">
      <c r="A58" s="58" t="s">
        <v>3842</v>
      </c>
      <c r="B58" s="58" t="s">
        <v>3673</v>
      </c>
      <c r="C58" s="58" t="s">
        <v>3340</v>
      </c>
      <c r="D58" s="58" t="s">
        <v>3843</v>
      </c>
      <c r="E58" s="58" t="s">
        <v>3843</v>
      </c>
      <c r="F58" s="58" t="s">
        <v>3844</v>
      </c>
    </row>
    <row r="59">
      <c r="A59" s="58" t="s">
        <v>3845</v>
      </c>
      <c r="B59" s="58" t="s">
        <v>3673</v>
      </c>
      <c r="C59" s="58" t="s">
        <v>3340</v>
      </c>
      <c r="D59" s="58" t="s">
        <v>3846</v>
      </c>
      <c r="E59" s="58" t="s">
        <v>3847</v>
      </c>
      <c r="F59" s="58" t="s">
        <v>3848</v>
      </c>
    </row>
    <row r="60">
      <c r="A60" s="58" t="s">
        <v>3849</v>
      </c>
      <c r="B60" s="58" t="s">
        <v>3683</v>
      </c>
      <c r="C60" s="58" t="s">
        <v>3340</v>
      </c>
      <c r="D60" s="58" t="s">
        <v>3849</v>
      </c>
      <c r="E60" s="58" t="s">
        <v>3849</v>
      </c>
      <c r="F60" s="58" t="s">
        <v>3850</v>
      </c>
    </row>
    <row r="61">
      <c r="A61" s="58"/>
      <c r="B61" s="58"/>
      <c r="C61" s="58"/>
      <c r="D61" s="58"/>
      <c r="E61" s="58"/>
      <c r="F61" s="58"/>
    </row>
    <row r="62">
      <c r="A62" s="58"/>
      <c r="B62" s="58"/>
      <c r="C62" s="58"/>
      <c r="D62" s="58"/>
      <c r="E62" s="58"/>
      <c r="F62" s="58"/>
    </row>
    <row r="63">
      <c r="A63" s="58"/>
      <c r="B63" s="58"/>
      <c r="C63" s="58"/>
      <c r="D63" s="58"/>
      <c r="E63" s="58"/>
      <c r="F63" s="58"/>
    </row>
    <row r="64">
      <c r="A64" s="58"/>
      <c r="B64" s="58"/>
      <c r="C64" s="58"/>
      <c r="D64" s="58"/>
      <c r="E64" s="58"/>
      <c r="F64" s="58"/>
    </row>
    <row r="65">
      <c r="A65" s="58"/>
      <c r="B65" s="58"/>
      <c r="C65" s="58"/>
      <c r="D65" s="58"/>
      <c r="E65" s="58"/>
      <c r="F65" s="58"/>
    </row>
    <row r="66">
      <c r="A66" s="58"/>
      <c r="B66" s="58"/>
      <c r="C66" s="58"/>
      <c r="D66" s="58"/>
      <c r="E66" s="58"/>
      <c r="F66" s="58"/>
    </row>
    <row r="67">
      <c r="A67" s="58"/>
      <c r="B67" s="58"/>
      <c r="C67" s="58"/>
      <c r="D67" s="58"/>
      <c r="E67" s="58"/>
      <c r="F67" s="58"/>
    </row>
    <row r="68">
      <c r="A68" s="58"/>
      <c r="B68" s="58"/>
      <c r="C68" s="58"/>
      <c r="D68" s="58"/>
      <c r="E68" s="58"/>
      <c r="F68" s="58"/>
    </row>
    <row r="69">
      <c r="A69" s="58"/>
      <c r="B69" s="58"/>
      <c r="C69" s="58"/>
      <c r="D69" s="58"/>
      <c r="E69" s="58"/>
      <c r="F69" s="58"/>
    </row>
    <row r="70">
      <c r="A70" s="58"/>
      <c r="B70" s="58"/>
      <c r="C70" s="58"/>
      <c r="D70" s="58"/>
      <c r="E70" s="58"/>
      <c r="F70" s="58"/>
    </row>
    <row r="71">
      <c r="A71" s="58"/>
      <c r="B71" s="58"/>
      <c r="C71" s="58"/>
      <c r="D71" s="58"/>
      <c r="E71" s="58"/>
      <c r="F71" s="58"/>
    </row>
    <row r="72">
      <c r="A72" s="60"/>
      <c r="B72" s="60"/>
      <c r="C72" s="60"/>
      <c r="D72" s="60"/>
      <c r="E72" s="60"/>
      <c r="F72" s="60"/>
    </row>
    <row r="73">
      <c r="A73" s="60"/>
      <c r="B73" s="60"/>
      <c r="C73" s="60"/>
      <c r="D73" s="60"/>
      <c r="E73" s="60"/>
      <c r="F73" s="60"/>
    </row>
    <row r="74">
      <c r="A74" s="60"/>
      <c r="B74" s="60"/>
      <c r="C74" s="60"/>
      <c r="D74" s="60"/>
      <c r="E74" s="60"/>
      <c r="F74" s="60"/>
    </row>
    <row r="75">
      <c r="A75" s="60"/>
      <c r="B75" s="60"/>
      <c r="C75" s="60"/>
      <c r="D75" s="60"/>
      <c r="E75" s="60"/>
      <c r="F75" s="60"/>
    </row>
    <row r="76">
      <c r="A76" s="60"/>
      <c r="B76" s="60"/>
      <c r="C76" s="60"/>
      <c r="D76" s="60"/>
      <c r="E76" s="60"/>
      <c r="F76" s="60"/>
    </row>
    <row r="77">
      <c r="A77" s="60"/>
      <c r="B77" s="60"/>
      <c r="C77" s="60"/>
      <c r="D77" s="60"/>
      <c r="E77" s="60"/>
      <c r="F77" s="60"/>
    </row>
    <row r="78">
      <c r="A78" s="60"/>
      <c r="B78" s="60"/>
      <c r="C78" s="60"/>
      <c r="D78" s="60"/>
      <c r="E78" s="60"/>
      <c r="F78" s="60"/>
    </row>
    <row r="79">
      <c r="A79" s="60"/>
      <c r="B79" s="60"/>
      <c r="C79" s="60"/>
      <c r="D79" s="60"/>
      <c r="E79" s="60"/>
      <c r="F79" s="60"/>
    </row>
    <row r="80">
      <c r="A80" s="60"/>
      <c r="B80" s="60"/>
      <c r="C80" s="60"/>
      <c r="D80" s="60"/>
      <c r="E80" s="60"/>
      <c r="F80" s="60"/>
    </row>
    <row r="81">
      <c r="A81" s="60"/>
      <c r="B81" s="60"/>
      <c r="C81" s="60"/>
      <c r="D81" s="60"/>
      <c r="E81" s="60"/>
      <c r="F81" s="60"/>
    </row>
    <row r="82">
      <c r="A82" s="60"/>
      <c r="B82" s="60"/>
      <c r="C82" s="60"/>
      <c r="D82" s="60"/>
      <c r="E82" s="60"/>
      <c r="F82" s="60"/>
    </row>
    <row r="83">
      <c r="A83" s="60"/>
      <c r="B83" s="60"/>
      <c r="C83" s="60"/>
      <c r="D83" s="60"/>
      <c r="E83" s="60"/>
      <c r="F83" s="60"/>
    </row>
    <row r="84">
      <c r="A84" s="60"/>
      <c r="B84" s="60"/>
      <c r="C84" s="60"/>
      <c r="D84" s="60"/>
      <c r="E84" s="60"/>
      <c r="F84" s="60"/>
    </row>
    <row r="85">
      <c r="A85" s="60"/>
      <c r="B85" s="60"/>
      <c r="C85" s="60"/>
      <c r="D85" s="60"/>
      <c r="E85" s="60"/>
      <c r="F85" s="60"/>
    </row>
    <row r="86">
      <c r="A86" s="60"/>
      <c r="B86" s="60"/>
      <c r="C86" s="60"/>
      <c r="D86" s="60"/>
      <c r="E86" s="60"/>
      <c r="F86" s="60"/>
    </row>
    <row r="87">
      <c r="A87" s="60"/>
      <c r="B87" s="60"/>
      <c r="C87" s="60"/>
      <c r="D87" s="60"/>
      <c r="E87" s="60"/>
      <c r="F87" s="60"/>
    </row>
    <row r="88">
      <c r="A88" s="60"/>
      <c r="B88" s="60"/>
      <c r="C88" s="60"/>
      <c r="D88" s="60"/>
      <c r="E88" s="60"/>
      <c r="F88" s="60"/>
    </row>
    <row r="89">
      <c r="A89" s="60"/>
      <c r="B89" s="60"/>
      <c r="C89" s="60"/>
      <c r="D89" s="60"/>
      <c r="E89" s="60"/>
      <c r="F89" s="60"/>
    </row>
    <row r="90">
      <c r="A90" s="60"/>
      <c r="B90" s="60"/>
      <c r="C90" s="60"/>
      <c r="D90" s="60"/>
      <c r="E90" s="60"/>
      <c r="F90" s="60"/>
    </row>
    <row r="91">
      <c r="A91" s="60"/>
      <c r="B91" s="60"/>
      <c r="C91" s="60"/>
      <c r="D91" s="60"/>
      <c r="E91" s="60"/>
      <c r="F91" s="60"/>
    </row>
    <row r="92">
      <c r="A92" s="60"/>
      <c r="B92" s="60"/>
      <c r="C92" s="60"/>
      <c r="D92" s="60"/>
      <c r="E92" s="60"/>
      <c r="F92" s="60"/>
    </row>
    <row r="93">
      <c r="A93" s="60"/>
      <c r="B93" s="60"/>
      <c r="C93" s="60"/>
      <c r="D93" s="60"/>
      <c r="E93" s="60"/>
      <c r="F93" s="60"/>
    </row>
    <row r="94">
      <c r="A94" s="60"/>
      <c r="B94" s="60"/>
      <c r="C94" s="60"/>
      <c r="D94" s="60"/>
      <c r="E94" s="60"/>
      <c r="F94" s="60"/>
    </row>
    <row r="95">
      <c r="A95" s="60"/>
      <c r="B95" s="60"/>
      <c r="C95" s="60"/>
      <c r="D95" s="60"/>
      <c r="E95" s="60"/>
      <c r="F95" s="60"/>
    </row>
    <row r="96">
      <c r="A96" s="60"/>
      <c r="B96" s="60"/>
      <c r="C96" s="60"/>
      <c r="D96" s="60"/>
      <c r="E96" s="60"/>
      <c r="F96" s="60"/>
    </row>
    <row r="97">
      <c r="A97" s="60"/>
      <c r="B97" s="60"/>
      <c r="C97" s="60"/>
      <c r="D97" s="60"/>
      <c r="E97" s="60"/>
      <c r="F97" s="60"/>
    </row>
    <row r="98">
      <c r="A98" s="60"/>
      <c r="B98" s="60"/>
      <c r="C98" s="60"/>
      <c r="D98" s="60"/>
      <c r="E98" s="60"/>
      <c r="F98" s="60"/>
    </row>
    <row r="99">
      <c r="A99" s="60"/>
      <c r="B99" s="60"/>
      <c r="C99" s="60"/>
      <c r="D99" s="60"/>
      <c r="E99" s="60"/>
      <c r="F99" s="60"/>
    </row>
    <row r="100">
      <c r="A100" s="60"/>
      <c r="B100" s="60"/>
      <c r="C100" s="60"/>
      <c r="D100" s="60"/>
      <c r="E100" s="60"/>
      <c r="F100" s="60"/>
    </row>
    <row r="101">
      <c r="A101" s="60"/>
      <c r="B101" s="60"/>
      <c r="C101" s="60"/>
      <c r="D101" s="60"/>
      <c r="E101" s="60"/>
      <c r="F101" s="60"/>
    </row>
    <row r="102">
      <c r="A102" s="60"/>
      <c r="B102" s="60"/>
      <c r="C102" s="60"/>
      <c r="D102" s="60"/>
      <c r="E102" s="60"/>
      <c r="F102" s="60"/>
    </row>
    <row r="103">
      <c r="A103" s="60"/>
      <c r="B103" s="60"/>
      <c r="C103" s="60"/>
      <c r="D103" s="60"/>
      <c r="E103" s="60"/>
      <c r="F103" s="60"/>
    </row>
    <row r="104">
      <c r="A104" s="60"/>
      <c r="B104" s="60"/>
      <c r="C104" s="60"/>
      <c r="D104" s="60"/>
      <c r="E104" s="60"/>
      <c r="F104" s="60"/>
    </row>
    <row r="105">
      <c r="A105" s="60"/>
      <c r="B105" s="60"/>
      <c r="C105" s="60"/>
      <c r="D105" s="60"/>
      <c r="E105" s="60"/>
      <c r="F105" s="60"/>
    </row>
    <row r="106">
      <c r="A106" s="60"/>
      <c r="B106" s="60"/>
      <c r="C106" s="60"/>
      <c r="D106" s="60"/>
      <c r="E106" s="60"/>
      <c r="F106" s="60"/>
    </row>
    <row r="107">
      <c r="A107" s="60"/>
      <c r="B107" s="60"/>
      <c r="C107" s="60"/>
      <c r="D107" s="60"/>
      <c r="E107" s="60"/>
      <c r="F107" s="60"/>
    </row>
    <row r="108">
      <c r="A108" s="60"/>
      <c r="B108" s="60"/>
      <c r="C108" s="60"/>
      <c r="D108" s="60"/>
      <c r="E108" s="60"/>
      <c r="F108" s="60"/>
    </row>
    <row r="109">
      <c r="A109" s="60"/>
      <c r="B109" s="60"/>
      <c r="C109" s="60"/>
      <c r="D109" s="60"/>
      <c r="E109" s="60"/>
      <c r="F109" s="60"/>
    </row>
    <row r="110">
      <c r="A110" s="60"/>
      <c r="B110" s="60"/>
      <c r="C110" s="60"/>
      <c r="D110" s="60"/>
      <c r="E110" s="60"/>
      <c r="F110" s="60"/>
    </row>
    <row r="111">
      <c r="A111" s="60"/>
      <c r="B111" s="60"/>
      <c r="C111" s="60"/>
      <c r="D111" s="60"/>
      <c r="E111" s="60"/>
      <c r="F111" s="60"/>
    </row>
    <row r="112">
      <c r="A112" s="60"/>
      <c r="B112" s="60"/>
      <c r="C112" s="60"/>
      <c r="D112" s="60"/>
      <c r="E112" s="60"/>
      <c r="F112" s="60"/>
    </row>
    <row r="113">
      <c r="A113" s="60"/>
      <c r="B113" s="60"/>
      <c r="C113" s="60"/>
      <c r="D113" s="60"/>
      <c r="E113" s="60"/>
      <c r="F113" s="60"/>
    </row>
    <row r="114">
      <c r="A114" s="60"/>
      <c r="B114" s="60"/>
      <c r="C114" s="60"/>
      <c r="D114" s="60"/>
      <c r="E114" s="60"/>
      <c r="F114" s="60"/>
    </row>
    <row r="115">
      <c r="A115" s="60"/>
      <c r="B115" s="60"/>
      <c r="C115" s="60"/>
      <c r="D115" s="60"/>
      <c r="E115" s="60"/>
      <c r="F115" s="60"/>
    </row>
    <row r="116">
      <c r="A116" s="60"/>
      <c r="B116" s="60"/>
      <c r="C116" s="60"/>
      <c r="D116" s="60"/>
      <c r="E116" s="60"/>
      <c r="F116" s="60"/>
    </row>
    <row r="117">
      <c r="A117" s="60"/>
      <c r="B117" s="60"/>
      <c r="C117" s="60"/>
      <c r="D117" s="60"/>
      <c r="E117" s="60"/>
      <c r="F117" s="60"/>
    </row>
    <row r="118">
      <c r="A118" s="60"/>
      <c r="B118" s="60"/>
      <c r="C118" s="60"/>
      <c r="D118" s="60"/>
      <c r="E118" s="60"/>
      <c r="F118" s="60"/>
    </row>
    <row r="119">
      <c r="A119" s="60"/>
      <c r="B119" s="60"/>
      <c r="C119" s="60"/>
      <c r="D119" s="60"/>
      <c r="E119" s="60"/>
      <c r="F119" s="60"/>
    </row>
    <row r="120">
      <c r="A120" s="60"/>
      <c r="B120" s="60"/>
      <c r="C120" s="60"/>
      <c r="D120" s="60"/>
      <c r="E120" s="60"/>
      <c r="F120" s="60"/>
    </row>
    <row r="121">
      <c r="A121" s="60"/>
      <c r="B121" s="60"/>
      <c r="C121" s="60"/>
      <c r="D121" s="60"/>
      <c r="E121" s="60"/>
      <c r="F121" s="60"/>
    </row>
    <row r="122">
      <c r="A122" s="60"/>
      <c r="B122" s="60"/>
      <c r="C122" s="60"/>
      <c r="D122" s="60"/>
      <c r="E122" s="60"/>
      <c r="F122" s="60"/>
    </row>
    <row r="123">
      <c r="A123" s="60"/>
      <c r="B123" s="60"/>
      <c r="C123" s="60"/>
      <c r="D123" s="60"/>
      <c r="E123" s="60"/>
      <c r="F123" s="60"/>
    </row>
    <row r="124">
      <c r="A124" s="60"/>
      <c r="B124" s="60"/>
      <c r="C124" s="60"/>
      <c r="D124" s="60"/>
      <c r="E124" s="60"/>
      <c r="F124" s="60"/>
    </row>
    <row r="125">
      <c r="A125" s="60"/>
      <c r="B125" s="60"/>
      <c r="C125" s="60"/>
      <c r="D125" s="60"/>
      <c r="E125" s="60"/>
      <c r="F125" s="60"/>
    </row>
    <row r="126">
      <c r="A126" s="60"/>
      <c r="B126" s="60"/>
      <c r="C126" s="60"/>
      <c r="D126" s="60"/>
      <c r="E126" s="60"/>
      <c r="F126" s="60"/>
    </row>
    <row r="127">
      <c r="A127" s="60"/>
      <c r="B127" s="60"/>
      <c r="C127" s="60"/>
      <c r="D127" s="60"/>
      <c r="E127" s="60"/>
      <c r="F127" s="60"/>
    </row>
    <row r="128">
      <c r="A128" s="60"/>
      <c r="B128" s="60"/>
      <c r="C128" s="60"/>
      <c r="D128" s="60"/>
      <c r="E128" s="60"/>
      <c r="F128" s="60"/>
    </row>
    <row r="129">
      <c r="A129" s="60"/>
      <c r="B129" s="60"/>
      <c r="C129" s="60"/>
      <c r="D129" s="60"/>
      <c r="E129" s="60"/>
      <c r="F129" s="60"/>
    </row>
    <row r="130">
      <c r="A130" s="60"/>
      <c r="B130" s="60"/>
      <c r="C130" s="60"/>
      <c r="D130" s="60"/>
      <c r="E130" s="60"/>
      <c r="F130" s="60"/>
    </row>
    <row r="131">
      <c r="A131" s="60"/>
      <c r="B131" s="60"/>
      <c r="C131" s="60"/>
      <c r="D131" s="60"/>
      <c r="E131" s="60"/>
      <c r="F131" s="60"/>
    </row>
    <row r="132">
      <c r="A132" s="60"/>
      <c r="B132" s="60"/>
      <c r="C132" s="60"/>
      <c r="D132" s="60"/>
      <c r="E132" s="60"/>
      <c r="F132" s="60"/>
    </row>
    <row r="133">
      <c r="A133" s="60"/>
      <c r="B133" s="60"/>
      <c r="C133" s="60"/>
      <c r="D133" s="60"/>
      <c r="E133" s="60"/>
      <c r="F133" s="60"/>
    </row>
    <row r="134">
      <c r="A134" s="60"/>
      <c r="B134" s="60"/>
      <c r="C134" s="60"/>
      <c r="D134" s="60"/>
      <c r="E134" s="60"/>
      <c r="F134" s="60"/>
    </row>
    <row r="135">
      <c r="A135" s="60"/>
      <c r="B135" s="60"/>
      <c r="C135" s="60"/>
      <c r="D135" s="60"/>
      <c r="E135" s="60"/>
      <c r="F135" s="60"/>
    </row>
    <row r="136">
      <c r="A136" s="60"/>
      <c r="B136" s="60"/>
      <c r="C136" s="60"/>
      <c r="D136" s="60"/>
      <c r="E136" s="60"/>
      <c r="F136" s="60"/>
    </row>
    <row r="137">
      <c r="A137" s="60"/>
      <c r="B137" s="60"/>
      <c r="C137" s="60"/>
      <c r="D137" s="60"/>
      <c r="E137" s="60"/>
      <c r="F137" s="60"/>
    </row>
    <row r="138">
      <c r="A138" s="60"/>
      <c r="B138" s="60"/>
      <c r="C138" s="60"/>
      <c r="D138" s="60"/>
      <c r="E138" s="60"/>
      <c r="F138" s="60"/>
    </row>
    <row r="139">
      <c r="A139" s="60"/>
      <c r="B139" s="60"/>
      <c r="C139" s="60"/>
      <c r="D139" s="60"/>
      <c r="E139" s="60"/>
      <c r="F139" s="60"/>
    </row>
    <row r="140">
      <c r="A140" s="60"/>
      <c r="B140" s="60"/>
      <c r="C140" s="60"/>
      <c r="D140" s="60"/>
      <c r="E140" s="60"/>
      <c r="F140" s="60"/>
    </row>
    <row r="141">
      <c r="A141" s="60"/>
      <c r="B141" s="60"/>
      <c r="C141" s="60"/>
      <c r="D141" s="60"/>
      <c r="E141" s="60"/>
      <c r="F141" s="60"/>
    </row>
    <row r="142">
      <c r="A142" s="60"/>
      <c r="B142" s="60"/>
      <c r="C142" s="60"/>
      <c r="D142" s="60"/>
      <c r="E142" s="60"/>
      <c r="F142" s="60"/>
    </row>
    <row r="143">
      <c r="A143" s="60"/>
      <c r="B143" s="60"/>
      <c r="C143" s="60"/>
      <c r="D143" s="60"/>
      <c r="E143" s="60"/>
      <c r="F143" s="60"/>
    </row>
    <row r="144">
      <c r="A144" s="60"/>
      <c r="B144" s="60"/>
      <c r="C144" s="60"/>
      <c r="D144" s="60"/>
      <c r="E144" s="60"/>
      <c r="F144" s="60"/>
    </row>
    <row r="145">
      <c r="A145" s="60"/>
      <c r="B145" s="60"/>
      <c r="C145" s="60"/>
      <c r="D145" s="60"/>
      <c r="E145" s="60"/>
      <c r="F145" s="60"/>
    </row>
    <row r="146">
      <c r="A146" s="60"/>
      <c r="B146" s="60"/>
      <c r="C146" s="60"/>
      <c r="D146" s="60"/>
      <c r="E146" s="60"/>
      <c r="F146" s="60"/>
    </row>
    <row r="147">
      <c r="A147" s="60"/>
      <c r="B147" s="60"/>
      <c r="C147" s="60"/>
      <c r="D147" s="60"/>
      <c r="E147" s="60"/>
      <c r="F147" s="60"/>
    </row>
    <row r="148">
      <c r="A148" s="60"/>
      <c r="B148" s="60"/>
      <c r="C148" s="60"/>
      <c r="D148" s="60"/>
      <c r="E148" s="60"/>
      <c r="F148" s="60"/>
    </row>
    <row r="149">
      <c r="A149" s="60"/>
      <c r="B149" s="60"/>
      <c r="C149" s="60"/>
      <c r="D149" s="60"/>
      <c r="E149" s="60"/>
      <c r="F149" s="60"/>
    </row>
    <row r="150">
      <c r="A150" s="60"/>
      <c r="B150" s="60"/>
      <c r="C150" s="60"/>
      <c r="D150" s="60"/>
      <c r="E150" s="60"/>
      <c r="F150" s="60"/>
    </row>
    <row r="151">
      <c r="A151" s="60"/>
      <c r="B151" s="60"/>
      <c r="C151" s="60"/>
      <c r="D151" s="60"/>
      <c r="E151" s="60"/>
      <c r="F151" s="60"/>
    </row>
    <row r="152">
      <c r="A152" s="60"/>
      <c r="B152" s="60"/>
      <c r="C152" s="60"/>
      <c r="D152" s="60"/>
      <c r="E152" s="60"/>
      <c r="F152" s="60"/>
    </row>
    <row r="153">
      <c r="A153" s="60"/>
      <c r="B153" s="60"/>
      <c r="C153" s="60"/>
      <c r="D153" s="60"/>
      <c r="E153" s="60"/>
      <c r="F153" s="60"/>
    </row>
    <row r="154">
      <c r="A154" s="60"/>
      <c r="B154" s="60"/>
      <c r="C154" s="60"/>
      <c r="D154" s="60"/>
      <c r="E154" s="60"/>
      <c r="F154" s="60"/>
    </row>
    <row r="155">
      <c r="A155" s="60"/>
      <c r="B155" s="60"/>
      <c r="C155" s="60"/>
      <c r="D155" s="60"/>
      <c r="E155" s="60"/>
      <c r="F155" s="60"/>
    </row>
    <row r="156">
      <c r="A156" s="60"/>
      <c r="B156" s="60"/>
      <c r="C156" s="60"/>
      <c r="D156" s="60"/>
      <c r="E156" s="60"/>
      <c r="F156" s="60"/>
    </row>
    <row r="157">
      <c r="A157" s="60"/>
      <c r="B157" s="60"/>
      <c r="C157" s="60"/>
      <c r="D157" s="60"/>
      <c r="E157" s="60"/>
      <c r="F157" s="60"/>
    </row>
    <row r="158">
      <c r="A158" s="60"/>
      <c r="B158" s="60"/>
      <c r="C158" s="60"/>
      <c r="D158" s="60"/>
      <c r="E158" s="60"/>
      <c r="F158" s="60"/>
    </row>
    <row r="159">
      <c r="A159" s="60"/>
      <c r="B159" s="60"/>
      <c r="C159" s="60"/>
      <c r="D159" s="60"/>
      <c r="E159" s="60"/>
      <c r="F159" s="60"/>
    </row>
    <row r="160">
      <c r="A160" s="60"/>
      <c r="B160" s="60"/>
      <c r="C160" s="60"/>
      <c r="D160" s="60"/>
      <c r="E160" s="60"/>
      <c r="F160" s="60"/>
    </row>
    <row r="161">
      <c r="A161" s="60"/>
      <c r="B161" s="60"/>
      <c r="C161" s="60"/>
      <c r="D161" s="60"/>
      <c r="E161" s="60"/>
      <c r="F161" s="60"/>
    </row>
    <row r="162">
      <c r="A162" s="60"/>
      <c r="B162" s="60"/>
      <c r="C162" s="60"/>
      <c r="D162" s="60"/>
      <c r="E162" s="60"/>
      <c r="F162" s="60"/>
    </row>
    <row r="163">
      <c r="A163" s="60"/>
      <c r="B163" s="60"/>
      <c r="C163" s="60"/>
      <c r="D163" s="60"/>
      <c r="E163" s="60"/>
      <c r="F163" s="60"/>
    </row>
    <row r="164">
      <c r="A164" s="60"/>
      <c r="B164" s="60"/>
      <c r="C164" s="60"/>
      <c r="D164" s="60"/>
      <c r="E164" s="60"/>
      <c r="F164" s="60"/>
    </row>
    <row r="165">
      <c r="A165" s="60"/>
      <c r="B165" s="60"/>
      <c r="C165" s="60"/>
      <c r="D165" s="60"/>
      <c r="E165" s="60"/>
      <c r="F165" s="60"/>
    </row>
    <row r="166">
      <c r="A166" s="60"/>
      <c r="B166" s="60"/>
      <c r="C166" s="60"/>
      <c r="D166" s="60"/>
      <c r="E166" s="60"/>
      <c r="F166" s="60"/>
    </row>
    <row r="167">
      <c r="A167" s="60"/>
      <c r="B167" s="60"/>
      <c r="C167" s="60"/>
      <c r="D167" s="60"/>
      <c r="E167" s="60"/>
      <c r="F167" s="60"/>
    </row>
    <row r="168">
      <c r="A168" s="60"/>
      <c r="B168" s="60"/>
      <c r="C168" s="60"/>
      <c r="D168" s="60"/>
      <c r="E168" s="60"/>
      <c r="F168" s="60"/>
    </row>
    <row r="169">
      <c r="A169" s="60"/>
      <c r="B169" s="60"/>
      <c r="C169" s="60"/>
      <c r="D169" s="60"/>
      <c r="E169" s="60"/>
      <c r="F169" s="60"/>
    </row>
    <row r="170">
      <c r="A170" s="60"/>
      <c r="B170" s="60"/>
      <c r="C170" s="60"/>
      <c r="D170" s="60"/>
      <c r="E170" s="60"/>
      <c r="F170" s="60"/>
    </row>
    <row r="171">
      <c r="A171" s="60"/>
      <c r="B171" s="60"/>
      <c r="C171" s="60"/>
      <c r="D171" s="60"/>
      <c r="E171" s="60"/>
      <c r="F171" s="60"/>
    </row>
    <row r="172">
      <c r="A172" s="60"/>
      <c r="B172" s="60"/>
      <c r="C172" s="60"/>
      <c r="D172" s="60"/>
      <c r="E172" s="60"/>
      <c r="F172" s="60"/>
    </row>
    <row r="173">
      <c r="A173" s="60"/>
      <c r="B173" s="60"/>
      <c r="C173" s="60"/>
      <c r="D173" s="60"/>
      <c r="E173" s="60"/>
      <c r="F173" s="60"/>
    </row>
    <row r="174">
      <c r="A174" s="60"/>
      <c r="B174" s="60"/>
      <c r="C174" s="60"/>
      <c r="D174" s="60"/>
      <c r="E174" s="60"/>
      <c r="F174" s="60"/>
    </row>
    <row r="175">
      <c r="A175" s="60"/>
      <c r="B175" s="60"/>
      <c r="C175" s="60"/>
      <c r="D175" s="60"/>
      <c r="E175" s="60"/>
      <c r="F175" s="60"/>
    </row>
    <row r="176">
      <c r="A176" s="60"/>
      <c r="B176" s="60"/>
      <c r="C176" s="60"/>
      <c r="D176" s="60"/>
      <c r="E176" s="60"/>
      <c r="F176" s="60"/>
    </row>
    <row r="177">
      <c r="A177" s="60"/>
      <c r="B177" s="60"/>
      <c r="C177" s="60"/>
      <c r="D177" s="60"/>
      <c r="E177" s="60"/>
      <c r="F177" s="60"/>
    </row>
    <row r="178">
      <c r="A178" s="60"/>
      <c r="B178" s="60"/>
      <c r="C178" s="60"/>
      <c r="D178" s="60"/>
      <c r="E178" s="60"/>
      <c r="F178" s="60"/>
    </row>
    <row r="179">
      <c r="A179" s="60"/>
      <c r="B179" s="60"/>
      <c r="C179" s="60"/>
      <c r="D179" s="60"/>
      <c r="E179" s="60"/>
      <c r="F179" s="60"/>
    </row>
    <row r="180">
      <c r="A180" s="60"/>
      <c r="B180" s="60"/>
      <c r="C180" s="60"/>
      <c r="D180" s="60"/>
      <c r="E180" s="60"/>
      <c r="F180" s="60"/>
    </row>
    <row r="181">
      <c r="A181" s="60"/>
      <c r="B181" s="60"/>
      <c r="C181" s="60"/>
      <c r="D181" s="60"/>
      <c r="E181" s="60"/>
      <c r="F181" s="60"/>
    </row>
    <row r="182">
      <c r="A182" s="60"/>
      <c r="B182" s="60"/>
      <c r="C182" s="60"/>
      <c r="D182" s="60"/>
      <c r="E182" s="60"/>
      <c r="F182" s="60"/>
    </row>
    <row r="183">
      <c r="A183" s="60"/>
      <c r="B183" s="60"/>
      <c r="C183" s="60"/>
      <c r="D183" s="60"/>
      <c r="E183" s="60"/>
      <c r="F183" s="60"/>
    </row>
    <row r="184">
      <c r="A184" s="60"/>
      <c r="B184" s="60"/>
      <c r="C184" s="60"/>
      <c r="D184" s="60"/>
      <c r="E184" s="60"/>
      <c r="F184" s="60"/>
    </row>
    <row r="185">
      <c r="A185" s="60"/>
      <c r="B185" s="60"/>
      <c r="C185" s="60"/>
      <c r="D185" s="60"/>
      <c r="E185" s="60"/>
      <c r="F185" s="60"/>
    </row>
    <row r="186">
      <c r="A186" s="60"/>
      <c r="B186" s="60"/>
      <c r="C186" s="60"/>
      <c r="D186" s="60"/>
      <c r="E186" s="60"/>
      <c r="F186" s="60"/>
    </row>
    <row r="187">
      <c r="A187" s="60"/>
      <c r="B187" s="60"/>
      <c r="C187" s="60"/>
      <c r="D187" s="60"/>
      <c r="E187" s="60"/>
      <c r="F187" s="60"/>
    </row>
    <row r="188">
      <c r="A188" s="60"/>
      <c r="B188" s="60"/>
      <c r="C188" s="60"/>
      <c r="D188" s="60"/>
      <c r="E188" s="60"/>
      <c r="F188" s="60"/>
    </row>
    <row r="189">
      <c r="A189" s="60"/>
      <c r="B189" s="60"/>
      <c r="C189" s="60"/>
      <c r="D189" s="60"/>
      <c r="E189" s="60"/>
      <c r="F189" s="60"/>
    </row>
    <row r="190">
      <c r="A190" s="60"/>
      <c r="B190" s="60"/>
      <c r="C190" s="60"/>
      <c r="D190" s="60"/>
      <c r="E190" s="60"/>
      <c r="F190" s="60"/>
    </row>
    <row r="191">
      <c r="A191" s="60"/>
      <c r="B191" s="60"/>
      <c r="C191" s="60"/>
      <c r="D191" s="60"/>
      <c r="E191" s="60"/>
      <c r="F191" s="60"/>
    </row>
    <row r="192">
      <c r="A192" s="60"/>
      <c r="B192" s="60"/>
      <c r="C192" s="60"/>
      <c r="D192" s="60"/>
      <c r="E192" s="60"/>
      <c r="F192" s="60"/>
    </row>
    <row r="193">
      <c r="A193" s="60"/>
      <c r="B193" s="60"/>
      <c r="C193" s="60"/>
      <c r="D193" s="60"/>
      <c r="E193" s="60"/>
      <c r="F193" s="60"/>
    </row>
    <row r="194">
      <c r="A194" s="60"/>
      <c r="B194" s="60"/>
      <c r="C194" s="60"/>
      <c r="D194" s="60"/>
      <c r="E194" s="60"/>
      <c r="F194" s="60"/>
    </row>
    <row r="195">
      <c r="A195" s="60"/>
      <c r="B195" s="60"/>
      <c r="C195" s="60"/>
      <c r="D195" s="60"/>
      <c r="E195" s="60"/>
      <c r="F195" s="60"/>
    </row>
    <row r="196">
      <c r="A196" s="60"/>
      <c r="B196" s="60"/>
      <c r="C196" s="60"/>
      <c r="D196" s="60"/>
      <c r="E196" s="60"/>
      <c r="F196" s="60"/>
    </row>
    <row r="197">
      <c r="A197" s="60"/>
      <c r="B197" s="60"/>
      <c r="C197" s="60"/>
      <c r="D197" s="60"/>
      <c r="E197" s="60"/>
      <c r="F197" s="60"/>
    </row>
    <row r="198">
      <c r="A198" s="60"/>
      <c r="B198" s="60"/>
      <c r="C198" s="60"/>
      <c r="D198" s="60"/>
      <c r="E198" s="60"/>
      <c r="F198" s="60"/>
    </row>
    <row r="199">
      <c r="A199" s="60"/>
      <c r="B199" s="60"/>
      <c r="C199" s="60"/>
      <c r="D199" s="60"/>
      <c r="E199" s="60"/>
      <c r="F199" s="60"/>
    </row>
    <row r="200">
      <c r="A200" s="60"/>
      <c r="B200" s="60"/>
      <c r="C200" s="60"/>
      <c r="D200" s="60"/>
      <c r="E200" s="60"/>
      <c r="F200" s="60"/>
    </row>
    <row r="201">
      <c r="A201" s="60"/>
      <c r="B201" s="60"/>
      <c r="C201" s="60"/>
      <c r="D201" s="60"/>
      <c r="E201" s="60"/>
      <c r="F201" s="60"/>
    </row>
    <row r="202">
      <c r="A202" s="60"/>
      <c r="B202" s="60"/>
      <c r="C202" s="60"/>
      <c r="D202" s="60"/>
      <c r="E202" s="60"/>
      <c r="F202" s="60"/>
    </row>
    <row r="203">
      <c r="A203" s="60"/>
      <c r="B203" s="60"/>
      <c r="C203" s="60"/>
      <c r="D203" s="60"/>
      <c r="E203" s="60"/>
      <c r="F203" s="60"/>
    </row>
    <row r="204">
      <c r="A204" s="60"/>
      <c r="B204" s="60"/>
      <c r="C204" s="60"/>
      <c r="D204" s="60"/>
      <c r="E204" s="60"/>
      <c r="F204" s="60"/>
    </row>
    <row r="205">
      <c r="A205" s="60"/>
      <c r="B205" s="60"/>
      <c r="C205" s="60"/>
      <c r="D205" s="60"/>
      <c r="E205" s="60"/>
      <c r="F205" s="60"/>
    </row>
    <row r="206">
      <c r="A206" s="60"/>
      <c r="B206" s="60"/>
      <c r="C206" s="60"/>
      <c r="D206" s="60"/>
      <c r="E206" s="60"/>
      <c r="F206" s="60"/>
    </row>
    <row r="207">
      <c r="A207" s="60"/>
      <c r="B207" s="60"/>
      <c r="C207" s="60"/>
      <c r="D207" s="60"/>
      <c r="E207" s="60"/>
      <c r="F207" s="60"/>
    </row>
    <row r="208">
      <c r="A208" s="60"/>
      <c r="B208" s="60"/>
      <c r="C208" s="60"/>
      <c r="D208" s="60"/>
      <c r="E208" s="60"/>
      <c r="F208" s="60"/>
    </row>
    <row r="209">
      <c r="A209" s="60"/>
      <c r="B209" s="60"/>
      <c r="C209" s="60"/>
      <c r="D209" s="60"/>
      <c r="E209" s="60"/>
      <c r="F209" s="60"/>
    </row>
    <row r="210">
      <c r="A210" s="60"/>
      <c r="B210" s="60"/>
      <c r="C210" s="60"/>
      <c r="D210" s="60"/>
      <c r="E210" s="60"/>
      <c r="F210" s="60"/>
    </row>
    <row r="211">
      <c r="A211" s="60"/>
      <c r="B211" s="60"/>
      <c r="C211" s="60"/>
      <c r="D211" s="60"/>
      <c r="E211" s="60"/>
      <c r="F211" s="60"/>
    </row>
    <row r="212">
      <c r="A212" s="60"/>
      <c r="B212" s="60"/>
      <c r="C212" s="60"/>
      <c r="D212" s="60"/>
      <c r="E212" s="60"/>
      <c r="F212" s="60"/>
    </row>
    <row r="213">
      <c r="A213" s="60"/>
      <c r="B213" s="60"/>
      <c r="C213" s="60"/>
      <c r="D213" s="60"/>
      <c r="E213" s="60"/>
      <c r="F213" s="60"/>
    </row>
    <row r="214">
      <c r="A214" s="60"/>
      <c r="B214" s="60"/>
      <c r="C214" s="60"/>
      <c r="D214" s="60"/>
      <c r="E214" s="60"/>
      <c r="F214" s="60"/>
    </row>
    <row r="215">
      <c r="A215" s="60"/>
      <c r="B215" s="60"/>
      <c r="C215" s="60"/>
      <c r="D215" s="60"/>
      <c r="E215" s="60"/>
      <c r="F215" s="60"/>
    </row>
    <row r="216">
      <c r="A216" s="60"/>
      <c r="B216" s="60"/>
      <c r="C216" s="60"/>
      <c r="D216" s="60"/>
      <c r="E216" s="60"/>
      <c r="F216" s="60"/>
    </row>
    <row r="217">
      <c r="A217" s="60"/>
      <c r="B217" s="60"/>
      <c r="C217" s="60"/>
      <c r="D217" s="60"/>
      <c r="E217" s="60"/>
      <c r="F217" s="60"/>
    </row>
    <row r="218">
      <c r="A218" s="60"/>
      <c r="B218" s="60"/>
      <c r="C218" s="60"/>
      <c r="D218" s="60"/>
      <c r="E218" s="60"/>
      <c r="F218" s="60"/>
    </row>
    <row r="219">
      <c r="A219" s="60"/>
      <c r="B219" s="60"/>
      <c r="C219" s="60"/>
      <c r="D219" s="60"/>
      <c r="E219" s="60"/>
      <c r="F219" s="60"/>
    </row>
    <row r="220">
      <c r="A220" s="60"/>
      <c r="B220" s="60"/>
      <c r="C220" s="60"/>
      <c r="D220" s="60"/>
      <c r="E220" s="60"/>
      <c r="F220" s="60"/>
    </row>
    <row r="221">
      <c r="A221" s="60"/>
      <c r="B221" s="60"/>
      <c r="C221" s="60"/>
      <c r="D221" s="60"/>
      <c r="E221" s="60"/>
      <c r="F221" s="60"/>
    </row>
    <row r="222">
      <c r="A222" s="60"/>
      <c r="B222" s="60"/>
      <c r="C222" s="60"/>
      <c r="D222" s="60"/>
      <c r="E222" s="60"/>
      <c r="F222" s="60"/>
    </row>
    <row r="223">
      <c r="A223" s="60"/>
      <c r="B223" s="60"/>
      <c r="C223" s="60"/>
      <c r="D223" s="60"/>
      <c r="E223" s="60"/>
      <c r="F223" s="60"/>
    </row>
    <row r="224">
      <c r="A224" s="60"/>
      <c r="B224" s="60"/>
      <c r="C224" s="60"/>
      <c r="D224" s="60"/>
      <c r="E224" s="60"/>
      <c r="F224" s="60"/>
    </row>
    <row r="225">
      <c r="A225" s="60"/>
      <c r="B225" s="60"/>
      <c r="C225" s="60"/>
      <c r="D225" s="60"/>
      <c r="E225" s="60"/>
      <c r="F225" s="60"/>
    </row>
    <row r="226">
      <c r="A226" s="60"/>
      <c r="B226" s="60"/>
      <c r="C226" s="60"/>
      <c r="D226" s="60"/>
      <c r="E226" s="60"/>
      <c r="F226" s="60"/>
    </row>
    <row r="227">
      <c r="A227" s="60"/>
      <c r="B227" s="60"/>
      <c r="C227" s="60"/>
      <c r="D227" s="60"/>
      <c r="E227" s="60"/>
      <c r="F227" s="60"/>
    </row>
    <row r="228">
      <c r="A228" s="60"/>
      <c r="B228" s="60"/>
      <c r="C228" s="60"/>
      <c r="D228" s="60"/>
      <c r="E228" s="60"/>
      <c r="F228" s="60"/>
    </row>
    <row r="229">
      <c r="A229" s="60"/>
      <c r="B229" s="60"/>
      <c r="C229" s="60"/>
      <c r="D229" s="60"/>
      <c r="E229" s="60"/>
      <c r="F229" s="60"/>
    </row>
    <row r="230">
      <c r="A230" s="60"/>
      <c r="B230" s="60"/>
      <c r="C230" s="60"/>
      <c r="D230" s="60"/>
      <c r="E230" s="60"/>
      <c r="F230" s="60"/>
    </row>
    <row r="231">
      <c r="A231" s="60"/>
      <c r="B231" s="60"/>
      <c r="C231" s="60"/>
      <c r="D231" s="60"/>
      <c r="E231" s="60"/>
      <c r="F231" s="60"/>
    </row>
    <row r="232">
      <c r="A232" s="60"/>
      <c r="B232" s="60"/>
      <c r="C232" s="60"/>
      <c r="D232" s="60"/>
      <c r="E232" s="60"/>
      <c r="F232" s="60"/>
    </row>
    <row r="233">
      <c r="A233" s="60"/>
      <c r="B233" s="60"/>
      <c r="C233" s="60"/>
      <c r="D233" s="60"/>
      <c r="E233" s="60"/>
      <c r="F233" s="60"/>
    </row>
    <row r="234">
      <c r="A234" s="60"/>
      <c r="B234" s="60"/>
      <c r="C234" s="60"/>
      <c r="D234" s="60"/>
      <c r="E234" s="60"/>
      <c r="F234" s="60"/>
    </row>
    <row r="235">
      <c r="A235" s="60"/>
      <c r="B235" s="60"/>
      <c r="C235" s="60"/>
      <c r="D235" s="60"/>
      <c r="E235" s="60"/>
      <c r="F235" s="60"/>
    </row>
    <row r="236">
      <c r="A236" s="60"/>
      <c r="B236" s="60"/>
      <c r="C236" s="60"/>
      <c r="D236" s="60"/>
      <c r="E236" s="60"/>
      <c r="F236" s="60"/>
    </row>
    <row r="237">
      <c r="A237" s="60"/>
      <c r="B237" s="60"/>
      <c r="C237" s="60"/>
      <c r="D237" s="60"/>
      <c r="E237" s="60"/>
      <c r="F237" s="60"/>
    </row>
    <row r="238">
      <c r="A238" s="60"/>
      <c r="B238" s="60"/>
      <c r="C238" s="60"/>
      <c r="D238" s="60"/>
      <c r="E238" s="60"/>
      <c r="F238" s="60"/>
    </row>
    <row r="239">
      <c r="A239" s="60"/>
      <c r="B239" s="60"/>
      <c r="C239" s="60"/>
      <c r="D239" s="60"/>
      <c r="E239" s="60"/>
      <c r="F239" s="60"/>
    </row>
    <row r="240">
      <c r="A240" s="60"/>
      <c r="B240" s="60"/>
      <c r="C240" s="60"/>
      <c r="D240" s="60"/>
      <c r="E240" s="60"/>
      <c r="F240" s="60"/>
    </row>
    <row r="241">
      <c r="A241" s="60"/>
      <c r="B241" s="60"/>
      <c r="C241" s="60"/>
      <c r="D241" s="60"/>
      <c r="E241" s="60"/>
      <c r="F241" s="60"/>
    </row>
    <row r="242">
      <c r="A242" s="60"/>
      <c r="B242" s="60"/>
      <c r="C242" s="60"/>
      <c r="D242" s="60"/>
      <c r="E242" s="60"/>
      <c r="F242" s="60"/>
    </row>
    <row r="243">
      <c r="A243" s="60"/>
      <c r="B243" s="60"/>
      <c r="C243" s="60"/>
      <c r="D243" s="60"/>
      <c r="E243" s="60"/>
      <c r="F243" s="60"/>
    </row>
    <row r="244">
      <c r="A244" s="60"/>
      <c r="B244" s="60"/>
      <c r="C244" s="60"/>
      <c r="D244" s="60"/>
      <c r="E244" s="60"/>
      <c r="F244" s="60"/>
    </row>
    <row r="245">
      <c r="A245" s="60"/>
      <c r="B245" s="60"/>
      <c r="C245" s="60"/>
      <c r="D245" s="60"/>
      <c r="E245" s="60"/>
      <c r="F245" s="60"/>
    </row>
    <row r="246">
      <c r="A246" s="60"/>
      <c r="B246" s="60"/>
      <c r="C246" s="60"/>
      <c r="D246" s="60"/>
      <c r="E246" s="60"/>
      <c r="F246" s="60"/>
    </row>
    <row r="247">
      <c r="A247" s="60"/>
      <c r="B247" s="60"/>
      <c r="C247" s="60"/>
      <c r="D247" s="60"/>
      <c r="E247" s="60"/>
      <c r="F247" s="60"/>
    </row>
    <row r="248">
      <c r="A248" s="60"/>
      <c r="B248" s="60"/>
      <c r="C248" s="60"/>
      <c r="D248" s="60"/>
      <c r="E248" s="60"/>
      <c r="F248" s="60"/>
    </row>
    <row r="249">
      <c r="A249" s="60"/>
      <c r="B249" s="60"/>
      <c r="C249" s="60"/>
      <c r="D249" s="60"/>
      <c r="E249" s="60"/>
      <c r="F249" s="60"/>
    </row>
    <row r="250">
      <c r="A250" s="60"/>
      <c r="B250" s="60"/>
      <c r="C250" s="60"/>
      <c r="D250" s="60"/>
      <c r="E250" s="60"/>
      <c r="F250" s="60"/>
    </row>
    <row r="251">
      <c r="A251" s="60"/>
      <c r="B251" s="60"/>
      <c r="C251" s="60"/>
      <c r="D251" s="60"/>
      <c r="E251" s="60"/>
      <c r="F251" s="60"/>
    </row>
    <row r="252">
      <c r="A252" s="60"/>
      <c r="B252" s="60"/>
      <c r="C252" s="60"/>
      <c r="D252" s="60"/>
      <c r="E252" s="60"/>
      <c r="F252" s="60"/>
    </row>
    <row r="253">
      <c r="A253" s="60"/>
      <c r="B253" s="60"/>
      <c r="C253" s="60"/>
      <c r="D253" s="60"/>
      <c r="E253" s="60"/>
      <c r="F253" s="60"/>
    </row>
    <row r="254">
      <c r="A254" s="60"/>
      <c r="B254" s="60"/>
      <c r="C254" s="60"/>
      <c r="D254" s="60"/>
      <c r="E254" s="60"/>
      <c r="F254" s="60"/>
    </row>
    <row r="255">
      <c r="A255" s="60"/>
      <c r="B255" s="60"/>
      <c r="C255" s="60"/>
      <c r="D255" s="60"/>
      <c r="E255" s="60"/>
      <c r="F255" s="60"/>
    </row>
    <row r="256">
      <c r="A256" s="60"/>
      <c r="B256" s="60"/>
      <c r="C256" s="60"/>
      <c r="D256" s="60"/>
      <c r="E256" s="60"/>
      <c r="F256" s="60"/>
    </row>
    <row r="257">
      <c r="A257" s="60"/>
      <c r="B257" s="60"/>
      <c r="C257" s="60"/>
      <c r="D257" s="60"/>
      <c r="E257" s="60"/>
      <c r="F257" s="60"/>
    </row>
    <row r="258">
      <c r="A258" s="60"/>
      <c r="B258" s="60"/>
      <c r="C258" s="60"/>
      <c r="D258" s="60"/>
      <c r="E258" s="60"/>
      <c r="F258" s="60"/>
    </row>
    <row r="259">
      <c r="A259" s="60"/>
      <c r="B259" s="60"/>
      <c r="C259" s="60"/>
      <c r="D259" s="60"/>
      <c r="E259" s="60"/>
      <c r="F259" s="60"/>
    </row>
    <row r="260">
      <c r="A260" s="60"/>
      <c r="B260" s="60"/>
      <c r="C260" s="60"/>
      <c r="D260" s="60"/>
      <c r="E260" s="60"/>
      <c r="F260" s="60"/>
    </row>
    <row r="261">
      <c r="A261" s="60"/>
      <c r="B261" s="60"/>
      <c r="C261" s="60"/>
      <c r="D261" s="60"/>
      <c r="E261" s="60"/>
      <c r="F261" s="60"/>
    </row>
    <row r="262">
      <c r="A262" s="60"/>
      <c r="B262" s="60"/>
      <c r="C262" s="60"/>
      <c r="D262" s="60"/>
      <c r="E262" s="60"/>
      <c r="F262" s="60"/>
    </row>
    <row r="263">
      <c r="A263" s="60"/>
      <c r="B263" s="60"/>
      <c r="C263" s="60"/>
      <c r="D263" s="60"/>
      <c r="E263" s="60"/>
      <c r="F263" s="60"/>
    </row>
    <row r="264">
      <c r="A264" s="60"/>
      <c r="B264" s="60"/>
      <c r="C264" s="60"/>
      <c r="D264" s="60"/>
      <c r="E264" s="60"/>
      <c r="F264" s="60"/>
    </row>
    <row r="265">
      <c r="A265" s="60"/>
      <c r="B265" s="60"/>
      <c r="C265" s="60"/>
      <c r="D265" s="60"/>
      <c r="E265" s="60"/>
      <c r="F265" s="60"/>
    </row>
    <row r="266">
      <c r="A266" s="60"/>
      <c r="B266" s="60"/>
      <c r="C266" s="60"/>
      <c r="D266" s="60"/>
      <c r="E266" s="60"/>
      <c r="F266" s="60"/>
    </row>
    <row r="267">
      <c r="A267" s="60"/>
      <c r="B267" s="60"/>
      <c r="C267" s="60"/>
      <c r="D267" s="60"/>
      <c r="E267" s="60"/>
      <c r="F267" s="60"/>
    </row>
    <row r="268">
      <c r="A268" s="60"/>
      <c r="B268" s="60"/>
      <c r="C268" s="60"/>
      <c r="D268" s="60"/>
      <c r="E268" s="60"/>
      <c r="F268" s="60"/>
    </row>
    <row r="269">
      <c r="A269" s="60"/>
      <c r="B269" s="60"/>
      <c r="C269" s="60"/>
      <c r="D269" s="60"/>
      <c r="E269" s="60"/>
      <c r="F269" s="60"/>
    </row>
    <row r="270">
      <c r="A270" s="60"/>
      <c r="B270" s="60"/>
      <c r="C270" s="60"/>
      <c r="D270" s="60"/>
      <c r="E270" s="60"/>
      <c r="F270" s="60"/>
    </row>
    <row r="271">
      <c r="A271" s="60"/>
      <c r="B271" s="60"/>
      <c r="C271" s="60"/>
      <c r="D271" s="60"/>
      <c r="E271" s="60"/>
      <c r="F271" s="60"/>
    </row>
    <row r="272">
      <c r="A272" s="60"/>
      <c r="B272" s="60"/>
      <c r="C272" s="60"/>
      <c r="D272" s="60"/>
      <c r="E272" s="60"/>
      <c r="F272" s="60"/>
    </row>
    <row r="273">
      <c r="A273" s="60"/>
      <c r="B273" s="60"/>
      <c r="C273" s="60"/>
      <c r="D273" s="60"/>
      <c r="E273" s="60"/>
      <c r="F273" s="60"/>
    </row>
    <row r="274">
      <c r="A274" s="60"/>
      <c r="B274" s="60"/>
      <c r="C274" s="60"/>
      <c r="D274" s="60"/>
      <c r="E274" s="60"/>
      <c r="F274" s="60"/>
    </row>
    <row r="275">
      <c r="A275" s="60"/>
      <c r="B275" s="60"/>
      <c r="C275" s="60"/>
      <c r="D275" s="60"/>
      <c r="E275" s="60"/>
      <c r="F275" s="60"/>
    </row>
    <row r="276">
      <c r="A276" s="60"/>
      <c r="B276" s="60"/>
      <c r="C276" s="60"/>
      <c r="D276" s="60"/>
      <c r="E276" s="60"/>
      <c r="F276" s="60"/>
    </row>
    <row r="277">
      <c r="A277" s="60"/>
      <c r="B277" s="60"/>
      <c r="C277" s="60"/>
      <c r="D277" s="60"/>
      <c r="E277" s="60"/>
      <c r="F277" s="60"/>
    </row>
    <row r="278">
      <c r="A278" s="60"/>
      <c r="B278" s="60"/>
      <c r="C278" s="60"/>
      <c r="D278" s="60"/>
      <c r="E278" s="60"/>
      <c r="F278" s="60"/>
    </row>
    <row r="279">
      <c r="A279" s="60"/>
      <c r="B279" s="60"/>
      <c r="C279" s="60"/>
      <c r="D279" s="60"/>
      <c r="E279" s="60"/>
      <c r="F279" s="60"/>
    </row>
    <row r="280">
      <c r="A280" s="60"/>
      <c r="B280" s="60"/>
      <c r="C280" s="60"/>
      <c r="D280" s="60"/>
      <c r="E280" s="60"/>
      <c r="F280" s="60"/>
    </row>
    <row r="281">
      <c r="A281" s="60"/>
      <c r="B281" s="60"/>
      <c r="C281" s="60"/>
      <c r="D281" s="60"/>
      <c r="E281" s="60"/>
      <c r="F281" s="60"/>
    </row>
    <row r="282">
      <c r="A282" s="60"/>
      <c r="B282" s="60"/>
      <c r="C282" s="60"/>
      <c r="D282" s="60"/>
      <c r="E282" s="60"/>
      <c r="F282" s="60"/>
    </row>
    <row r="283">
      <c r="A283" s="60"/>
      <c r="B283" s="60"/>
      <c r="C283" s="60"/>
      <c r="D283" s="60"/>
      <c r="E283" s="60"/>
      <c r="F283" s="60"/>
    </row>
    <row r="284">
      <c r="A284" s="60"/>
      <c r="B284" s="60"/>
      <c r="C284" s="60"/>
      <c r="D284" s="60"/>
      <c r="E284" s="60"/>
      <c r="F284" s="60"/>
    </row>
    <row r="285">
      <c r="A285" s="60"/>
      <c r="B285" s="60"/>
      <c r="C285" s="60"/>
      <c r="D285" s="60"/>
      <c r="E285" s="60"/>
      <c r="F285" s="60"/>
    </row>
    <row r="286">
      <c r="A286" s="60"/>
      <c r="B286" s="60"/>
      <c r="C286" s="60"/>
      <c r="D286" s="60"/>
      <c r="E286" s="60"/>
      <c r="F286" s="60"/>
    </row>
    <row r="287">
      <c r="A287" s="60"/>
      <c r="B287" s="60"/>
      <c r="C287" s="60"/>
      <c r="D287" s="60"/>
      <c r="E287" s="60"/>
      <c r="F287" s="60"/>
    </row>
    <row r="288">
      <c r="A288" s="60"/>
      <c r="B288" s="60"/>
      <c r="C288" s="60"/>
      <c r="D288" s="60"/>
      <c r="E288" s="60"/>
      <c r="F288" s="60"/>
    </row>
    <row r="289">
      <c r="A289" s="60"/>
      <c r="B289" s="60"/>
      <c r="C289" s="60"/>
      <c r="D289" s="60"/>
      <c r="E289" s="60"/>
      <c r="F289" s="60"/>
    </row>
    <row r="290">
      <c r="A290" s="60"/>
      <c r="B290" s="60"/>
      <c r="C290" s="60"/>
      <c r="D290" s="60"/>
      <c r="E290" s="60"/>
      <c r="F290" s="60"/>
    </row>
    <row r="291">
      <c r="A291" s="60"/>
      <c r="B291" s="60"/>
      <c r="C291" s="60"/>
      <c r="D291" s="60"/>
      <c r="E291" s="60"/>
      <c r="F291" s="60"/>
    </row>
    <row r="292">
      <c r="A292" s="60"/>
      <c r="B292" s="60"/>
      <c r="C292" s="60"/>
      <c r="D292" s="60"/>
      <c r="E292" s="60"/>
      <c r="F292" s="60"/>
    </row>
    <row r="293">
      <c r="A293" s="60"/>
      <c r="B293" s="60"/>
      <c r="C293" s="60"/>
      <c r="D293" s="60"/>
      <c r="E293" s="60"/>
      <c r="F293" s="60"/>
    </row>
    <row r="294">
      <c r="A294" s="60"/>
      <c r="B294" s="60"/>
      <c r="C294" s="60"/>
      <c r="D294" s="60"/>
      <c r="E294" s="60"/>
      <c r="F294" s="60"/>
    </row>
    <row r="295">
      <c r="A295" s="60"/>
      <c r="B295" s="60"/>
      <c r="C295" s="60"/>
      <c r="D295" s="60"/>
      <c r="E295" s="60"/>
      <c r="F295" s="60"/>
    </row>
    <row r="296">
      <c r="A296" s="60"/>
      <c r="B296" s="60"/>
      <c r="C296" s="60"/>
      <c r="D296" s="60"/>
      <c r="E296" s="60"/>
      <c r="F296" s="60"/>
    </row>
    <row r="297">
      <c r="A297" s="60"/>
      <c r="B297" s="60"/>
      <c r="C297" s="60"/>
      <c r="D297" s="60"/>
      <c r="E297" s="60"/>
      <c r="F297" s="60"/>
    </row>
    <row r="298">
      <c r="A298" s="60"/>
      <c r="B298" s="60"/>
      <c r="C298" s="60"/>
      <c r="D298" s="60"/>
      <c r="E298" s="60"/>
      <c r="F298" s="60"/>
    </row>
    <row r="299">
      <c r="A299" s="60"/>
      <c r="B299" s="60"/>
      <c r="C299" s="60"/>
      <c r="D299" s="60"/>
      <c r="E299" s="60"/>
      <c r="F299" s="60"/>
    </row>
    <row r="300">
      <c r="A300" s="60"/>
      <c r="B300" s="60"/>
      <c r="C300" s="60"/>
      <c r="D300" s="60"/>
      <c r="E300" s="60"/>
      <c r="F300" s="60"/>
    </row>
    <row r="301">
      <c r="A301" s="60"/>
      <c r="B301" s="60"/>
      <c r="C301" s="60"/>
      <c r="D301" s="60"/>
      <c r="E301" s="60"/>
      <c r="F301" s="60"/>
    </row>
    <row r="302">
      <c r="A302" s="60"/>
      <c r="B302" s="60"/>
      <c r="C302" s="60"/>
      <c r="D302" s="60"/>
      <c r="E302" s="60"/>
      <c r="F302" s="60"/>
    </row>
    <row r="303">
      <c r="A303" s="60"/>
      <c r="B303" s="60"/>
      <c r="C303" s="60"/>
      <c r="D303" s="60"/>
      <c r="E303" s="60"/>
      <c r="F303" s="60"/>
    </row>
    <row r="304">
      <c r="A304" s="60"/>
      <c r="B304" s="60"/>
      <c r="C304" s="60"/>
      <c r="D304" s="60"/>
      <c r="E304" s="60"/>
      <c r="F304" s="60"/>
    </row>
    <row r="305">
      <c r="A305" s="60"/>
      <c r="B305" s="60"/>
      <c r="C305" s="60"/>
      <c r="D305" s="60"/>
      <c r="E305" s="60"/>
      <c r="F305" s="60"/>
    </row>
    <row r="306">
      <c r="A306" s="60"/>
      <c r="B306" s="60"/>
      <c r="C306" s="60"/>
      <c r="D306" s="60"/>
      <c r="E306" s="60"/>
      <c r="F306" s="60"/>
    </row>
    <row r="307">
      <c r="A307" s="60"/>
      <c r="B307" s="60"/>
      <c r="C307" s="60"/>
      <c r="D307" s="60"/>
      <c r="E307" s="60"/>
      <c r="F307" s="60"/>
    </row>
    <row r="308">
      <c r="A308" s="60"/>
      <c r="B308" s="60"/>
      <c r="C308" s="60"/>
      <c r="D308" s="60"/>
      <c r="E308" s="60"/>
      <c r="F308" s="60"/>
    </row>
    <row r="309">
      <c r="A309" s="60"/>
      <c r="B309" s="60"/>
      <c r="C309" s="60"/>
      <c r="D309" s="60"/>
      <c r="E309" s="60"/>
      <c r="F309" s="60"/>
    </row>
    <row r="310">
      <c r="A310" s="60"/>
      <c r="B310" s="60"/>
      <c r="C310" s="60"/>
      <c r="D310" s="60"/>
      <c r="E310" s="60"/>
      <c r="F310" s="60"/>
    </row>
    <row r="311">
      <c r="A311" s="60"/>
      <c r="B311" s="60"/>
      <c r="C311" s="60"/>
      <c r="D311" s="60"/>
      <c r="E311" s="60"/>
      <c r="F311" s="60"/>
    </row>
    <row r="312">
      <c r="A312" s="60"/>
      <c r="B312" s="60"/>
      <c r="C312" s="60"/>
      <c r="D312" s="60"/>
      <c r="E312" s="60"/>
      <c r="F312" s="60"/>
    </row>
    <row r="313">
      <c r="A313" s="60"/>
      <c r="B313" s="60"/>
      <c r="C313" s="60"/>
      <c r="D313" s="60"/>
      <c r="E313" s="60"/>
      <c r="F313" s="60"/>
    </row>
    <row r="314">
      <c r="A314" s="60"/>
      <c r="B314" s="60"/>
      <c r="C314" s="60"/>
      <c r="D314" s="60"/>
      <c r="E314" s="60"/>
      <c r="F314" s="60"/>
    </row>
    <row r="315">
      <c r="A315" s="60"/>
      <c r="B315" s="60"/>
      <c r="C315" s="60"/>
      <c r="D315" s="60"/>
      <c r="E315" s="60"/>
      <c r="F315" s="60"/>
    </row>
    <row r="316">
      <c r="A316" s="60"/>
      <c r="B316" s="60"/>
      <c r="C316" s="60"/>
      <c r="D316" s="60"/>
      <c r="E316" s="60"/>
      <c r="F316" s="60"/>
    </row>
    <row r="317">
      <c r="A317" s="60"/>
      <c r="B317" s="60"/>
      <c r="C317" s="60"/>
      <c r="D317" s="60"/>
      <c r="E317" s="60"/>
      <c r="F317" s="60"/>
    </row>
    <row r="318">
      <c r="A318" s="60"/>
      <c r="B318" s="60"/>
      <c r="C318" s="60"/>
      <c r="D318" s="60"/>
      <c r="E318" s="60"/>
      <c r="F318" s="60"/>
    </row>
    <row r="319">
      <c r="A319" s="60"/>
      <c r="B319" s="60"/>
      <c r="C319" s="60"/>
      <c r="D319" s="60"/>
      <c r="E319" s="60"/>
      <c r="F319" s="60"/>
    </row>
    <row r="320">
      <c r="A320" s="60"/>
      <c r="B320" s="60"/>
      <c r="C320" s="60"/>
      <c r="D320" s="60"/>
      <c r="E320" s="60"/>
      <c r="F320" s="60"/>
    </row>
    <row r="321">
      <c r="A321" s="60"/>
      <c r="B321" s="60"/>
      <c r="C321" s="60"/>
      <c r="D321" s="60"/>
      <c r="E321" s="60"/>
      <c r="F321" s="60"/>
    </row>
    <row r="322">
      <c r="A322" s="60"/>
      <c r="B322" s="60"/>
      <c r="C322" s="60"/>
      <c r="D322" s="60"/>
      <c r="E322" s="60"/>
      <c r="F322" s="60"/>
    </row>
    <row r="323">
      <c r="A323" s="60"/>
      <c r="B323" s="60"/>
      <c r="C323" s="60"/>
      <c r="D323" s="60"/>
      <c r="E323" s="60"/>
      <c r="F323" s="60"/>
    </row>
    <row r="324">
      <c r="A324" s="60"/>
      <c r="B324" s="60"/>
      <c r="C324" s="60"/>
      <c r="D324" s="60"/>
      <c r="E324" s="60"/>
      <c r="F324" s="60"/>
    </row>
    <row r="325">
      <c r="A325" s="60"/>
      <c r="B325" s="60"/>
      <c r="C325" s="60"/>
      <c r="D325" s="60"/>
      <c r="E325" s="60"/>
      <c r="F325" s="60"/>
    </row>
    <row r="326">
      <c r="A326" s="60"/>
      <c r="B326" s="60"/>
      <c r="C326" s="60"/>
      <c r="D326" s="60"/>
      <c r="E326" s="60"/>
      <c r="F326" s="60"/>
    </row>
    <row r="327">
      <c r="A327" s="60"/>
      <c r="B327" s="60"/>
      <c r="C327" s="60"/>
      <c r="D327" s="60"/>
      <c r="E327" s="60"/>
      <c r="F327" s="60"/>
    </row>
    <row r="328">
      <c r="A328" s="60"/>
      <c r="B328" s="60"/>
      <c r="C328" s="60"/>
      <c r="D328" s="60"/>
      <c r="E328" s="60"/>
      <c r="F328" s="60"/>
    </row>
    <row r="329">
      <c r="A329" s="60"/>
      <c r="B329" s="60"/>
      <c r="C329" s="60"/>
      <c r="D329" s="60"/>
      <c r="E329" s="60"/>
      <c r="F329" s="60"/>
    </row>
    <row r="330">
      <c r="A330" s="60"/>
      <c r="B330" s="60"/>
      <c r="C330" s="60"/>
      <c r="D330" s="60"/>
      <c r="E330" s="60"/>
      <c r="F330" s="60"/>
    </row>
    <row r="331">
      <c r="A331" s="60"/>
      <c r="B331" s="60"/>
      <c r="C331" s="60"/>
      <c r="D331" s="60"/>
      <c r="E331" s="60"/>
      <c r="F331" s="60"/>
    </row>
    <row r="332">
      <c r="A332" s="60"/>
      <c r="B332" s="60"/>
      <c r="C332" s="60"/>
      <c r="D332" s="60"/>
      <c r="E332" s="60"/>
      <c r="F332" s="60"/>
    </row>
    <row r="333">
      <c r="A333" s="60"/>
      <c r="B333" s="60"/>
      <c r="C333" s="60"/>
      <c r="D333" s="60"/>
      <c r="E333" s="60"/>
      <c r="F333" s="60"/>
    </row>
    <row r="334">
      <c r="A334" s="60"/>
      <c r="B334" s="60"/>
      <c r="C334" s="60"/>
      <c r="D334" s="60"/>
      <c r="E334" s="60"/>
      <c r="F334" s="60"/>
    </row>
    <row r="335">
      <c r="A335" s="60"/>
      <c r="B335" s="60"/>
      <c r="C335" s="60"/>
      <c r="D335" s="60"/>
      <c r="E335" s="60"/>
      <c r="F335" s="60"/>
    </row>
    <row r="336">
      <c r="A336" s="60"/>
      <c r="B336" s="60"/>
      <c r="C336" s="60"/>
      <c r="D336" s="60"/>
      <c r="E336" s="60"/>
      <c r="F336" s="60"/>
    </row>
    <row r="337">
      <c r="A337" s="60"/>
      <c r="B337" s="60"/>
      <c r="C337" s="60"/>
      <c r="D337" s="60"/>
      <c r="E337" s="60"/>
      <c r="F337" s="60"/>
    </row>
    <row r="338">
      <c r="A338" s="60"/>
      <c r="B338" s="60"/>
      <c r="C338" s="60"/>
      <c r="D338" s="60"/>
      <c r="E338" s="60"/>
      <c r="F338" s="60"/>
    </row>
    <row r="339">
      <c r="A339" s="60"/>
      <c r="B339" s="60"/>
      <c r="C339" s="60"/>
      <c r="D339" s="60"/>
      <c r="E339" s="60"/>
      <c r="F339" s="60"/>
    </row>
    <row r="340">
      <c r="A340" s="60"/>
      <c r="B340" s="60"/>
      <c r="C340" s="60"/>
      <c r="D340" s="60"/>
      <c r="E340" s="60"/>
      <c r="F340" s="60"/>
    </row>
    <row r="341">
      <c r="A341" s="60"/>
      <c r="B341" s="60"/>
      <c r="C341" s="60"/>
      <c r="D341" s="60"/>
      <c r="E341" s="60"/>
      <c r="F341" s="60"/>
    </row>
    <row r="342">
      <c r="A342" s="60"/>
      <c r="B342" s="60"/>
      <c r="C342" s="60"/>
      <c r="D342" s="60"/>
      <c r="E342" s="60"/>
      <c r="F342" s="60"/>
    </row>
    <row r="343">
      <c r="A343" s="60"/>
      <c r="B343" s="60"/>
      <c r="C343" s="60"/>
      <c r="D343" s="60"/>
      <c r="E343" s="60"/>
      <c r="F343" s="60"/>
    </row>
    <row r="344">
      <c r="A344" s="60"/>
      <c r="B344" s="60"/>
      <c r="C344" s="60"/>
      <c r="D344" s="60"/>
      <c r="E344" s="60"/>
      <c r="F344" s="60"/>
    </row>
    <row r="345">
      <c r="A345" s="60"/>
      <c r="B345" s="60"/>
      <c r="C345" s="60"/>
      <c r="D345" s="60"/>
      <c r="E345" s="60"/>
      <c r="F345" s="60"/>
    </row>
    <row r="346">
      <c r="A346" s="60"/>
      <c r="B346" s="60"/>
      <c r="C346" s="60"/>
      <c r="D346" s="60"/>
      <c r="E346" s="60"/>
      <c r="F346" s="60"/>
    </row>
    <row r="347">
      <c r="A347" s="60"/>
      <c r="B347" s="60"/>
      <c r="C347" s="60"/>
      <c r="D347" s="60"/>
      <c r="E347" s="60"/>
      <c r="F347" s="60"/>
    </row>
    <row r="348">
      <c r="A348" s="60"/>
      <c r="B348" s="60"/>
      <c r="C348" s="60"/>
      <c r="D348" s="60"/>
      <c r="E348" s="60"/>
      <c r="F348" s="60"/>
    </row>
    <row r="349">
      <c r="A349" s="60"/>
      <c r="B349" s="60"/>
      <c r="C349" s="60"/>
      <c r="D349" s="60"/>
      <c r="E349" s="60"/>
      <c r="F349" s="60"/>
    </row>
    <row r="350">
      <c r="A350" s="60"/>
      <c r="B350" s="60"/>
      <c r="C350" s="60"/>
      <c r="D350" s="60"/>
      <c r="E350" s="60"/>
      <c r="F350" s="60"/>
    </row>
    <row r="351">
      <c r="A351" s="60"/>
      <c r="B351" s="60"/>
      <c r="C351" s="60"/>
      <c r="D351" s="60"/>
      <c r="E351" s="60"/>
      <c r="F351" s="60"/>
    </row>
    <row r="352">
      <c r="A352" s="60"/>
      <c r="B352" s="60"/>
      <c r="C352" s="60"/>
      <c r="D352" s="60"/>
      <c r="E352" s="60"/>
      <c r="F352" s="60"/>
    </row>
    <row r="353">
      <c r="A353" s="60"/>
      <c r="B353" s="60"/>
      <c r="C353" s="60"/>
      <c r="D353" s="60"/>
      <c r="E353" s="60"/>
      <c r="F353" s="60"/>
    </row>
    <row r="354">
      <c r="A354" s="60"/>
      <c r="B354" s="60"/>
      <c r="C354" s="60"/>
      <c r="D354" s="60"/>
      <c r="E354" s="60"/>
      <c r="F354" s="60"/>
    </row>
    <row r="355">
      <c r="A355" s="60"/>
      <c r="B355" s="60"/>
      <c r="C355" s="60"/>
      <c r="D355" s="60"/>
      <c r="E355" s="60"/>
      <c r="F355" s="60"/>
    </row>
    <row r="356">
      <c r="A356" s="60"/>
      <c r="B356" s="60"/>
      <c r="C356" s="60"/>
      <c r="D356" s="60"/>
      <c r="E356" s="60"/>
      <c r="F356" s="60"/>
    </row>
    <row r="357">
      <c r="A357" s="60"/>
      <c r="B357" s="60"/>
      <c r="C357" s="60"/>
      <c r="D357" s="60"/>
      <c r="E357" s="60"/>
      <c r="F357" s="60"/>
    </row>
    <row r="358">
      <c r="A358" s="60"/>
      <c r="B358" s="60"/>
      <c r="C358" s="60"/>
      <c r="D358" s="60"/>
      <c r="E358" s="60"/>
      <c r="F358" s="60"/>
    </row>
    <row r="359">
      <c r="A359" s="60"/>
      <c r="B359" s="60"/>
      <c r="C359" s="60"/>
      <c r="D359" s="60"/>
      <c r="E359" s="60"/>
      <c r="F359" s="60"/>
    </row>
    <row r="360">
      <c r="A360" s="60"/>
      <c r="B360" s="60"/>
      <c r="C360" s="60"/>
      <c r="D360" s="60"/>
      <c r="E360" s="60"/>
      <c r="F360" s="60"/>
    </row>
    <row r="361">
      <c r="A361" s="60"/>
      <c r="B361" s="60"/>
      <c r="C361" s="60"/>
      <c r="D361" s="60"/>
      <c r="E361" s="60"/>
      <c r="F361" s="60"/>
    </row>
    <row r="362">
      <c r="A362" s="60"/>
      <c r="B362" s="60"/>
      <c r="C362" s="60"/>
      <c r="D362" s="60"/>
      <c r="E362" s="60"/>
      <c r="F362" s="60"/>
    </row>
    <row r="363">
      <c r="A363" s="60"/>
      <c r="B363" s="60"/>
      <c r="C363" s="60"/>
      <c r="D363" s="60"/>
      <c r="E363" s="60"/>
      <c r="F363" s="60"/>
    </row>
    <row r="364">
      <c r="A364" s="60"/>
      <c r="B364" s="60"/>
      <c r="C364" s="60"/>
      <c r="D364" s="60"/>
      <c r="E364" s="60"/>
      <c r="F364" s="60"/>
    </row>
    <row r="365">
      <c r="A365" s="60"/>
      <c r="B365" s="60"/>
      <c r="C365" s="60"/>
      <c r="D365" s="60"/>
      <c r="E365" s="60"/>
      <c r="F365" s="60"/>
    </row>
    <row r="366">
      <c r="A366" s="60"/>
      <c r="B366" s="60"/>
      <c r="C366" s="60"/>
      <c r="D366" s="60"/>
      <c r="E366" s="60"/>
      <c r="F366" s="60"/>
    </row>
    <row r="367">
      <c r="A367" s="60"/>
      <c r="B367" s="60"/>
      <c r="C367" s="60"/>
      <c r="D367" s="60"/>
      <c r="E367" s="60"/>
      <c r="F367" s="60"/>
    </row>
    <row r="368">
      <c r="A368" s="60"/>
      <c r="B368" s="60"/>
      <c r="C368" s="60"/>
      <c r="D368" s="60"/>
      <c r="E368" s="60"/>
      <c r="F368" s="60"/>
    </row>
    <row r="369">
      <c r="A369" s="60"/>
      <c r="B369" s="60"/>
      <c r="C369" s="60"/>
      <c r="D369" s="60"/>
      <c r="E369" s="60"/>
      <c r="F369" s="60"/>
    </row>
    <row r="370">
      <c r="A370" s="60"/>
      <c r="B370" s="60"/>
      <c r="C370" s="60"/>
      <c r="D370" s="60"/>
      <c r="E370" s="60"/>
      <c r="F370" s="60"/>
    </row>
    <row r="371">
      <c r="A371" s="60"/>
      <c r="B371" s="60"/>
      <c r="C371" s="60"/>
      <c r="D371" s="60"/>
      <c r="E371" s="60"/>
      <c r="F371" s="60"/>
    </row>
    <row r="372">
      <c r="A372" s="60"/>
      <c r="B372" s="60"/>
      <c r="C372" s="60"/>
      <c r="D372" s="60"/>
      <c r="E372" s="60"/>
      <c r="F372" s="60"/>
    </row>
    <row r="373">
      <c r="A373" s="60"/>
      <c r="B373" s="60"/>
      <c r="C373" s="60"/>
      <c r="D373" s="60"/>
      <c r="E373" s="60"/>
      <c r="F373" s="60"/>
    </row>
    <row r="374">
      <c r="A374" s="60"/>
      <c r="B374" s="60"/>
      <c r="C374" s="60"/>
      <c r="D374" s="60"/>
      <c r="E374" s="60"/>
      <c r="F374" s="60"/>
    </row>
    <row r="375">
      <c r="A375" s="60"/>
      <c r="B375" s="60"/>
      <c r="C375" s="60"/>
      <c r="D375" s="60"/>
      <c r="E375" s="60"/>
      <c r="F375" s="60"/>
    </row>
    <row r="376">
      <c r="A376" s="60"/>
      <c r="B376" s="60"/>
      <c r="C376" s="60"/>
      <c r="D376" s="60"/>
      <c r="E376" s="60"/>
      <c r="F376" s="60"/>
    </row>
    <row r="377">
      <c r="A377" s="60"/>
      <c r="B377" s="60"/>
      <c r="C377" s="60"/>
      <c r="D377" s="60"/>
      <c r="E377" s="60"/>
      <c r="F377" s="60"/>
    </row>
    <row r="378">
      <c r="A378" s="60"/>
      <c r="B378" s="60"/>
      <c r="C378" s="60"/>
      <c r="D378" s="60"/>
      <c r="E378" s="60"/>
      <c r="F378" s="60"/>
    </row>
    <row r="379">
      <c r="A379" s="60"/>
      <c r="B379" s="60"/>
      <c r="C379" s="60"/>
      <c r="D379" s="60"/>
      <c r="E379" s="60"/>
      <c r="F379" s="60"/>
    </row>
    <row r="380">
      <c r="A380" s="60"/>
      <c r="B380" s="60"/>
      <c r="C380" s="60"/>
      <c r="D380" s="60"/>
      <c r="E380" s="60"/>
      <c r="F380" s="60"/>
    </row>
    <row r="381">
      <c r="A381" s="60"/>
      <c r="B381" s="60"/>
      <c r="C381" s="60"/>
      <c r="D381" s="60"/>
      <c r="E381" s="60"/>
      <c r="F381" s="60"/>
    </row>
    <row r="382">
      <c r="A382" s="60"/>
      <c r="B382" s="60"/>
      <c r="C382" s="60"/>
      <c r="D382" s="60"/>
      <c r="E382" s="60"/>
      <c r="F382" s="60"/>
    </row>
    <row r="383">
      <c r="A383" s="60"/>
      <c r="B383" s="60"/>
      <c r="C383" s="60"/>
      <c r="D383" s="60"/>
      <c r="E383" s="60"/>
      <c r="F383" s="60"/>
    </row>
    <row r="384">
      <c r="A384" s="60"/>
      <c r="B384" s="60"/>
      <c r="C384" s="60"/>
      <c r="D384" s="60"/>
      <c r="E384" s="60"/>
      <c r="F384" s="60"/>
    </row>
    <row r="385">
      <c r="A385" s="60"/>
      <c r="B385" s="60"/>
      <c r="C385" s="60"/>
      <c r="D385" s="60"/>
      <c r="E385" s="60"/>
      <c r="F385" s="60"/>
    </row>
    <row r="386">
      <c r="A386" s="60"/>
      <c r="B386" s="60"/>
      <c r="C386" s="60"/>
      <c r="D386" s="60"/>
      <c r="E386" s="60"/>
      <c r="F386" s="60"/>
    </row>
    <row r="387">
      <c r="A387" s="60"/>
      <c r="B387" s="60"/>
      <c r="C387" s="60"/>
      <c r="D387" s="60"/>
      <c r="E387" s="60"/>
      <c r="F387" s="60"/>
    </row>
    <row r="388">
      <c r="A388" s="60"/>
      <c r="B388" s="60"/>
      <c r="C388" s="60"/>
      <c r="D388" s="60"/>
      <c r="E388" s="60"/>
      <c r="F388" s="60"/>
    </row>
    <row r="389">
      <c r="A389" s="60"/>
      <c r="B389" s="60"/>
      <c r="C389" s="60"/>
      <c r="D389" s="60"/>
      <c r="E389" s="60"/>
      <c r="F389" s="60"/>
    </row>
    <row r="390">
      <c r="A390" s="60"/>
      <c r="B390" s="60"/>
      <c r="C390" s="60"/>
      <c r="D390" s="60"/>
      <c r="E390" s="60"/>
      <c r="F390" s="60"/>
    </row>
    <row r="391">
      <c r="A391" s="60"/>
      <c r="B391" s="60"/>
      <c r="C391" s="60"/>
      <c r="D391" s="60"/>
      <c r="E391" s="60"/>
      <c r="F391" s="60"/>
    </row>
    <row r="392">
      <c r="A392" s="60"/>
      <c r="B392" s="60"/>
      <c r="C392" s="60"/>
      <c r="D392" s="60"/>
      <c r="E392" s="60"/>
      <c r="F392" s="60"/>
    </row>
    <row r="393">
      <c r="A393" s="60"/>
      <c r="B393" s="60"/>
      <c r="C393" s="60"/>
      <c r="D393" s="60"/>
      <c r="E393" s="60"/>
      <c r="F393" s="60"/>
    </row>
    <row r="394">
      <c r="A394" s="60"/>
      <c r="B394" s="60"/>
      <c r="C394" s="60"/>
      <c r="D394" s="60"/>
      <c r="E394" s="60"/>
      <c r="F394" s="60"/>
    </row>
    <row r="395">
      <c r="A395" s="60"/>
      <c r="B395" s="60"/>
      <c r="C395" s="60"/>
      <c r="D395" s="60"/>
      <c r="E395" s="60"/>
      <c r="F395" s="60"/>
    </row>
    <row r="396">
      <c r="A396" s="60"/>
      <c r="B396" s="60"/>
      <c r="C396" s="60"/>
      <c r="D396" s="60"/>
      <c r="E396" s="60"/>
      <c r="F396" s="60"/>
    </row>
    <row r="397">
      <c r="A397" s="60"/>
      <c r="B397" s="60"/>
      <c r="C397" s="60"/>
      <c r="D397" s="60"/>
      <c r="E397" s="60"/>
      <c r="F397" s="60"/>
    </row>
    <row r="398">
      <c r="A398" s="60"/>
      <c r="B398" s="60"/>
      <c r="C398" s="60"/>
      <c r="D398" s="60"/>
      <c r="E398" s="60"/>
      <c r="F398" s="60"/>
    </row>
    <row r="399">
      <c r="A399" s="60"/>
      <c r="B399" s="60"/>
      <c r="C399" s="60"/>
      <c r="D399" s="60"/>
      <c r="E399" s="60"/>
      <c r="F399" s="60"/>
    </row>
    <row r="400">
      <c r="A400" s="60"/>
      <c r="B400" s="60"/>
      <c r="C400" s="60"/>
      <c r="D400" s="60"/>
      <c r="E400" s="60"/>
      <c r="F400" s="60"/>
    </row>
    <row r="401">
      <c r="A401" s="60"/>
      <c r="B401" s="60"/>
      <c r="C401" s="60"/>
      <c r="D401" s="60"/>
      <c r="E401" s="60"/>
      <c r="F401" s="60"/>
    </row>
    <row r="402">
      <c r="A402" s="60"/>
      <c r="B402" s="60"/>
      <c r="C402" s="60"/>
      <c r="D402" s="60"/>
      <c r="E402" s="60"/>
      <c r="F402" s="60"/>
    </row>
    <row r="403">
      <c r="A403" s="60"/>
      <c r="B403" s="60"/>
      <c r="C403" s="60"/>
      <c r="D403" s="60"/>
      <c r="E403" s="60"/>
      <c r="F403" s="60"/>
    </row>
    <row r="404">
      <c r="A404" s="60"/>
      <c r="B404" s="60"/>
      <c r="C404" s="60"/>
      <c r="D404" s="60"/>
      <c r="E404" s="60"/>
      <c r="F404" s="60"/>
    </row>
    <row r="405">
      <c r="A405" s="60"/>
      <c r="B405" s="60"/>
      <c r="C405" s="60"/>
      <c r="D405" s="60"/>
      <c r="E405" s="60"/>
      <c r="F405" s="60"/>
    </row>
    <row r="406">
      <c r="A406" s="60"/>
      <c r="B406" s="60"/>
      <c r="C406" s="60"/>
      <c r="D406" s="60"/>
      <c r="E406" s="60"/>
      <c r="F406" s="60"/>
    </row>
    <row r="407">
      <c r="A407" s="60"/>
      <c r="B407" s="60"/>
      <c r="C407" s="60"/>
      <c r="D407" s="60"/>
      <c r="E407" s="60"/>
      <c r="F407" s="60"/>
    </row>
    <row r="408">
      <c r="A408" s="60"/>
      <c r="B408" s="60"/>
      <c r="C408" s="60"/>
      <c r="D408" s="60"/>
      <c r="E408" s="60"/>
      <c r="F408" s="60"/>
    </row>
    <row r="409">
      <c r="A409" s="60"/>
      <c r="B409" s="60"/>
      <c r="C409" s="60"/>
      <c r="D409" s="60"/>
      <c r="E409" s="60"/>
      <c r="F409" s="60"/>
    </row>
    <row r="410">
      <c r="A410" s="60"/>
      <c r="B410" s="60"/>
      <c r="C410" s="60"/>
      <c r="D410" s="60"/>
      <c r="E410" s="60"/>
      <c r="F410" s="60"/>
    </row>
    <row r="411">
      <c r="A411" s="60"/>
      <c r="B411" s="60"/>
      <c r="C411" s="60"/>
      <c r="D411" s="60"/>
      <c r="E411" s="60"/>
      <c r="F411" s="60"/>
    </row>
    <row r="412">
      <c r="A412" s="60"/>
      <c r="B412" s="60"/>
      <c r="C412" s="60"/>
      <c r="D412" s="60"/>
      <c r="E412" s="60"/>
      <c r="F412" s="60"/>
    </row>
    <row r="413">
      <c r="A413" s="60"/>
      <c r="B413" s="60"/>
      <c r="C413" s="60"/>
      <c r="D413" s="60"/>
      <c r="E413" s="60"/>
      <c r="F413" s="60"/>
    </row>
    <row r="414">
      <c r="A414" s="60"/>
      <c r="B414" s="60"/>
      <c r="C414" s="60"/>
      <c r="D414" s="60"/>
      <c r="E414" s="60"/>
      <c r="F414" s="60"/>
    </row>
    <row r="415">
      <c r="A415" s="60"/>
      <c r="B415" s="60"/>
      <c r="C415" s="60"/>
      <c r="D415" s="60"/>
      <c r="E415" s="60"/>
      <c r="F415" s="60"/>
    </row>
    <row r="416">
      <c r="A416" s="60"/>
      <c r="B416" s="60"/>
      <c r="C416" s="60"/>
      <c r="D416" s="60"/>
      <c r="E416" s="60"/>
      <c r="F416" s="60"/>
    </row>
    <row r="417">
      <c r="A417" s="60"/>
      <c r="B417" s="60"/>
      <c r="C417" s="60"/>
      <c r="D417" s="60"/>
      <c r="E417" s="60"/>
      <c r="F417" s="60"/>
    </row>
    <row r="418">
      <c r="A418" s="60"/>
      <c r="B418" s="60"/>
      <c r="C418" s="60"/>
      <c r="D418" s="60"/>
      <c r="E418" s="60"/>
      <c r="F418" s="60"/>
    </row>
    <row r="419">
      <c r="A419" s="60"/>
      <c r="B419" s="60"/>
      <c r="C419" s="60"/>
      <c r="D419" s="60"/>
      <c r="E419" s="60"/>
      <c r="F419" s="60"/>
    </row>
    <row r="420">
      <c r="A420" s="60"/>
      <c r="B420" s="60"/>
      <c r="C420" s="60"/>
      <c r="D420" s="60"/>
      <c r="E420" s="60"/>
      <c r="F420" s="60"/>
    </row>
    <row r="421">
      <c r="A421" s="60"/>
      <c r="B421" s="60"/>
      <c r="C421" s="60"/>
      <c r="D421" s="60"/>
      <c r="E421" s="60"/>
      <c r="F421" s="60"/>
    </row>
    <row r="422">
      <c r="A422" s="60"/>
      <c r="B422" s="60"/>
      <c r="C422" s="60"/>
      <c r="D422" s="60"/>
      <c r="E422" s="60"/>
      <c r="F422" s="60"/>
    </row>
    <row r="423">
      <c r="A423" s="60"/>
      <c r="B423" s="60"/>
      <c r="C423" s="60"/>
      <c r="D423" s="60"/>
      <c r="E423" s="60"/>
      <c r="F423" s="60"/>
    </row>
    <row r="424">
      <c r="A424" s="60"/>
      <c r="B424" s="60"/>
      <c r="C424" s="60"/>
      <c r="D424" s="60"/>
      <c r="E424" s="60"/>
      <c r="F424" s="60"/>
    </row>
    <row r="425">
      <c r="A425" s="60"/>
      <c r="B425" s="60"/>
      <c r="C425" s="60"/>
      <c r="D425" s="60"/>
      <c r="E425" s="60"/>
      <c r="F425" s="60"/>
    </row>
    <row r="426">
      <c r="A426" s="60"/>
      <c r="B426" s="60"/>
      <c r="C426" s="60"/>
      <c r="D426" s="60"/>
      <c r="E426" s="60"/>
      <c r="F426" s="60"/>
    </row>
    <row r="427">
      <c r="A427" s="60"/>
      <c r="B427" s="60"/>
      <c r="C427" s="60"/>
      <c r="D427" s="60"/>
      <c r="E427" s="60"/>
      <c r="F427" s="60"/>
    </row>
    <row r="428">
      <c r="A428" s="60"/>
      <c r="B428" s="60"/>
      <c r="C428" s="60"/>
      <c r="D428" s="60"/>
      <c r="E428" s="60"/>
      <c r="F428" s="60"/>
    </row>
    <row r="429">
      <c r="A429" s="60"/>
      <c r="B429" s="60"/>
      <c r="C429" s="60"/>
      <c r="D429" s="60"/>
      <c r="E429" s="60"/>
      <c r="F429" s="60"/>
    </row>
    <row r="430">
      <c r="A430" s="60"/>
      <c r="B430" s="60"/>
      <c r="C430" s="60"/>
      <c r="D430" s="60"/>
      <c r="E430" s="60"/>
      <c r="F430" s="60"/>
    </row>
    <row r="431">
      <c r="A431" s="60"/>
      <c r="B431" s="60"/>
      <c r="C431" s="60"/>
      <c r="D431" s="60"/>
      <c r="E431" s="60"/>
      <c r="F431" s="60"/>
    </row>
    <row r="432">
      <c r="A432" s="60"/>
      <c r="B432" s="60"/>
      <c r="C432" s="60"/>
      <c r="D432" s="60"/>
      <c r="E432" s="60"/>
      <c r="F432" s="60"/>
    </row>
    <row r="433">
      <c r="A433" s="60"/>
      <c r="B433" s="60"/>
      <c r="C433" s="60"/>
      <c r="D433" s="60"/>
      <c r="E433" s="60"/>
      <c r="F433" s="60"/>
    </row>
    <row r="434">
      <c r="A434" s="60"/>
      <c r="B434" s="60"/>
      <c r="C434" s="60"/>
      <c r="D434" s="60"/>
      <c r="E434" s="60"/>
      <c r="F434" s="60"/>
    </row>
    <row r="435">
      <c r="A435" s="60"/>
      <c r="B435" s="60"/>
      <c r="C435" s="60"/>
      <c r="D435" s="60"/>
      <c r="E435" s="60"/>
      <c r="F435" s="60"/>
    </row>
    <row r="436">
      <c r="A436" s="60"/>
      <c r="B436" s="60"/>
      <c r="C436" s="60"/>
      <c r="D436" s="60"/>
      <c r="E436" s="60"/>
      <c r="F436" s="60"/>
    </row>
    <row r="437">
      <c r="A437" s="60"/>
      <c r="B437" s="60"/>
      <c r="C437" s="60"/>
      <c r="D437" s="60"/>
      <c r="E437" s="60"/>
      <c r="F437" s="60"/>
    </row>
    <row r="438">
      <c r="A438" s="60"/>
      <c r="B438" s="60"/>
      <c r="C438" s="60"/>
      <c r="D438" s="60"/>
      <c r="E438" s="60"/>
      <c r="F438" s="60"/>
    </row>
    <row r="439">
      <c r="A439" s="60"/>
      <c r="B439" s="60"/>
      <c r="C439" s="60"/>
      <c r="D439" s="60"/>
      <c r="E439" s="60"/>
      <c r="F439" s="60"/>
    </row>
    <row r="440">
      <c r="A440" s="60"/>
      <c r="B440" s="60"/>
      <c r="C440" s="60"/>
      <c r="D440" s="60"/>
      <c r="E440" s="60"/>
      <c r="F440" s="60"/>
    </row>
    <row r="441">
      <c r="A441" s="60"/>
      <c r="B441" s="60"/>
      <c r="C441" s="60"/>
      <c r="D441" s="60"/>
      <c r="E441" s="60"/>
      <c r="F441" s="60"/>
    </row>
    <row r="442">
      <c r="A442" s="60"/>
      <c r="B442" s="60"/>
      <c r="C442" s="60"/>
      <c r="D442" s="60"/>
      <c r="E442" s="60"/>
      <c r="F442" s="60"/>
    </row>
    <row r="443">
      <c r="A443" s="60"/>
      <c r="B443" s="60"/>
      <c r="C443" s="60"/>
      <c r="D443" s="60"/>
      <c r="E443" s="60"/>
      <c r="F443" s="60"/>
    </row>
    <row r="444">
      <c r="A444" s="60"/>
      <c r="B444" s="60"/>
      <c r="C444" s="60"/>
      <c r="D444" s="60"/>
      <c r="E444" s="60"/>
      <c r="F444" s="60"/>
    </row>
    <row r="445">
      <c r="A445" s="60"/>
      <c r="B445" s="60"/>
      <c r="C445" s="60"/>
      <c r="D445" s="60"/>
      <c r="E445" s="60"/>
      <c r="F445" s="60"/>
    </row>
    <row r="446">
      <c r="A446" s="60"/>
      <c r="B446" s="60"/>
      <c r="C446" s="60"/>
      <c r="D446" s="60"/>
      <c r="E446" s="60"/>
      <c r="F446" s="60"/>
    </row>
    <row r="447">
      <c r="A447" s="60"/>
      <c r="B447" s="60"/>
      <c r="C447" s="60"/>
      <c r="D447" s="60"/>
      <c r="E447" s="60"/>
      <c r="F447" s="60"/>
    </row>
    <row r="448">
      <c r="A448" s="60"/>
      <c r="B448" s="60"/>
      <c r="C448" s="60"/>
      <c r="D448" s="60"/>
      <c r="E448" s="60"/>
      <c r="F448" s="60"/>
    </row>
    <row r="449">
      <c r="A449" s="60"/>
      <c r="B449" s="60"/>
      <c r="C449" s="60"/>
      <c r="D449" s="60"/>
      <c r="E449" s="60"/>
      <c r="F449" s="60"/>
    </row>
    <row r="450">
      <c r="A450" s="60"/>
      <c r="B450" s="60"/>
      <c r="C450" s="60"/>
      <c r="D450" s="60"/>
      <c r="E450" s="60"/>
      <c r="F450" s="60"/>
    </row>
    <row r="451">
      <c r="A451" s="60"/>
      <c r="B451" s="60"/>
      <c r="C451" s="60"/>
      <c r="D451" s="60"/>
      <c r="E451" s="60"/>
      <c r="F451" s="60"/>
    </row>
    <row r="452">
      <c r="A452" s="60"/>
      <c r="B452" s="60"/>
      <c r="C452" s="60"/>
      <c r="D452" s="60"/>
      <c r="E452" s="60"/>
      <c r="F452" s="60"/>
    </row>
    <row r="453">
      <c r="A453" s="60"/>
      <c r="B453" s="60"/>
      <c r="C453" s="60"/>
      <c r="D453" s="60"/>
      <c r="E453" s="60"/>
      <c r="F453" s="60"/>
    </row>
    <row r="454">
      <c r="A454" s="60"/>
      <c r="B454" s="60"/>
      <c r="C454" s="60"/>
      <c r="D454" s="60"/>
      <c r="E454" s="60"/>
      <c r="F454" s="60"/>
    </row>
    <row r="455">
      <c r="A455" s="60"/>
      <c r="B455" s="60"/>
      <c r="C455" s="60"/>
      <c r="D455" s="60"/>
      <c r="E455" s="60"/>
      <c r="F455" s="60"/>
    </row>
    <row r="456">
      <c r="A456" s="60"/>
      <c r="B456" s="60"/>
      <c r="C456" s="60"/>
      <c r="D456" s="60"/>
      <c r="E456" s="60"/>
      <c r="F456" s="60"/>
    </row>
    <row r="457">
      <c r="A457" s="60"/>
      <c r="B457" s="60"/>
      <c r="C457" s="60"/>
      <c r="D457" s="60"/>
      <c r="E457" s="60"/>
      <c r="F457" s="60"/>
    </row>
    <row r="458">
      <c r="A458" s="60"/>
      <c r="B458" s="60"/>
      <c r="C458" s="60"/>
      <c r="D458" s="60"/>
      <c r="E458" s="60"/>
      <c r="F458" s="60"/>
    </row>
    <row r="459">
      <c r="A459" s="60"/>
      <c r="B459" s="60"/>
      <c r="C459" s="60"/>
      <c r="D459" s="60"/>
      <c r="E459" s="60"/>
      <c r="F459" s="60"/>
    </row>
    <row r="460">
      <c r="A460" s="60"/>
      <c r="B460" s="60"/>
      <c r="C460" s="60"/>
      <c r="D460" s="60"/>
      <c r="E460" s="60"/>
      <c r="F460" s="60"/>
    </row>
    <row r="461">
      <c r="A461" s="60"/>
      <c r="B461" s="60"/>
      <c r="C461" s="60"/>
      <c r="D461" s="60"/>
      <c r="E461" s="60"/>
      <c r="F461" s="60"/>
    </row>
    <row r="462">
      <c r="A462" s="60"/>
      <c r="B462" s="60"/>
      <c r="C462" s="60"/>
      <c r="D462" s="60"/>
      <c r="E462" s="60"/>
      <c r="F462" s="60"/>
    </row>
    <row r="463">
      <c r="A463" s="60"/>
      <c r="B463" s="60"/>
      <c r="C463" s="60"/>
      <c r="D463" s="60"/>
      <c r="E463" s="60"/>
      <c r="F463" s="60"/>
    </row>
    <row r="464">
      <c r="A464" s="60"/>
      <c r="B464" s="60"/>
      <c r="C464" s="60"/>
      <c r="D464" s="60"/>
      <c r="E464" s="60"/>
      <c r="F464" s="60"/>
    </row>
    <row r="465">
      <c r="A465" s="60"/>
      <c r="B465" s="60"/>
      <c r="C465" s="60"/>
      <c r="D465" s="60"/>
      <c r="E465" s="60"/>
      <c r="F465" s="60"/>
    </row>
    <row r="466">
      <c r="A466" s="60"/>
      <c r="B466" s="60"/>
      <c r="C466" s="60"/>
      <c r="D466" s="60"/>
      <c r="E466" s="60"/>
      <c r="F466" s="60"/>
    </row>
    <row r="467">
      <c r="A467" s="60"/>
      <c r="B467" s="60"/>
      <c r="C467" s="60"/>
      <c r="D467" s="60"/>
      <c r="E467" s="60"/>
      <c r="F467" s="60"/>
    </row>
    <row r="468">
      <c r="A468" s="60"/>
      <c r="B468" s="60"/>
      <c r="C468" s="60"/>
      <c r="D468" s="60"/>
      <c r="E468" s="60"/>
      <c r="F468" s="60"/>
    </row>
    <row r="469">
      <c r="A469" s="60"/>
      <c r="B469" s="60"/>
      <c r="C469" s="60"/>
      <c r="D469" s="60"/>
      <c r="E469" s="60"/>
      <c r="F469" s="60"/>
    </row>
    <row r="470">
      <c r="A470" s="60"/>
      <c r="B470" s="60"/>
      <c r="C470" s="60"/>
      <c r="D470" s="60"/>
      <c r="E470" s="60"/>
      <c r="F470" s="60"/>
    </row>
    <row r="471">
      <c r="A471" s="60"/>
      <c r="B471" s="60"/>
      <c r="C471" s="60"/>
      <c r="D471" s="60"/>
      <c r="E471" s="60"/>
      <c r="F471" s="60"/>
    </row>
    <row r="472">
      <c r="A472" s="60"/>
      <c r="B472" s="60"/>
      <c r="C472" s="60"/>
      <c r="D472" s="60"/>
      <c r="E472" s="60"/>
      <c r="F472" s="60"/>
    </row>
    <row r="473">
      <c r="A473" s="60"/>
      <c r="B473" s="60"/>
      <c r="C473" s="60"/>
      <c r="D473" s="60"/>
      <c r="E473" s="60"/>
      <c r="F473" s="60"/>
    </row>
    <row r="474">
      <c r="A474" s="60"/>
      <c r="B474" s="60"/>
      <c r="C474" s="60"/>
      <c r="D474" s="60"/>
      <c r="E474" s="60"/>
      <c r="F474" s="60"/>
    </row>
    <row r="475">
      <c r="A475" s="60"/>
      <c r="B475" s="60"/>
      <c r="C475" s="60"/>
      <c r="D475" s="60"/>
      <c r="E475" s="60"/>
      <c r="F475" s="60"/>
    </row>
    <row r="476">
      <c r="A476" s="60"/>
      <c r="B476" s="60"/>
      <c r="C476" s="60"/>
      <c r="D476" s="60"/>
      <c r="E476" s="60"/>
      <c r="F476" s="60"/>
    </row>
    <row r="477">
      <c r="A477" s="60"/>
      <c r="B477" s="60"/>
      <c r="C477" s="60"/>
      <c r="D477" s="60"/>
      <c r="E477" s="60"/>
      <c r="F477" s="60"/>
    </row>
    <row r="478">
      <c r="A478" s="60"/>
      <c r="B478" s="60"/>
      <c r="C478" s="60"/>
      <c r="D478" s="60"/>
      <c r="E478" s="60"/>
      <c r="F478" s="60"/>
    </row>
    <row r="479">
      <c r="A479" s="60"/>
      <c r="B479" s="60"/>
      <c r="C479" s="60"/>
      <c r="D479" s="60"/>
      <c r="E479" s="60"/>
      <c r="F479" s="60"/>
    </row>
    <row r="480">
      <c r="A480" s="60"/>
      <c r="B480" s="60"/>
      <c r="C480" s="60"/>
      <c r="D480" s="60"/>
      <c r="E480" s="60"/>
      <c r="F480" s="60"/>
    </row>
    <row r="481">
      <c r="A481" s="60"/>
      <c r="B481" s="60"/>
      <c r="C481" s="60"/>
      <c r="D481" s="60"/>
      <c r="E481" s="60"/>
      <c r="F481" s="60"/>
    </row>
    <row r="482">
      <c r="A482" s="60"/>
      <c r="B482" s="60"/>
      <c r="C482" s="60"/>
      <c r="D482" s="60"/>
      <c r="E482" s="60"/>
      <c r="F482" s="60"/>
    </row>
    <row r="483">
      <c r="A483" s="60"/>
      <c r="B483" s="60"/>
      <c r="C483" s="60"/>
      <c r="D483" s="60"/>
      <c r="E483" s="60"/>
      <c r="F483" s="60"/>
    </row>
    <row r="484">
      <c r="A484" s="60"/>
      <c r="B484" s="60"/>
      <c r="C484" s="60"/>
      <c r="D484" s="60"/>
      <c r="E484" s="60"/>
      <c r="F484" s="60"/>
    </row>
    <row r="485">
      <c r="A485" s="60"/>
      <c r="B485" s="60"/>
      <c r="C485" s="60"/>
      <c r="D485" s="60"/>
      <c r="E485" s="60"/>
      <c r="F485" s="60"/>
    </row>
    <row r="486">
      <c r="A486" s="60"/>
      <c r="B486" s="60"/>
      <c r="C486" s="60"/>
      <c r="D486" s="60"/>
      <c r="E486" s="60"/>
      <c r="F486" s="60"/>
    </row>
    <row r="487">
      <c r="A487" s="60"/>
      <c r="B487" s="60"/>
      <c r="C487" s="60"/>
      <c r="D487" s="60"/>
      <c r="E487" s="60"/>
      <c r="F487" s="60"/>
    </row>
    <row r="488">
      <c r="A488" s="60"/>
      <c r="B488" s="60"/>
      <c r="C488" s="60"/>
      <c r="D488" s="60"/>
      <c r="E488" s="60"/>
      <c r="F488" s="60"/>
    </row>
    <row r="489">
      <c r="A489" s="60"/>
      <c r="B489" s="60"/>
      <c r="C489" s="60"/>
      <c r="D489" s="60"/>
      <c r="E489" s="60"/>
      <c r="F489" s="60"/>
    </row>
    <row r="490">
      <c r="A490" s="60"/>
      <c r="B490" s="60"/>
      <c r="C490" s="60"/>
      <c r="D490" s="60"/>
      <c r="E490" s="60"/>
      <c r="F490" s="60"/>
    </row>
    <row r="491">
      <c r="A491" s="60"/>
      <c r="B491" s="60"/>
      <c r="C491" s="60"/>
      <c r="D491" s="60"/>
      <c r="E491" s="60"/>
      <c r="F491" s="60"/>
    </row>
    <row r="492">
      <c r="A492" s="60"/>
      <c r="B492" s="60"/>
      <c r="C492" s="60"/>
      <c r="D492" s="60"/>
      <c r="E492" s="60"/>
      <c r="F492" s="60"/>
    </row>
    <row r="493">
      <c r="A493" s="60"/>
      <c r="B493" s="60"/>
      <c r="C493" s="60"/>
      <c r="D493" s="60"/>
      <c r="E493" s="60"/>
      <c r="F493" s="60"/>
    </row>
    <row r="494">
      <c r="A494" s="60"/>
      <c r="B494" s="60"/>
      <c r="C494" s="60"/>
      <c r="D494" s="60"/>
      <c r="E494" s="60"/>
      <c r="F494" s="60"/>
    </row>
    <row r="495">
      <c r="A495" s="60"/>
      <c r="B495" s="60"/>
      <c r="C495" s="60"/>
      <c r="D495" s="60"/>
      <c r="E495" s="60"/>
      <c r="F495" s="60"/>
    </row>
    <row r="496">
      <c r="A496" s="60"/>
      <c r="B496" s="60"/>
      <c r="C496" s="60"/>
      <c r="D496" s="60"/>
      <c r="E496" s="60"/>
      <c r="F496" s="60"/>
    </row>
    <row r="497">
      <c r="A497" s="60"/>
      <c r="B497" s="60"/>
      <c r="C497" s="60"/>
      <c r="D497" s="60"/>
      <c r="E497" s="60"/>
      <c r="F497" s="60"/>
    </row>
    <row r="498">
      <c r="A498" s="60"/>
      <c r="B498" s="60"/>
      <c r="C498" s="60"/>
      <c r="D498" s="60"/>
      <c r="E498" s="60"/>
      <c r="F498" s="60"/>
    </row>
    <row r="499">
      <c r="A499" s="60"/>
      <c r="B499" s="60"/>
      <c r="C499" s="60"/>
      <c r="D499" s="60"/>
      <c r="E499" s="60"/>
      <c r="F499" s="60"/>
    </row>
    <row r="500">
      <c r="A500" s="60"/>
      <c r="B500" s="60"/>
      <c r="C500" s="60"/>
      <c r="D500" s="60"/>
      <c r="E500" s="60"/>
      <c r="F500" s="60"/>
    </row>
    <row r="501">
      <c r="A501" s="60"/>
      <c r="B501" s="60"/>
      <c r="C501" s="60"/>
      <c r="D501" s="60"/>
      <c r="E501" s="60"/>
      <c r="F501" s="60"/>
    </row>
    <row r="502">
      <c r="A502" s="60"/>
      <c r="B502" s="60"/>
      <c r="C502" s="60"/>
      <c r="D502" s="60"/>
      <c r="E502" s="60"/>
      <c r="F502" s="60"/>
    </row>
    <row r="503">
      <c r="A503" s="60"/>
      <c r="B503" s="60"/>
      <c r="C503" s="60"/>
      <c r="D503" s="60"/>
      <c r="E503" s="60"/>
      <c r="F503" s="60"/>
    </row>
    <row r="504">
      <c r="A504" s="60"/>
      <c r="B504" s="60"/>
      <c r="C504" s="60"/>
      <c r="D504" s="60"/>
      <c r="E504" s="60"/>
      <c r="F504" s="60"/>
    </row>
    <row r="505">
      <c r="A505" s="60"/>
      <c r="B505" s="60"/>
      <c r="C505" s="60"/>
      <c r="D505" s="60"/>
      <c r="E505" s="60"/>
      <c r="F505" s="60"/>
    </row>
    <row r="506">
      <c r="A506" s="60"/>
      <c r="B506" s="60"/>
      <c r="C506" s="60"/>
      <c r="D506" s="60"/>
      <c r="E506" s="60"/>
      <c r="F506" s="60"/>
    </row>
    <row r="507">
      <c r="A507" s="60"/>
      <c r="B507" s="60"/>
      <c r="C507" s="60"/>
      <c r="D507" s="60"/>
      <c r="E507" s="60"/>
      <c r="F507" s="60"/>
    </row>
    <row r="508">
      <c r="A508" s="60"/>
      <c r="B508" s="60"/>
      <c r="C508" s="60"/>
      <c r="D508" s="60"/>
      <c r="E508" s="60"/>
      <c r="F508" s="60"/>
    </row>
    <row r="509">
      <c r="A509" s="60"/>
      <c r="B509" s="60"/>
      <c r="C509" s="60"/>
      <c r="D509" s="60"/>
      <c r="E509" s="60"/>
      <c r="F509" s="60"/>
    </row>
    <row r="510">
      <c r="A510" s="60"/>
      <c r="B510" s="60"/>
      <c r="C510" s="60"/>
      <c r="D510" s="60"/>
      <c r="E510" s="60"/>
      <c r="F510" s="60"/>
    </row>
    <row r="511">
      <c r="A511" s="60"/>
      <c r="B511" s="60"/>
      <c r="C511" s="60"/>
      <c r="D511" s="60"/>
      <c r="E511" s="60"/>
      <c r="F511" s="60"/>
    </row>
    <row r="512">
      <c r="A512" s="60"/>
      <c r="B512" s="60"/>
      <c r="C512" s="60"/>
      <c r="D512" s="60"/>
      <c r="E512" s="60"/>
      <c r="F512" s="60"/>
    </row>
    <row r="513">
      <c r="A513" s="60"/>
      <c r="B513" s="60"/>
      <c r="C513" s="60"/>
      <c r="D513" s="60"/>
      <c r="E513" s="60"/>
      <c r="F513" s="60"/>
    </row>
    <row r="514">
      <c r="A514" s="60"/>
      <c r="B514" s="60"/>
      <c r="C514" s="60"/>
      <c r="D514" s="60"/>
      <c r="E514" s="60"/>
      <c r="F514" s="60"/>
    </row>
    <row r="515">
      <c r="A515" s="60"/>
      <c r="B515" s="60"/>
      <c r="C515" s="60"/>
      <c r="D515" s="60"/>
      <c r="E515" s="60"/>
      <c r="F515" s="60"/>
    </row>
    <row r="516">
      <c r="A516" s="60"/>
      <c r="B516" s="60"/>
      <c r="C516" s="60"/>
      <c r="D516" s="60"/>
      <c r="E516" s="60"/>
      <c r="F516" s="60"/>
    </row>
    <row r="517">
      <c r="A517" s="60"/>
      <c r="B517" s="60"/>
      <c r="C517" s="60"/>
      <c r="D517" s="60"/>
      <c r="E517" s="60"/>
      <c r="F517" s="60"/>
    </row>
    <row r="518">
      <c r="A518" s="60"/>
      <c r="B518" s="60"/>
      <c r="C518" s="60"/>
      <c r="D518" s="60"/>
      <c r="E518" s="60"/>
      <c r="F518" s="60"/>
    </row>
    <row r="519">
      <c r="A519" s="60"/>
      <c r="B519" s="60"/>
      <c r="C519" s="60"/>
      <c r="D519" s="60"/>
      <c r="E519" s="60"/>
      <c r="F519" s="60"/>
    </row>
    <row r="520">
      <c r="A520" s="60"/>
      <c r="B520" s="60"/>
      <c r="C520" s="60"/>
      <c r="D520" s="60"/>
      <c r="E520" s="60"/>
      <c r="F520" s="60"/>
    </row>
    <row r="521">
      <c r="A521" s="60"/>
      <c r="B521" s="60"/>
      <c r="C521" s="60"/>
      <c r="D521" s="60"/>
      <c r="E521" s="60"/>
      <c r="F521" s="60"/>
    </row>
    <row r="522">
      <c r="A522" s="60"/>
      <c r="B522" s="60"/>
      <c r="C522" s="60"/>
      <c r="D522" s="60"/>
      <c r="E522" s="60"/>
      <c r="F522" s="60"/>
    </row>
    <row r="523">
      <c r="A523" s="60"/>
      <c r="B523" s="60"/>
      <c r="C523" s="60"/>
      <c r="D523" s="60"/>
      <c r="E523" s="60"/>
      <c r="F523" s="60"/>
    </row>
    <row r="524">
      <c r="A524" s="60"/>
      <c r="B524" s="60"/>
      <c r="C524" s="60"/>
      <c r="D524" s="60"/>
      <c r="E524" s="60"/>
      <c r="F524" s="60"/>
    </row>
    <row r="525">
      <c r="A525" s="60"/>
      <c r="B525" s="60"/>
      <c r="C525" s="60"/>
      <c r="D525" s="60"/>
      <c r="E525" s="60"/>
      <c r="F525" s="60"/>
    </row>
    <row r="526">
      <c r="A526" s="60"/>
      <c r="B526" s="60"/>
      <c r="C526" s="60"/>
      <c r="D526" s="60"/>
      <c r="E526" s="60"/>
      <c r="F526" s="60"/>
    </row>
    <row r="527">
      <c r="A527" s="60"/>
      <c r="B527" s="60"/>
      <c r="C527" s="60"/>
      <c r="D527" s="60"/>
      <c r="E527" s="60"/>
      <c r="F527" s="60"/>
    </row>
    <row r="528">
      <c r="A528" s="60"/>
      <c r="B528" s="60"/>
      <c r="C528" s="60"/>
      <c r="D528" s="60"/>
      <c r="E528" s="60"/>
      <c r="F528" s="60"/>
    </row>
    <row r="529">
      <c r="A529" s="60"/>
      <c r="B529" s="60"/>
      <c r="C529" s="60"/>
      <c r="D529" s="60"/>
      <c r="E529" s="60"/>
      <c r="F529" s="60"/>
    </row>
    <row r="530">
      <c r="A530" s="60"/>
      <c r="B530" s="60"/>
      <c r="C530" s="60"/>
      <c r="D530" s="60"/>
      <c r="E530" s="60"/>
      <c r="F530" s="60"/>
    </row>
    <row r="531">
      <c r="A531" s="60"/>
      <c r="B531" s="60"/>
      <c r="C531" s="60"/>
      <c r="D531" s="60"/>
      <c r="E531" s="60"/>
      <c r="F531" s="60"/>
    </row>
    <row r="532">
      <c r="A532" s="60"/>
      <c r="B532" s="60"/>
      <c r="C532" s="60"/>
      <c r="D532" s="60"/>
      <c r="E532" s="60"/>
      <c r="F532" s="60"/>
    </row>
    <row r="533">
      <c r="A533" s="60"/>
      <c r="B533" s="60"/>
      <c r="C533" s="60"/>
      <c r="D533" s="60"/>
      <c r="E533" s="60"/>
      <c r="F533" s="60"/>
    </row>
    <row r="534">
      <c r="A534" s="60"/>
      <c r="B534" s="60"/>
      <c r="C534" s="60"/>
      <c r="D534" s="60"/>
      <c r="E534" s="60"/>
      <c r="F534" s="60"/>
    </row>
    <row r="535">
      <c r="A535" s="60"/>
      <c r="B535" s="60"/>
      <c r="C535" s="60"/>
      <c r="D535" s="60"/>
      <c r="E535" s="60"/>
      <c r="F535" s="60"/>
    </row>
    <row r="536">
      <c r="A536" s="60"/>
      <c r="B536" s="60"/>
      <c r="C536" s="60"/>
      <c r="D536" s="60"/>
      <c r="E536" s="60"/>
      <c r="F536" s="60"/>
    </row>
    <row r="537">
      <c r="A537" s="60"/>
      <c r="B537" s="60"/>
      <c r="C537" s="60"/>
      <c r="D537" s="60"/>
      <c r="E537" s="60"/>
      <c r="F537" s="60"/>
    </row>
    <row r="538">
      <c r="A538" s="60"/>
      <c r="B538" s="60"/>
      <c r="C538" s="60"/>
      <c r="D538" s="60"/>
      <c r="E538" s="60"/>
      <c r="F538" s="60"/>
    </row>
    <row r="539">
      <c r="A539" s="60"/>
      <c r="B539" s="60"/>
      <c r="C539" s="60"/>
      <c r="D539" s="60"/>
      <c r="E539" s="60"/>
      <c r="F539" s="60"/>
    </row>
    <row r="540">
      <c r="A540" s="60"/>
      <c r="B540" s="60"/>
      <c r="C540" s="60"/>
      <c r="D540" s="60"/>
      <c r="E540" s="60"/>
      <c r="F540" s="60"/>
    </row>
    <row r="541">
      <c r="A541" s="60"/>
      <c r="B541" s="60"/>
      <c r="C541" s="60"/>
      <c r="D541" s="60"/>
      <c r="E541" s="60"/>
      <c r="F541" s="60"/>
    </row>
    <row r="542">
      <c r="A542" s="60"/>
      <c r="B542" s="60"/>
      <c r="C542" s="60"/>
      <c r="D542" s="60"/>
      <c r="E542" s="60"/>
      <c r="F542" s="60"/>
    </row>
    <row r="543">
      <c r="A543" s="60"/>
      <c r="B543" s="60"/>
      <c r="C543" s="60"/>
      <c r="D543" s="60"/>
      <c r="E543" s="60"/>
      <c r="F543" s="60"/>
    </row>
    <row r="544">
      <c r="A544" s="60"/>
      <c r="B544" s="60"/>
      <c r="C544" s="60"/>
      <c r="D544" s="60"/>
      <c r="E544" s="60"/>
      <c r="F544" s="60"/>
    </row>
    <row r="545">
      <c r="A545" s="60"/>
      <c r="B545" s="60"/>
      <c r="C545" s="60"/>
      <c r="D545" s="60"/>
      <c r="E545" s="60"/>
      <c r="F545" s="60"/>
    </row>
    <row r="546">
      <c r="A546" s="60"/>
      <c r="B546" s="60"/>
      <c r="C546" s="60"/>
      <c r="D546" s="60"/>
      <c r="E546" s="60"/>
      <c r="F546" s="60"/>
    </row>
    <row r="547">
      <c r="A547" s="60"/>
      <c r="B547" s="60"/>
      <c r="C547" s="60"/>
      <c r="D547" s="60"/>
      <c r="E547" s="60"/>
      <c r="F547" s="60"/>
    </row>
    <row r="548">
      <c r="A548" s="60"/>
      <c r="B548" s="60"/>
      <c r="C548" s="60"/>
      <c r="D548" s="60"/>
      <c r="E548" s="60"/>
      <c r="F548" s="60"/>
    </row>
    <row r="549">
      <c r="A549" s="60"/>
      <c r="B549" s="60"/>
      <c r="C549" s="60"/>
      <c r="D549" s="60"/>
      <c r="E549" s="60"/>
      <c r="F549" s="60"/>
    </row>
    <row r="550">
      <c r="A550" s="60"/>
      <c r="B550" s="60"/>
      <c r="C550" s="60"/>
      <c r="D550" s="60"/>
      <c r="E550" s="60"/>
      <c r="F550" s="60"/>
    </row>
    <row r="551">
      <c r="A551" s="60"/>
      <c r="B551" s="60"/>
      <c r="C551" s="60"/>
      <c r="D551" s="60"/>
      <c r="E551" s="60"/>
      <c r="F551" s="60"/>
    </row>
    <row r="552">
      <c r="A552" s="60"/>
      <c r="B552" s="60"/>
      <c r="C552" s="60"/>
      <c r="D552" s="60"/>
      <c r="E552" s="60"/>
      <c r="F552" s="60"/>
    </row>
    <row r="553">
      <c r="A553" s="60"/>
      <c r="B553" s="60"/>
      <c r="C553" s="60"/>
      <c r="D553" s="60"/>
      <c r="E553" s="60"/>
      <c r="F553" s="60"/>
    </row>
    <row r="554">
      <c r="A554" s="60"/>
      <c r="B554" s="60"/>
      <c r="C554" s="60"/>
      <c r="D554" s="60"/>
      <c r="E554" s="60"/>
      <c r="F554" s="60"/>
    </row>
    <row r="555">
      <c r="A555" s="60"/>
      <c r="B555" s="60"/>
      <c r="C555" s="60"/>
      <c r="D555" s="60"/>
      <c r="E555" s="60"/>
      <c r="F555" s="60"/>
    </row>
    <row r="556">
      <c r="A556" s="60"/>
      <c r="B556" s="60"/>
      <c r="C556" s="60"/>
      <c r="D556" s="60"/>
      <c r="E556" s="60"/>
      <c r="F556" s="60"/>
    </row>
    <row r="557">
      <c r="A557" s="60"/>
      <c r="B557" s="60"/>
      <c r="C557" s="60"/>
      <c r="D557" s="60"/>
      <c r="E557" s="60"/>
      <c r="F557" s="60"/>
    </row>
    <row r="558">
      <c r="A558" s="60"/>
      <c r="B558" s="60"/>
      <c r="C558" s="60"/>
      <c r="D558" s="60"/>
      <c r="E558" s="60"/>
      <c r="F558" s="60"/>
    </row>
    <row r="559">
      <c r="A559" s="60"/>
      <c r="B559" s="60"/>
      <c r="C559" s="60"/>
      <c r="D559" s="60"/>
      <c r="E559" s="60"/>
      <c r="F559" s="60"/>
    </row>
    <row r="560">
      <c r="A560" s="60"/>
      <c r="B560" s="60"/>
      <c r="C560" s="60"/>
      <c r="D560" s="60"/>
      <c r="E560" s="60"/>
      <c r="F560" s="60"/>
    </row>
    <row r="561">
      <c r="A561" s="60"/>
      <c r="B561" s="60"/>
      <c r="C561" s="60"/>
      <c r="D561" s="60"/>
      <c r="E561" s="60"/>
      <c r="F561" s="60"/>
    </row>
    <row r="562">
      <c r="A562" s="60"/>
      <c r="B562" s="60"/>
      <c r="C562" s="60"/>
      <c r="D562" s="60"/>
      <c r="E562" s="60"/>
      <c r="F562" s="60"/>
    </row>
    <row r="563">
      <c r="A563" s="60"/>
      <c r="B563" s="60"/>
      <c r="C563" s="60"/>
      <c r="D563" s="60"/>
      <c r="E563" s="60"/>
      <c r="F563" s="60"/>
    </row>
    <row r="564">
      <c r="A564" s="60"/>
      <c r="B564" s="60"/>
      <c r="C564" s="60"/>
      <c r="D564" s="60"/>
      <c r="E564" s="60"/>
      <c r="F564" s="60"/>
    </row>
    <row r="565">
      <c r="A565" s="60"/>
      <c r="B565" s="60"/>
      <c r="C565" s="60"/>
      <c r="D565" s="60"/>
      <c r="E565" s="60"/>
      <c r="F565" s="60"/>
    </row>
    <row r="566">
      <c r="A566" s="60"/>
      <c r="B566" s="60"/>
      <c r="C566" s="60"/>
      <c r="D566" s="60"/>
      <c r="E566" s="60"/>
      <c r="F566" s="60"/>
    </row>
    <row r="567">
      <c r="A567" s="60"/>
      <c r="B567" s="60"/>
      <c r="C567" s="60"/>
      <c r="D567" s="60"/>
      <c r="E567" s="60"/>
      <c r="F567" s="60"/>
    </row>
    <row r="568">
      <c r="A568" s="60"/>
      <c r="B568" s="60"/>
      <c r="C568" s="60"/>
      <c r="D568" s="60"/>
      <c r="E568" s="60"/>
      <c r="F568" s="60"/>
    </row>
    <row r="569">
      <c r="A569" s="60"/>
      <c r="B569" s="60"/>
      <c r="C569" s="60"/>
      <c r="D569" s="60"/>
      <c r="E569" s="60"/>
      <c r="F569" s="60"/>
    </row>
    <row r="570">
      <c r="A570" s="60"/>
      <c r="B570" s="60"/>
      <c r="C570" s="60"/>
      <c r="D570" s="60"/>
      <c r="E570" s="60"/>
      <c r="F570" s="60"/>
    </row>
    <row r="571">
      <c r="A571" s="60"/>
      <c r="B571" s="60"/>
      <c r="C571" s="60"/>
      <c r="D571" s="60"/>
      <c r="E571" s="60"/>
      <c r="F571" s="60"/>
    </row>
    <row r="572">
      <c r="A572" s="60"/>
      <c r="B572" s="60"/>
      <c r="C572" s="60"/>
      <c r="D572" s="60"/>
      <c r="E572" s="60"/>
      <c r="F572" s="60"/>
    </row>
    <row r="573">
      <c r="A573" s="60"/>
      <c r="B573" s="60"/>
      <c r="C573" s="60"/>
      <c r="D573" s="60"/>
      <c r="E573" s="60"/>
      <c r="F573" s="60"/>
    </row>
    <row r="574">
      <c r="A574" s="60"/>
      <c r="B574" s="60"/>
      <c r="C574" s="60"/>
      <c r="D574" s="60"/>
      <c r="E574" s="60"/>
      <c r="F574" s="60"/>
    </row>
    <row r="575">
      <c r="A575" s="60"/>
      <c r="B575" s="60"/>
      <c r="C575" s="60"/>
      <c r="D575" s="60"/>
      <c r="E575" s="60"/>
      <c r="F575" s="60"/>
    </row>
    <row r="576">
      <c r="A576" s="60"/>
      <c r="B576" s="60"/>
      <c r="C576" s="60"/>
      <c r="D576" s="60"/>
      <c r="E576" s="60"/>
      <c r="F576" s="60"/>
    </row>
    <row r="577">
      <c r="A577" s="60"/>
      <c r="B577" s="60"/>
      <c r="C577" s="60"/>
      <c r="D577" s="60"/>
      <c r="E577" s="60"/>
      <c r="F577" s="60"/>
    </row>
    <row r="578">
      <c r="A578" s="60"/>
      <c r="B578" s="60"/>
      <c r="C578" s="60"/>
      <c r="D578" s="60"/>
      <c r="E578" s="60"/>
      <c r="F578" s="60"/>
    </row>
    <row r="579">
      <c r="A579" s="60"/>
      <c r="B579" s="60"/>
      <c r="C579" s="60"/>
      <c r="D579" s="60"/>
      <c r="E579" s="60"/>
      <c r="F579" s="60"/>
    </row>
    <row r="580">
      <c r="A580" s="60"/>
      <c r="B580" s="60"/>
      <c r="C580" s="60"/>
      <c r="D580" s="60"/>
      <c r="E580" s="60"/>
      <c r="F580" s="60"/>
    </row>
    <row r="581">
      <c r="A581" s="60"/>
      <c r="B581" s="60"/>
      <c r="C581" s="60"/>
      <c r="D581" s="60"/>
      <c r="E581" s="60"/>
      <c r="F581" s="60"/>
    </row>
    <row r="582">
      <c r="A582" s="60"/>
      <c r="B582" s="60"/>
      <c r="C582" s="60"/>
      <c r="D582" s="60"/>
      <c r="E582" s="60"/>
      <c r="F582" s="60"/>
    </row>
    <row r="583">
      <c r="A583" s="60"/>
      <c r="B583" s="60"/>
      <c r="C583" s="60"/>
      <c r="D583" s="60"/>
      <c r="E583" s="60"/>
      <c r="F583" s="60"/>
    </row>
    <row r="584">
      <c r="A584" s="60"/>
      <c r="B584" s="60"/>
      <c r="C584" s="60"/>
      <c r="D584" s="60"/>
      <c r="E584" s="60"/>
      <c r="F584" s="60"/>
    </row>
    <row r="585">
      <c r="A585" s="60"/>
      <c r="B585" s="60"/>
      <c r="C585" s="60"/>
      <c r="D585" s="60"/>
      <c r="E585" s="60"/>
      <c r="F585" s="60"/>
    </row>
    <row r="586">
      <c r="A586" s="60"/>
      <c r="B586" s="60"/>
      <c r="C586" s="60"/>
      <c r="D586" s="60"/>
      <c r="E586" s="60"/>
      <c r="F586" s="60"/>
    </row>
    <row r="587">
      <c r="A587" s="60"/>
      <c r="B587" s="60"/>
      <c r="C587" s="60"/>
      <c r="D587" s="60"/>
      <c r="E587" s="60"/>
      <c r="F587" s="60"/>
    </row>
    <row r="588">
      <c r="A588" s="60"/>
      <c r="B588" s="60"/>
      <c r="C588" s="60"/>
      <c r="D588" s="60"/>
      <c r="E588" s="60"/>
      <c r="F588" s="60"/>
    </row>
    <row r="589">
      <c r="A589" s="60"/>
      <c r="B589" s="60"/>
      <c r="C589" s="60"/>
      <c r="D589" s="60"/>
      <c r="E589" s="60"/>
      <c r="F589" s="60"/>
    </row>
    <row r="590">
      <c r="A590" s="60"/>
      <c r="B590" s="60"/>
      <c r="C590" s="60"/>
      <c r="D590" s="60"/>
      <c r="E590" s="60"/>
      <c r="F590" s="60"/>
    </row>
    <row r="591">
      <c r="A591" s="60"/>
      <c r="B591" s="60"/>
      <c r="C591" s="60"/>
      <c r="D591" s="60"/>
      <c r="E591" s="60"/>
      <c r="F591" s="60"/>
    </row>
    <row r="592">
      <c r="A592" s="60"/>
      <c r="B592" s="60"/>
      <c r="C592" s="60"/>
      <c r="D592" s="60"/>
      <c r="E592" s="60"/>
      <c r="F592" s="60"/>
    </row>
    <row r="593">
      <c r="A593" s="60"/>
      <c r="B593" s="60"/>
      <c r="C593" s="60"/>
      <c r="D593" s="60"/>
      <c r="E593" s="60"/>
      <c r="F593" s="60"/>
    </row>
    <row r="594">
      <c r="A594" s="60"/>
      <c r="B594" s="60"/>
      <c r="C594" s="60"/>
      <c r="D594" s="60"/>
      <c r="E594" s="60"/>
      <c r="F594" s="60"/>
    </row>
    <row r="595">
      <c r="A595" s="60"/>
      <c r="B595" s="60"/>
      <c r="C595" s="60"/>
      <c r="D595" s="60"/>
      <c r="E595" s="60"/>
      <c r="F595" s="60"/>
    </row>
    <row r="596">
      <c r="A596" s="60"/>
      <c r="B596" s="60"/>
      <c r="C596" s="60"/>
      <c r="D596" s="60"/>
      <c r="E596" s="60"/>
      <c r="F596" s="60"/>
    </row>
    <row r="597">
      <c r="A597" s="60"/>
      <c r="B597" s="60"/>
      <c r="C597" s="60"/>
      <c r="D597" s="60"/>
      <c r="E597" s="60"/>
      <c r="F597" s="60"/>
    </row>
    <row r="598">
      <c r="A598" s="60"/>
      <c r="B598" s="60"/>
      <c r="C598" s="60"/>
      <c r="D598" s="60"/>
      <c r="E598" s="60"/>
      <c r="F598" s="60"/>
    </row>
    <row r="599">
      <c r="A599" s="60"/>
      <c r="B599" s="60"/>
      <c r="C599" s="60"/>
      <c r="D599" s="60"/>
      <c r="E599" s="60"/>
      <c r="F599" s="60"/>
    </row>
    <row r="600">
      <c r="A600" s="60"/>
      <c r="B600" s="60"/>
      <c r="C600" s="60"/>
      <c r="D600" s="60"/>
      <c r="E600" s="60"/>
      <c r="F600" s="60"/>
    </row>
    <row r="601">
      <c r="A601" s="60"/>
      <c r="B601" s="60"/>
      <c r="C601" s="60"/>
      <c r="D601" s="60"/>
      <c r="E601" s="60"/>
      <c r="F601" s="60"/>
    </row>
    <row r="602">
      <c r="A602" s="60"/>
      <c r="B602" s="60"/>
      <c r="C602" s="60"/>
      <c r="D602" s="60"/>
      <c r="E602" s="60"/>
      <c r="F602" s="60"/>
    </row>
    <row r="603">
      <c r="A603" s="60"/>
      <c r="B603" s="60"/>
      <c r="C603" s="60"/>
      <c r="D603" s="60"/>
      <c r="E603" s="60"/>
      <c r="F603" s="60"/>
    </row>
    <row r="604">
      <c r="A604" s="60"/>
      <c r="B604" s="60"/>
      <c r="C604" s="60"/>
      <c r="D604" s="60"/>
      <c r="E604" s="60"/>
      <c r="F604" s="60"/>
    </row>
    <row r="605">
      <c r="A605" s="60"/>
      <c r="B605" s="60"/>
      <c r="C605" s="60"/>
      <c r="D605" s="60"/>
      <c r="E605" s="60"/>
      <c r="F605" s="60"/>
    </row>
    <row r="606">
      <c r="A606" s="60"/>
      <c r="B606" s="60"/>
      <c r="C606" s="60"/>
      <c r="D606" s="60"/>
      <c r="E606" s="60"/>
      <c r="F606" s="60"/>
    </row>
    <row r="607">
      <c r="A607" s="60"/>
      <c r="B607" s="60"/>
      <c r="C607" s="60"/>
      <c r="D607" s="60"/>
      <c r="E607" s="60"/>
      <c r="F607" s="60"/>
    </row>
    <row r="608">
      <c r="A608" s="60"/>
      <c r="B608" s="60"/>
      <c r="C608" s="60"/>
      <c r="D608" s="60"/>
      <c r="E608" s="60"/>
      <c r="F608" s="60"/>
    </row>
    <row r="609">
      <c r="A609" s="60"/>
      <c r="B609" s="60"/>
      <c r="C609" s="60"/>
      <c r="D609" s="60"/>
      <c r="E609" s="60"/>
      <c r="F609" s="60"/>
    </row>
    <row r="610">
      <c r="A610" s="60"/>
      <c r="B610" s="60"/>
      <c r="C610" s="60"/>
      <c r="D610" s="60"/>
      <c r="E610" s="60"/>
      <c r="F610" s="60"/>
    </row>
    <row r="611">
      <c r="A611" s="60"/>
      <c r="B611" s="60"/>
      <c r="C611" s="60"/>
      <c r="D611" s="60"/>
      <c r="E611" s="60"/>
      <c r="F611" s="60"/>
    </row>
    <row r="612">
      <c r="A612" s="60"/>
      <c r="B612" s="60"/>
      <c r="C612" s="60"/>
      <c r="D612" s="60"/>
      <c r="E612" s="60"/>
      <c r="F612" s="60"/>
    </row>
    <row r="613">
      <c r="A613" s="60"/>
      <c r="B613" s="60"/>
      <c r="C613" s="60"/>
      <c r="D613" s="60"/>
      <c r="E613" s="60"/>
      <c r="F613" s="60"/>
    </row>
    <row r="614">
      <c r="A614" s="60"/>
      <c r="B614" s="60"/>
      <c r="C614" s="60"/>
      <c r="D614" s="60"/>
      <c r="E614" s="60"/>
      <c r="F614" s="60"/>
    </row>
    <row r="615">
      <c r="A615" s="60"/>
      <c r="B615" s="60"/>
      <c r="C615" s="60"/>
      <c r="D615" s="60"/>
      <c r="E615" s="60"/>
      <c r="F615" s="60"/>
    </row>
    <row r="616">
      <c r="A616" s="60"/>
      <c r="B616" s="60"/>
      <c r="C616" s="60"/>
      <c r="D616" s="60"/>
      <c r="E616" s="60"/>
      <c r="F616" s="60"/>
    </row>
    <row r="617">
      <c r="A617" s="60"/>
      <c r="B617" s="60"/>
      <c r="C617" s="60"/>
      <c r="D617" s="60"/>
      <c r="E617" s="60"/>
      <c r="F617" s="60"/>
    </row>
    <row r="618">
      <c r="A618" s="60"/>
      <c r="B618" s="60"/>
      <c r="C618" s="60"/>
      <c r="D618" s="60"/>
      <c r="E618" s="60"/>
      <c r="F618" s="60"/>
    </row>
    <row r="619">
      <c r="A619" s="60"/>
      <c r="B619" s="60"/>
      <c r="C619" s="60"/>
      <c r="D619" s="60"/>
      <c r="E619" s="60"/>
      <c r="F619" s="60"/>
    </row>
    <row r="620">
      <c r="A620" s="60"/>
      <c r="B620" s="60"/>
      <c r="C620" s="60"/>
      <c r="D620" s="60"/>
      <c r="E620" s="60"/>
      <c r="F620" s="60"/>
    </row>
    <row r="621">
      <c r="A621" s="60"/>
      <c r="B621" s="60"/>
      <c r="C621" s="60"/>
      <c r="D621" s="60"/>
      <c r="E621" s="60"/>
      <c r="F621" s="60"/>
    </row>
    <row r="622">
      <c r="A622" s="60"/>
      <c r="B622" s="60"/>
      <c r="C622" s="60"/>
      <c r="D622" s="60"/>
      <c r="E622" s="60"/>
      <c r="F622" s="60"/>
    </row>
    <row r="623">
      <c r="A623" s="60"/>
      <c r="B623" s="60"/>
      <c r="C623" s="60"/>
      <c r="D623" s="60"/>
      <c r="E623" s="60"/>
      <c r="F623" s="60"/>
    </row>
    <row r="624">
      <c r="A624" s="60"/>
      <c r="B624" s="60"/>
      <c r="C624" s="60"/>
      <c r="D624" s="60"/>
      <c r="E624" s="60"/>
      <c r="F624" s="60"/>
    </row>
    <row r="625">
      <c r="A625" s="60"/>
      <c r="B625" s="60"/>
      <c r="C625" s="60"/>
      <c r="D625" s="60"/>
      <c r="E625" s="60"/>
      <c r="F625" s="60"/>
    </row>
    <row r="626">
      <c r="A626" s="60"/>
      <c r="B626" s="60"/>
      <c r="C626" s="60"/>
      <c r="D626" s="60"/>
      <c r="E626" s="60"/>
      <c r="F626" s="60"/>
    </row>
    <row r="627">
      <c r="A627" s="60"/>
      <c r="B627" s="60"/>
      <c r="C627" s="60"/>
      <c r="D627" s="60"/>
      <c r="E627" s="60"/>
      <c r="F627" s="60"/>
    </row>
    <row r="628">
      <c r="A628" s="60"/>
      <c r="B628" s="60"/>
      <c r="C628" s="60"/>
      <c r="D628" s="60"/>
      <c r="E628" s="60"/>
      <c r="F628" s="60"/>
    </row>
    <row r="629">
      <c r="A629" s="60"/>
      <c r="B629" s="60"/>
      <c r="C629" s="60"/>
      <c r="D629" s="60"/>
      <c r="E629" s="60"/>
      <c r="F629" s="60"/>
    </row>
    <row r="630">
      <c r="A630" s="60"/>
      <c r="B630" s="60"/>
      <c r="C630" s="60"/>
      <c r="D630" s="60"/>
      <c r="E630" s="60"/>
      <c r="F630" s="60"/>
    </row>
    <row r="631">
      <c r="A631" s="60"/>
      <c r="B631" s="60"/>
      <c r="C631" s="60"/>
      <c r="D631" s="60"/>
      <c r="E631" s="60"/>
      <c r="F631" s="60"/>
    </row>
    <row r="632">
      <c r="A632" s="60"/>
      <c r="B632" s="60"/>
      <c r="C632" s="60"/>
      <c r="D632" s="60"/>
      <c r="E632" s="60"/>
      <c r="F632" s="60"/>
    </row>
    <row r="633">
      <c r="A633" s="60"/>
      <c r="B633" s="60"/>
      <c r="C633" s="60"/>
      <c r="D633" s="60"/>
      <c r="E633" s="60"/>
      <c r="F633" s="60"/>
    </row>
    <row r="634">
      <c r="A634" s="60"/>
      <c r="B634" s="60"/>
      <c r="C634" s="60"/>
      <c r="D634" s="60"/>
      <c r="E634" s="60"/>
      <c r="F634" s="60"/>
    </row>
    <row r="635">
      <c r="A635" s="60"/>
      <c r="B635" s="60"/>
      <c r="C635" s="60"/>
      <c r="D635" s="60"/>
      <c r="E635" s="60"/>
      <c r="F635" s="60"/>
    </row>
    <row r="636">
      <c r="A636" s="60"/>
      <c r="B636" s="60"/>
      <c r="C636" s="60"/>
      <c r="D636" s="60"/>
      <c r="E636" s="60"/>
      <c r="F636" s="60"/>
    </row>
    <row r="637">
      <c r="A637" s="60"/>
      <c r="B637" s="60"/>
      <c r="C637" s="60"/>
      <c r="D637" s="60"/>
      <c r="E637" s="60"/>
      <c r="F637" s="60"/>
    </row>
    <row r="638">
      <c r="A638" s="60"/>
      <c r="B638" s="60"/>
      <c r="C638" s="60"/>
      <c r="D638" s="60"/>
      <c r="E638" s="60"/>
      <c r="F638" s="60"/>
    </row>
    <row r="639">
      <c r="A639" s="60"/>
      <c r="B639" s="60"/>
      <c r="C639" s="60"/>
      <c r="D639" s="60"/>
      <c r="E639" s="60"/>
      <c r="F639" s="60"/>
    </row>
    <row r="640">
      <c r="A640" s="60"/>
      <c r="B640" s="60"/>
      <c r="C640" s="60"/>
      <c r="D640" s="60"/>
      <c r="E640" s="60"/>
      <c r="F640" s="60"/>
    </row>
    <row r="641">
      <c r="A641" s="60"/>
      <c r="B641" s="60"/>
      <c r="C641" s="60"/>
      <c r="D641" s="60"/>
      <c r="E641" s="60"/>
      <c r="F641" s="60"/>
    </row>
    <row r="642">
      <c r="A642" s="60"/>
      <c r="B642" s="60"/>
      <c r="C642" s="60"/>
      <c r="D642" s="60"/>
      <c r="E642" s="60"/>
      <c r="F642" s="60"/>
    </row>
    <row r="643">
      <c r="A643" s="60"/>
      <c r="B643" s="60"/>
      <c r="C643" s="60"/>
      <c r="D643" s="60"/>
      <c r="E643" s="60"/>
      <c r="F643" s="60"/>
    </row>
    <row r="644">
      <c r="A644" s="60"/>
      <c r="B644" s="60"/>
      <c r="C644" s="60"/>
      <c r="D644" s="60"/>
      <c r="E644" s="60"/>
      <c r="F644" s="60"/>
    </row>
    <row r="645">
      <c r="A645" s="60"/>
      <c r="B645" s="60"/>
      <c r="C645" s="60"/>
      <c r="D645" s="60"/>
      <c r="E645" s="60"/>
      <c r="F645" s="60"/>
    </row>
    <row r="646">
      <c r="A646" s="60"/>
      <c r="B646" s="60"/>
      <c r="C646" s="60"/>
      <c r="D646" s="60"/>
      <c r="E646" s="60"/>
      <c r="F646" s="60"/>
    </row>
    <row r="647">
      <c r="A647" s="60"/>
      <c r="B647" s="60"/>
      <c r="C647" s="60"/>
      <c r="D647" s="60"/>
      <c r="E647" s="60"/>
      <c r="F647" s="60"/>
    </row>
    <row r="648">
      <c r="A648" s="60"/>
      <c r="B648" s="60"/>
      <c r="C648" s="60"/>
      <c r="D648" s="60"/>
      <c r="E648" s="60"/>
      <c r="F648" s="60"/>
    </row>
    <row r="649">
      <c r="A649" s="60"/>
      <c r="B649" s="60"/>
      <c r="C649" s="60"/>
      <c r="D649" s="60"/>
      <c r="E649" s="60"/>
      <c r="F649" s="60"/>
    </row>
    <row r="650">
      <c r="A650" s="60"/>
      <c r="B650" s="60"/>
      <c r="C650" s="60"/>
      <c r="D650" s="60"/>
      <c r="E650" s="60"/>
      <c r="F650" s="60"/>
    </row>
    <row r="651">
      <c r="A651" s="60"/>
      <c r="B651" s="60"/>
      <c r="C651" s="60"/>
      <c r="D651" s="60"/>
      <c r="E651" s="60"/>
      <c r="F651" s="60"/>
    </row>
    <row r="652">
      <c r="A652" s="60"/>
      <c r="B652" s="60"/>
      <c r="C652" s="60"/>
      <c r="D652" s="60"/>
      <c r="E652" s="60"/>
      <c r="F652" s="60"/>
    </row>
    <row r="653">
      <c r="A653" s="60"/>
      <c r="B653" s="60"/>
      <c r="C653" s="60"/>
      <c r="D653" s="60"/>
      <c r="E653" s="60"/>
      <c r="F653" s="60"/>
    </row>
    <row r="654">
      <c r="A654" s="60"/>
      <c r="B654" s="60"/>
      <c r="C654" s="60"/>
      <c r="D654" s="60"/>
      <c r="E654" s="60"/>
      <c r="F654" s="60"/>
    </row>
    <row r="655">
      <c r="A655" s="60"/>
      <c r="B655" s="60"/>
      <c r="C655" s="60"/>
      <c r="D655" s="60"/>
      <c r="E655" s="60"/>
      <c r="F655" s="60"/>
    </row>
    <row r="656">
      <c r="A656" s="60"/>
      <c r="B656" s="60"/>
      <c r="C656" s="60"/>
      <c r="D656" s="60"/>
      <c r="E656" s="60"/>
      <c r="F656" s="60"/>
    </row>
    <row r="657">
      <c r="A657" s="60"/>
      <c r="B657" s="60"/>
      <c r="C657" s="60"/>
      <c r="D657" s="60"/>
      <c r="E657" s="60"/>
      <c r="F657" s="60"/>
    </row>
    <row r="658">
      <c r="A658" s="60"/>
      <c r="B658" s="60"/>
      <c r="C658" s="60"/>
      <c r="D658" s="60"/>
      <c r="E658" s="60"/>
      <c r="F658" s="60"/>
    </row>
    <row r="659">
      <c r="A659" s="60"/>
      <c r="B659" s="60"/>
      <c r="C659" s="60"/>
      <c r="D659" s="60"/>
      <c r="E659" s="60"/>
      <c r="F659" s="60"/>
    </row>
    <row r="660">
      <c r="A660" s="60"/>
      <c r="B660" s="60"/>
      <c r="C660" s="60"/>
      <c r="D660" s="60"/>
      <c r="E660" s="60"/>
      <c r="F660" s="60"/>
    </row>
    <row r="661">
      <c r="A661" s="60"/>
      <c r="B661" s="60"/>
      <c r="C661" s="60"/>
      <c r="D661" s="60"/>
      <c r="E661" s="60"/>
      <c r="F661" s="60"/>
    </row>
    <row r="662">
      <c r="A662" s="60"/>
      <c r="B662" s="60"/>
      <c r="C662" s="60"/>
      <c r="D662" s="60"/>
      <c r="E662" s="60"/>
      <c r="F662" s="60"/>
    </row>
    <row r="663">
      <c r="A663" s="60"/>
      <c r="B663" s="60"/>
      <c r="C663" s="60"/>
      <c r="D663" s="60"/>
      <c r="E663" s="60"/>
      <c r="F663" s="60"/>
    </row>
    <row r="664">
      <c r="A664" s="60"/>
      <c r="B664" s="60"/>
      <c r="C664" s="60"/>
      <c r="D664" s="60"/>
      <c r="E664" s="60"/>
      <c r="F664" s="60"/>
    </row>
    <row r="665">
      <c r="A665" s="60"/>
      <c r="B665" s="60"/>
      <c r="C665" s="60"/>
      <c r="D665" s="60"/>
      <c r="E665" s="60"/>
      <c r="F665" s="60"/>
    </row>
    <row r="666">
      <c r="A666" s="60"/>
      <c r="B666" s="60"/>
      <c r="C666" s="60"/>
      <c r="D666" s="60"/>
      <c r="E666" s="60"/>
      <c r="F666" s="60"/>
    </row>
    <row r="667">
      <c r="A667" s="60"/>
      <c r="B667" s="60"/>
      <c r="C667" s="60"/>
      <c r="D667" s="60"/>
      <c r="E667" s="60"/>
      <c r="F667" s="60"/>
    </row>
    <row r="668">
      <c r="A668" s="60"/>
      <c r="B668" s="60"/>
      <c r="C668" s="60"/>
      <c r="D668" s="60"/>
      <c r="E668" s="60"/>
      <c r="F668" s="60"/>
    </row>
    <row r="669">
      <c r="A669" s="60"/>
      <c r="B669" s="60"/>
      <c r="C669" s="60"/>
      <c r="D669" s="60"/>
      <c r="E669" s="60"/>
      <c r="F669" s="60"/>
    </row>
    <row r="670">
      <c r="A670" s="60"/>
      <c r="B670" s="60"/>
      <c r="C670" s="60"/>
      <c r="D670" s="60"/>
      <c r="E670" s="60"/>
      <c r="F670" s="60"/>
    </row>
    <row r="671">
      <c r="A671" s="60"/>
      <c r="B671" s="60"/>
      <c r="C671" s="60"/>
      <c r="D671" s="60"/>
      <c r="E671" s="60"/>
      <c r="F671" s="60"/>
    </row>
    <row r="672">
      <c r="A672" s="60"/>
      <c r="B672" s="60"/>
      <c r="C672" s="60"/>
      <c r="D672" s="60"/>
      <c r="E672" s="60"/>
      <c r="F672" s="60"/>
    </row>
    <row r="673">
      <c r="A673" s="60"/>
      <c r="B673" s="60"/>
      <c r="C673" s="60"/>
      <c r="D673" s="60"/>
      <c r="E673" s="60"/>
      <c r="F673" s="60"/>
    </row>
    <row r="674">
      <c r="A674" s="60"/>
      <c r="B674" s="60"/>
      <c r="C674" s="60"/>
      <c r="D674" s="60"/>
      <c r="E674" s="60"/>
      <c r="F674" s="60"/>
    </row>
    <row r="675">
      <c r="A675" s="60"/>
      <c r="B675" s="60"/>
      <c r="C675" s="60"/>
      <c r="D675" s="60"/>
      <c r="E675" s="60"/>
      <c r="F675" s="60"/>
    </row>
    <row r="676">
      <c r="A676" s="60"/>
      <c r="B676" s="60"/>
      <c r="C676" s="60"/>
      <c r="D676" s="60"/>
      <c r="E676" s="60"/>
      <c r="F676" s="60"/>
    </row>
    <row r="677">
      <c r="A677" s="60"/>
      <c r="B677" s="60"/>
      <c r="C677" s="60"/>
      <c r="D677" s="60"/>
      <c r="E677" s="60"/>
      <c r="F677" s="60"/>
    </row>
    <row r="678">
      <c r="A678" s="60"/>
      <c r="B678" s="60"/>
      <c r="C678" s="60"/>
      <c r="D678" s="60"/>
      <c r="E678" s="60"/>
      <c r="F678" s="60"/>
    </row>
    <row r="679">
      <c r="A679" s="60"/>
      <c r="B679" s="60"/>
      <c r="C679" s="60"/>
      <c r="D679" s="60"/>
      <c r="E679" s="60"/>
      <c r="F679" s="60"/>
    </row>
    <row r="680">
      <c r="A680" s="60"/>
      <c r="B680" s="60"/>
      <c r="C680" s="60"/>
      <c r="D680" s="60"/>
      <c r="E680" s="60"/>
      <c r="F680" s="60"/>
    </row>
    <row r="681">
      <c r="A681" s="60"/>
      <c r="B681" s="60"/>
      <c r="C681" s="60"/>
      <c r="D681" s="60"/>
      <c r="E681" s="60"/>
      <c r="F681" s="60"/>
    </row>
    <row r="682">
      <c r="A682" s="60"/>
      <c r="B682" s="60"/>
      <c r="C682" s="60"/>
      <c r="D682" s="60"/>
      <c r="E682" s="60"/>
      <c r="F682" s="60"/>
    </row>
    <row r="683">
      <c r="A683" s="60"/>
      <c r="B683" s="60"/>
      <c r="C683" s="60"/>
      <c r="D683" s="60"/>
      <c r="E683" s="60"/>
      <c r="F683" s="60"/>
    </row>
    <row r="684">
      <c r="A684" s="60"/>
      <c r="B684" s="60"/>
      <c r="C684" s="60"/>
      <c r="D684" s="60"/>
      <c r="E684" s="60"/>
      <c r="F684" s="60"/>
    </row>
    <row r="685">
      <c r="A685" s="60"/>
      <c r="B685" s="60"/>
      <c r="C685" s="60"/>
      <c r="D685" s="60"/>
      <c r="E685" s="60"/>
      <c r="F685" s="60"/>
    </row>
    <row r="686">
      <c r="A686" s="60"/>
      <c r="B686" s="60"/>
      <c r="C686" s="60"/>
      <c r="D686" s="60"/>
      <c r="E686" s="60"/>
      <c r="F686" s="60"/>
    </row>
    <row r="687">
      <c r="A687" s="60"/>
      <c r="B687" s="60"/>
      <c r="C687" s="60"/>
      <c r="D687" s="60"/>
      <c r="E687" s="60"/>
      <c r="F687" s="60"/>
    </row>
    <row r="688">
      <c r="A688" s="60"/>
      <c r="B688" s="60"/>
      <c r="C688" s="60"/>
      <c r="D688" s="60"/>
      <c r="E688" s="60"/>
      <c r="F688" s="60"/>
    </row>
    <row r="689">
      <c r="A689" s="60"/>
      <c r="B689" s="60"/>
      <c r="C689" s="60"/>
      <c r="D689" s="60"/>
      <c r="E689" s="60"/>
      <c r="F689" s="60"/>
    </row>
    <row r="690">
      <c r="A690" s="60"/>
      <c r="B690" s="60"/>
      <c r="C690" s="60"/>
      <c r="D690" s="60"/>
      <c r="E690" s="60"/>
      <c r="F690" s="60"/>
    </row>
    <row r="691">
      <c r="A691" s="60"/>
      <c r="B691" s="60"/>
      <c r="C691" s="60"/>
      <c r="D691" s="60"/>
      <c r="E691" s="60"/>
      <c r="F691" s="60"/>
    </row>
    <row r="692">
      <c r="A692" s="60"/>
      <c r="B692" s="60"/>
      <c r="C692" s="60"/>
      <c r="D692" s="60"/>
      <c r="E692" s="60"/>
      <c r="F692" s="60"/>
    </row>
    <row r="693">
      <c r="A693" s="60"/>
      <c r="B693" s="60"/>
      <c r="C693" s="60"/>
      <c r="D693" s="60"/>
      <c r="E693" s="60"/>
      <c r="F693" s="60"/>
    </row>
    <row r="694">
      <c r="A694" s="60"/>
      <c r="B694" s="60"/>
      <c r="C694" s="60"/>
      <c r="D694" s="60"/>
      <c r="E694" s="60"/>
      <c r="F694" s="60"/>
    </row>
    <row r="695">
      <c r="A695" s="60"/>
      <c r="B695" s="60"/>
      <c r="C695" s="60"/>
      <c r="D695" s="60"/>
      <c r="E695" s="60"/>
      <c r="F695" s="60"/>
    </row>
    <row r="696">
      <c r="A696" s="60"/>
      <c r="B696" s="60"/>
      <c r="C696" s="60"/>
      <c r="D696" s="60"/>
      <c r="E696" s="60"/>
      <c r="F696" s="60"/>
    </row>
    <row r="697">
      <c r="A697" s="60"/>
      <c r="B697" s="60"/>
      <c r="C697" s="60"/>
      <c r="D697" s="60"/>
      <c r="E697" s="60"/>
      <c r="F697" s="60"/>
    </row>
    <row r="698">
      <c r="A698" s="60"/>
      <c r="B698" s="60"/>
      <c r="C698" s="60"/>
      <c r="D698" s="60"/>
      <c r="E698" s="60"/>
      <c r="F698" s="60"/>
    </row>
    <row r="699">
      <c r="A699" s="60"/>
      <c r="B699" s="60"/>
      <c r="C699" s="60"/>
      <c r="D699" s="60"/>
      <c r="E699" s="60"/>
      <c r="F699" s="60"/>
    </row>
    <row r="700">
      <c r="A700" s="60"/>
      <c r="B700" s="60"/>
      <c r="C700" s="60"/>
      <c r="D700" s="60"/>
      <c r="E700" s="60"/>
      <c r="F700" s="60"/>
    </row>
    <row r="701">
      <c r="A701" s="60"/>
      <c r="B701" s="60"/>
      <c r="C701" s="60"/>
      <c r="D701" s="60"/>
      <c r="E701" s="60"/>
      <c r="F701" s="60"/>
    </row>
    <row r="702">
      <c r="A702" s="60"/>
      <c r="B702" s="60"/>
      <c r="C702" s="60"/>
      <c r="D702" s="60"/>
      <c r="E702" s="60"/>
      <c r="F702" s="60"/>
    </row>
    <row r="703">
      <c r="A703" s="60"/>
      <c r="B703" s="60"/>
      <c r="C703" s="60"/>
      <c r="D703" s="60"/>
      <c r="E703" s="60"/>
      <c r="F703" s="60"/>
    </row>
    <row r="704">
      <c r="A704" s="60"/>
      <c r="B704" s="60"/>
      <c r="C704" s="60"/>
      <c r="D704" s="60"/>
      <c r="E704" s="60"/>
      <c r="F704" s="60"/>
    </row>
    <row r="705">
      <c r="A705" s="60"/>
      <c r="B705" s="60"/>
      <c r="C705" s="60"/>
      <c r="D705" s="60"/>
      <c r="E705" s="60"/>
      <c r="F705" s="60"/>
    </row>
    <row r="706">
      <c r="A706" s="60"/>
      <c r="B706" s="60"/>
      <c r="C706" s="60"/>
      <c r="D706" s="60"/>
      <c r="E706" s="60"/>
      <c r="F706" s="60"/>
    </row>
    <row r="707">
      <c r="A707" s="60"/>
      <c r="B707" s="60"/>
      <c r="C707" s="60"/>
      <c r="D707" s="60"/>
      <c r="E707" s="60"/>
      <c r="F707" s="60"/>
    </row>
    <row r="708">
      <c r="A708" s="60"/>
      <c r="B708" s="60"/>
      <c r="C708" s="60"/>
      <c r="D708" s="60"/>
      <c r="E708" s="60"/>
      <c r="F708" s="60"/>
    </row>
    <row r="709">
      <c r="A709" s="60"/>
      <c r="B709" s="60"/>
      <c r="C709" s="60"/>
      <c r="D709" s="60"/>
      <c r="E709" s="60"/>
      <c r="F709" s="60"/>
    </row>
    <row r="710">
      <c r="A710" s="60"/>
      <c r="B710" s="60"/>
      <c r="C710" s="60"/>
      <c r="D710" s="60"/>
      <c r="E710" s="60"/>
      <c r="F710" s="60"/>
    </row>
    <row r="711">
      <c r="A711" s="60"/>
      <c r="B711" s="60"/>
      <c r="C711" s="60"/>
      <c r="D711" s="60"/>
      <c r="E711" s="60"/>
      <c r="F711" s="60"/>
    </row>
    <row r="712">
      <c r="A712" s="60"/>
      <c r="B712" s="60"/>
      <c r="C712" s="60"/>
      <c r="D712" s="60"/>
      <c r="E712" s="60"/>
      <c r="F712" s="60"/>
    </row>
    <row r="713">
      <c r="A713" s="60"/>
      <c r="B713" s="60"/>
      <c r="C713" s="60"/>
      <c r="D713" s="60"/>
      <c r="E713" s="60"/>
      <c r="F713" s="60"/>
    </row>
    <row r="714">
      <c r="A714" s="60"/>
      <c r="B714" s="60"/>
      <c r="C714" s="60"/>
      <c r="D714" s="60"/>
      <c r="E714" s="60"/>
      <c r="F714" s="60"/>
    </row>
    <row r="715">
      <c r="A715" s="60"/>
      <c r="B715" s="60"/>
      <c r="C715" s="60"/>
      <c r="D715" s="60"/>
      <c r="E715" s="60"/>
      <c r="F715" s="60"/>
    </row>
    <row r="716">
      <c r="A716" s="60"/>
      <c r="B716" s="60"/>
      <c r="C716" s="60"/>
      <c r="D716" s="60"/>
      <c r="E716" s="60"/>
      <c r="F716" s="60"/>
    </row>
    <row r="717">
      <c r="A717" s="60"/>
      <c r="B717" s="60"/>
      <c r="C717" s="60"/>
      <c r="D717" s="60"/>
      <c r="E717" s="60"/>
      <c r="F717" s="60"/>
    </row>
    <row r="718">
      <c r="A718" s="60"/>
      <c r="B718" s="60"/>
      <c r="C718" s="60"/>
      <c r="D718" s="60"/>
      <c r="E718" s="60"/>
      <c r="F718" s="60"/>
    </row>
    <row r="719">
      <c r="A719" s="60"/>
      <c r="B719" s="60"/>
      <c r="C719" s="60"/>
      <c r="D719" s="60"/>
      <c r="E719" s="60"/>
      <c r="F719" s="60"/>
    </row>
    <row r="720">
      <c r="A720" s="60"/>
      <c r="B720" s="60"/>
      <c r="C720" s="60"/>
      <c r="D720" s="60"/>
      <c r="E720" s="60"/>
      <c r="F720" s="60"/>
    </row>
    <row r="721">
      <c r="A721" s="60"/>
      <c r="B721" s="60"/>
      <c r="C721" s="60"/>
      <c r="D721" s="60"/>
      <c r="E721" s="60"/>
      <c r="F721" s="60"/>
    </row>
    <row r="722">
      <c r="A722" s="60"/>
      <c r="B722" s="60"/>
      <c r="C722" s="60"/>
      <c r="D722" s="60"/>
      <c r="E722" s="60"/>
      <c r="F722" s="60"/>
    </row>
    <row r="723">
      <c r="A723" s="60"/>
      <c r="B723" s="60"/>
      <c r="C723" s="60"/>
      <c r="D723" s="60"/>
      <c r="E723" s="60"/>
      <c r="F723" s="60"/>
    </row>
    <row r="724">
      <c r="A724" s="60"/>
      <c r="B724" s="60"/>
      <c r="C724" s="60"/>
      <c r="D724" s="60"/>
      <c r="E724" s="60"/>
      <c r="F724" s="60"/>
    </row>
    <row r="725">
      <c r="A725" s="60"/>
      <c r="B725" s="60"/>
      <c r="C725" s="60"/>
      <c r="D725" s="60"/>
      <c r="E725" s="60"/>
      <c r="F725" s="60"/>
    </row>
    <row r="726">
      <c r="A726" s="60"/>
      <c r="B726" s="60"/>
      <c r="C726" s="60"/>
      <c r="D726" s="60"/>
      <c r="E726" s="60"/>
      <c r="F726" s="60"/>
    </row>
    <row r="727">
      <c r="A727" s="60"/>
      <c r="B727" s="60"/>
      <c r="C727" s="60"/>
      <c r="D727" s="60"/>
      <c r="E727" s="60"/>
      <c r="F727" s="60"/>
    </row>
    <row r="728">
      <c r="A728" s="60"/>
      <c r="B728" s="60"/>
      <c r="C728" s="60"/>
      <c r="D728" s="60"/>
      <c r="E728" s="60"/>
      <c r="F728" s="60"/>
    </row>
    <row r="729">
      <c r="A729" s="60"/>
      <c r="B729" s="60"/>
      <c r="C729" s="60"/>
      <c r="D729" s="60"/>
      <c r="E729" s="60"/>
      <c r="F729" s="60"/>
    </row>
    <row r="730">
      <c r="A730" s="60"/>
      <c r="B730" s="60"/>
      <c r="C730" s="60"/>
      <c r="D730" s="60"/>
      <c r="E730" s="60"/>
      <c r="F730" s="60"/>
    </row>
    <row r="731">
      <c r="A731" s="60"/>
      <c r="B731" s="60"/>
      <c r="C731" s="60"/>
      <c r="D731" s="60"/>
      <c r="E731" s="60"/>
      <c r="F731" s="60"/>
    </row>
    <row r="732">
      <c r="A732" s="60"/>
      <c r="B732" s="60"/>
      <c r="C732" s="60"/>
      <c r="D732" s="60"/>
      <c r="E732" s="60"/>
      <c r="F732" s="60"/>
    </row>
    <row r="733">
      <c r="A733" s="60"/>
      <c r="B733" s="60"/>
      <c r="C733" s="60"/>
      <c r="D733" s="60"/>
      <c r="E733" s="60"/>
      <c r="F733" s="60"/>
    </row>
    <row r="734">
      <c r="A734" s="60"/>
      <c r="B734" s="60"/>
      <c r="C734" s="60"/>
      <c r="D734" s="60"/>
      <c r="E734" s="60"/>
      <c r="F734" s="60"/>
    </row>
    <row r="735">
      <c r="A735" s="60"/>
      <c r="B735" s="60"/>
      <c r="C735" s="60"/>
      <c r="D735" s="60"/>
      <c r="E735" s="60"/>
      <c r="F735" s="60"/>
    </row>
    <row r="736">
      <c r="A736" s="60"/>
      <c r="B736" s="60"/>
      <c r="C736" s="60"/>
      <c r="D736" s="60"/>
      <c r="E736" s="60"/>
      <c r="F736" s="60"/>
    </row>
    <row r="737">
      <c r="A737" s="60"/>
      <c r="B737" s="60"/>
      <c r="C737" s="60"/>
      <c r="D737" s="60"/>
      <c r="E737" s="60"/>
      <c r="F737" s="60"/>
    </row>
    <row r="738">
      <c r="A738" s="60"/>
      <c r="B738" s="60"/>
      <c r="C738" s="60"/>
      <c r="D738" s="60"/>
      <c r="E738" s="60"/>
      <c r="F738" s="60"/>
    </row>
    <row r="739">
      <c r="A739" s="60"/>
      <c r="B739" s="60"/>
      <c r="C739" s="60"/>
      <c r="D739" s="60"/>
      <c r="E739" s="60"/>
      <c r="F739" s="60"/>
    </row>
    <row r="740">
      <c r="A740" s="60"/>
      <c r="B740" s="60"/>
      <c r="C740" s="60"/>
      <c r="D740" s="60"/>
      <c r="E740" s="60"/>
      <c r="F740" s="60"/>
    </row>
    <row r="741">
      <c r="A741" s="60"/>
      <c r="B741" s="60"/>
      <c r="C741" s="60"/>
      <c r="D741" s="60"/>
      <c r="E741" s="60"/>
      <c r="F741" s="60"/>
    </row>
    <row r="742">
      <c r="A742" s="60"/>
      <c r="B742" s="60"/>
      <c r="C742" s="60"/>
      <c r="D742" s="60"/>
      <c r="E742" s="60"/>
      <c r="F742" s="60"/>
    </row>
    <row r="743">
      <c r="A743" s="60"/>
      <c r="B743" s="60"/>
      <c r="C743" s="60"/>
      <c r="D743" s="60"/>
      <c r="E743" s="60"/>
      <c r="F743" s="60"/>
    </row>
    <row r="744">
      <c r="A744" s="60"/>
      <c r="B744" s="60"/>
      <c r="C744" s="60"/>
      <c r="D744" s="60"/>
      <c r="E744" s="60"/>
      <c r="F744" s="60"/>
    </row>
    <row r="745">
      <c r="A745" s="60"/>
      <c r="B745" s="60"/>
      <c r="C745" s="60"/>
      <c r="D745" s="60"/>
      <c r="E745" s="60"/>
      <c r="F745" s="60"/>
    </row>
    <row r="746">
      <c r="A746" s="60"/>
      <c r="B746" s="60"/>
      <c r="C746" s="60"/>
      <c r="D746" s="60"/>
      <c r="E746" s="60"/>
      <c r="F746" s="60"/>
    </row>
    <row r="747">
      <c r="A747" s="60"/>
      <c r="B747" s="60"/>
      <c r="C747" s="60"/>
      <c r="D747" s="60"/>
      <c r="E747" s="60"/>
      <c r="F747" s="60"/>
    </row>
    <row r="748">
      <c r="A748" s="60"/>
      <c r="B748" s="60"/>
      <c r="C748" s="60"/>
      <c r="D748" s="60"/>
      <c r="E748" s="60"/>
      <c r="F748" s="60"/>
    </row>
    <row r="749">
      <c r="A749" s="60"/>
      <c r="B749" s="60"/>
      <c r="C749" s="60"/>
      <c r="D749" s="60"/>
      <c r="E749" s="60"/>
      <c r="F749" s="60"/>
    </row>
    <row r="750">
      <c r="A750" s="60"/>
      <c r="B750" s="60"/>
      <c r="C750" s="60"/>
      <c r="D750" s="60"/>
      <c r="E750" s="60"/>
      <c r="F750" s="60"/>
    </row>
    <row r="751">
      <c r="A751" s="60"/>
      <c r="B751" s="60"/>
      <c r="C751" s="60"/>
      <c r="D751" s="60"/>
      <c r="E751" s="60"/>
      <c r="F751" s="60"/>
    </row>
    <row r="752">
      <c r="A752" s="60"/>
      <c r="B752" s="60"/>
      <c r="C752" s="60"/>
      <c r="D752" s="60"/>
      <c r="E752" s="60"/>
      <c r="F752" s="60"/>
    </row>
    <row r="753">
      <c r="A753" s="60"/>
      <c r="B753" s="60"/>
      <c r="C753" s="60"/>
      <c r="D753" s="60"/>
      <c r="E753" s="60"/>
      <c r="F753" s="60"/>
    </row>
    <row r="754">
      <c r="A754" s="60"/>
      <c r="B754" s="60"/>
      <c r="C754" s="60"/>
      <c r="D754" s="60"/>
      <c r="E754" s="60"/>
      <c r="F754" s="60"/>
    </row>
    <row r="755">
      <c r="A755" s="60"/>
      <c r="B755" s="60"/>
      <c r="C755" s="60"/>
      <c r="D755" s="60"/>
      <c r="E755" s="60"/>
      <c r="F755" s="60"/>
    </row>
    <row r="756">
      <c r="A756" s="60"/>
      <c r="B756" s="60"/>
      <c r="C756" s="60"/>
      <c r="D756" s="60"/>
      <c r="E756" s="60"/>
      <c r="F756" s="60"/>
    </row>
    <row r="757">
      <c r="A757" s="60"/>
      <c r="B757" s="60"/>
      <c r="C757" s="60"/>
      <c r="D757" s="60"/>
      <c r="E757" s="60"/>
      <c r="F757" s="60"/>
    </row>
    <row r="758">
      <c r="A758" s="60"/>
      <c r="B758" s="60"/>
      <c r="C758" s="60"/>
      <c r="D758" s="60"/>
      <c r="E758" s="60"/>
      <c r="F758" s="60"/>
    </row>
    <row r="759">
      <c r="A759" s="60"/>
      <c r="B759" s="60"/>
      <c r="C759" s="60"/>
      <c r="D759" s="60"/>
      <c r="E759" s="60"/>
      <c r="F759" s="60"/>
    </row>
    <row r="760">
      <c r="A760" s="60"/>
      <c r="B760" s="60"/>
      <c r="C760" s="60"/>
      <c r="D760" s="60"/>
      <c r="E760" s="60"/>
      <c r="F760" s="60"/>
    </row>
    <row r="761">
      <c r="A761" s="60"/>
      <c r="B761" s="60"/>
      <c r="C761" s="60"/>
      <c r="D761" s="60"/>
      <c r="E761" s="60"/>
      <c r="F761" s="60"/>
    </row>
    <row r="762">
      <c r="A762" s="60"/>
      <c r="B762" s="60"/>
      <c r="C762" s="60"/>
      <c r="D762" s="60"/>
      <c r="E762" s="60"/>
      <c r="F762" s="60"/>
    </row>
    <row r="763">
      <c r="A763" s="60"/>
      <c r="B763" s="60"/>
      <c r="C763" s="60"/>
      <c r="D763" s="60"/>
      <c r="E763" s="60"/>
      <c r="F763" s="60"/>
    </row>
    <row r="764">
      <c r="A764" s="60"/>
      <c r="B764" s="60"/>
      <c r="C764" s="60"/>
      <c r="D764" s="60"/>
      <c r="E764" s="60"/>
      <c r="F764" s="60"/>
    </row>
    <row r="765">
      <c r="A765" s="60"/>
      <c r="B765" s="60"/>
      <c r="C765" s="60"/>
      <c r="D765" s="60"/>
      <c r="E765" s="60"/>
      <c r="F765" s="60"/>
    </row>
    <row r="766">
      <c r="A766" s="60"/>
      <c r="B766" s="60"/>
      <c r="C766" s="60"/>
      <c r="D766" s="60"/>
      <c r="E766" s="60"/>
      <c r="F766" s="60"/>
    </row>
    <row r="767">
      <c r="A767" s="60"/>
      <c r="B767" s="60"/>
      <c r="C767" s="60"/>
      <c r="D767" s="60"/>
      <c r="E767" s="60"/>
      <c r="F767" s="60"/>
    </row>
    <row r="768">
      <c r="A768" s="60"/>
      <c r="B768" s="60"/>
      <c r="C768" s="60"/>
      <c r="D768" s="60"/>
      <c r="E768" s="60"/>
      <c r="F768" s="60"/>
    </row>
    <row r="769">
      <c r="A769" s="60"/>
      <c r="B769" s="60"/>
      <c r="C769" s="60"/>
      <c r="D769" s="60"/>
      <c r="E769" s="60"/>
      <c r="F769" s="60"/>
    </row>
    <row r="770">
      <c r="A770" s="60"/>
      <c r="B770" s="60"/>
      <c r="C770" s="60"/>
      <c r="D770" s="60"/>
      <c r="E770" s="60"/>
      <c r="F770" s="60"/>
    </row>
    <row r="771">
      <c r="A771" s="60"/>
      <c r="B771" s="60"/>
      <c r="C771" s="60"/>
      <c r="D771" s="60"/>
      <c r="E771" s="60"/>
      <c r="F771" s="60"/>
    </row>
    <row r="772">
      <c r="A772" s="60"/>
      <c r="B772" s="60"/>
      <c r="C772" s="60"/>
      <c r="D772" s="60"/>
      <c r="E772" s="60"/>
      <c r="F772" s="60"/>
    </row>
    <row r="773">
      <c r="A773" s="60"/>
      <c r="B773" s="60"/>
      <c r="C773" s="60"/>
      <c r="D773" s="60"/>
      <c r="E773" s="60"/>
      <c r="F773" s="60"/>
    </row>
    <row r="774">
      <c r="A774" s="60"/>
      <c r="B774" s="60"/>
      <c r="C774" s="60"/>
      <c r="D774" s="60"/>
      <c r="E774" s="60"/>
      <c r="F774" s="60"/>
    </row>
    <row r="775">
      <c r="A775" s="60"/>
      <c r="B775" s="60"/>
      <c r="C775" s="60"/>
      <c r="D775" s="60"/>
      <c r="E775" s="60"/>
      <c r="F775" s="60"/>
    </row>
    <row r="776">
      <c r="A776" s="60"/>
      <c r="B776" s="60"/>
      <c r="C776" s="60"/>
      <c r="D776" s="60"/>
      <c r="E776" s="60"/>
      <c r="F776" s="60"/>
    </row>
    <row r="777">
      <c r="A777" s="60"/>
      <c r="B777" s="60"/>
      <c r="C777" s="60"/>
      <c r="D777" s="60"/>
      <c r="E777" s="60"/>
      <c r="F777" s="60"/>
    </row>
    <row r="778">
      <c r="A778" s="60"/>
      <c r="B778" s="60"/>
      <c r="C778" s="60"/>
      <c r="D778" s="60"/>
      <c r="E778" s="60"/>
      <c r="F778" s="60"/>
    </row>
    <row r="779">
      <c r="A779" s="60"/>
      <c r="B779" s="60"/>
      <c r="C779" s="60"/>
      <c r="D779" s="60"/>
      <c r="E779" s="60"/>
      <c r="F779" s="60"/>
    </row>
    <row r="780">
      <c r="A780" s="60"/>
      <c r="B780" s="60"/>
      <c r="C780" s="60"/>
      <c r="D780" s="60"/>
      <c r="E780" s="60"/>
      <c r="F780" s="60"/>
    </row>
    <row r="781">
      <c r="A781" s="60"/>
      <c r="B781" s="60"/>
      <c r="C781" s="60"/>
      <c r="D781" s="60"/>
      <c r="E781" s="60"/>
      <c r="F781" s="60"/>
    </row>
    <row r="782">
      <c r="A782" s="60"/>
      <c r="B782" s="60"/>
      <c r="C782" s="60"/>
      <c r="D782" s="60"/>
      <c r="E782" s="60"/>
      <c r="F782" s="60"/>
    </row>
    <row r="783">
      <c r="A783" s="60"/>
      <c r="B783" s="60"/>
      <c r="C783" s="60"/>
      <c r="D783" s="60"/>
      <c r="E783" s="60"/>
      <c r="F783" s="60"/>
    </row>
    <row r="784">
      <c r="A784" s="60"/>
      <c r="B784" s="60"/>
      <c r="C784" s="60"/>
      <c r="D784" s="60"/>
      <c r="E784" s="60"/>
      <c r="F784" s="60"/>
    </row>
    <row r="785">
      <c r="A785" s="60"/>
      <c r="B785" s="60"/>
      <c r="C785" s="60"/>
      <c r="D785" s="60"/>
      <c r="E785" s="60"/>
      <c r="F785" s="60"/>
    </row>
    <row r="786">
      <c r="A786" s="60"/>
      <c r="B786" s="60"/>
      <c r="C786" s="60"/>
      <c r="D786" s="60"/>
      <c r="E786" s="60"/>
      <c r="F786" s="60"/>
    </row>
    <row r="787">
      <c r="A787" s="60"/>
      <c r="B787" s="60"/>
      <c r="C787" s="60"/>
      <c r="D787" s="60"/>
      <c r="E787" s="60"/>
      <c r="F787" s="60"/>
    </row>
    <row r="788">
      <c r="A788" s="60"/>
      <c r="B788" s="60"/>
      <c r="C788" s="60"/>
      <c r="D788" s="60"/>
      <c r="E788" s="60"/>
      <c r="F788" s="60"/>
    </row>
    <row r="789">
      <c r="A789" s="60"/>
      <c r="B789" s="60"/>
      <c r="C789" s="60"/>
      <c r="D789" s="60"/>
      <c r="E789" s="60"/>
      <c r="F789" s="60"/>
    </row>
    <row r="790">
      <c r="A790" s="60"/>
      <c r="B790" s="60"/>
      <c r="C790" s="60"/>
      <c r="D790" s="60"/>
      <c r="E790" s="60"/>
      <c r="F790" s="60"/>
    </row>
    <row r="791">
      <c r="A791" s="60"/>
      <c r="B791" s="60"/>
      <c r="C791" s="60"/>
      <c r="D791" s="60"/>
      <c r="E791" s="60"/>
      <c r="F791" s="60"/>
    </row>
    <row r="792">
      <c r="A792" s="60"/>
      <c r="B792" s="60"/>
      <c r="C792" s="60"/>
      <c r="D792" s="60"/>
      <c r="E792" s="60"/>
      <c r="F792" s="60"/>
    </row>
    <row r="793">
      <c r="A793" s="60"/>
      <c r="B793" s="60"/>
      <c r="C793" s="60"/>
      <c r="D793" s="60"/>
      <c r="E793" s="60"/>
      <c r="F793" s="60"/>
    </row>
    <row r="794">
      <c r="A794" s="60"/>
      <c r="B794" s="60"/>
      <c r="C794" s="60"/>
      <c r="D794" s="60"/>
      <c r="E794" s="60"/>
      <c r="F794" s="60"/>
    </row>
    <row r="795">
      <c r="A795" s="60"/>
      <c r="B795" s="60"/>
      <c r="C795" s="60"/>
      <c r="D795" s="60"/>
      <c r="E795" s="60"/>
      <c r="F795" s="60"/>
    </row>
    <row r="796">
      <c r="A796" s="60"/>
      <c r="B796" s="60"/>
      <c r="C796" s="60"/>
      <c r="D796" s="60"/>
      <c r="E796" s="60"/>
      <c r="F796" s="60"/>
    </row>
    <row r="797">
      <c r="A797" s="60"/>
      <c r="B797" s="60"/>
      <c r="C797" s="60"/>
      <c r="D797" s="60"/>
      <c r="E797" s="60"/>
      <c r="F797" s="60"/>
    </row>
    <row r="798">
      <c r="A798" s="60"/>
      <c r="B798" s="60"/>
      <c r="C798" s="60"/>
      <c r="D798" s="60"/>
      <c r="E798" s="60"/>
      <c r="F798" s="60"/>
    </row>
    <row r="799">
      <c r="A799" s="60"/>
      <c r="B799" s="60"/>
      <c r="C799" s="60"/>
      <c r="D799" s="60"/>
      <c r="E799" s="60"/>
      <c r="F799" s="60"/>
    </row>
    <row r="800">
      <c r="A800" s="60"/>
      <c r="B800" s="60"/>
      <c r="C800" s="60"/>
      <c r="D800" s="60"/>
      <c r="E800" s="60"/>
      <c r="F800" s="60"/>
    </row>
    <row r="801">
      <c r="A801" s="60"/>
      <c r="B801" s="60"/>
      <c r="C801" s="60"/>
      <c r="D801" s="60"/>
      <c r="E801" s="60"/>
      <c r="F801" s="60"/>
    </row>
    <row r="802">
      <c r="A802" s="60"/>
      <c r="B802" s="60"/>
      <c r="C802" s="60"/>
      <c r="D802" s="60"/>
      <c r="E802" s="60"/>
      <c r="F802" s="60"/>
    </row>
    <row r="803">
      <c r="A803" s="60"/>
      <c r="B803" s="60"/>
      <c r="C803" s="60"/>
      <c r="D803" s="60"/>
      <c r="E803" s="60"/>
      <c r="F803" s="60"/>
    </row>
    <row r="804">
      <c r="A804" s="60"/>
      <c r="B804" s="60"/>
      <c r="C804" s="60"/>
      <c r="D804" s="60"/>
      <c r="E804" s="60"/>
      <c r="F804" s="60"/>
    </row>
    <row r="805">
      <c r="A805" s="60"/>
      <c r="B805" s="60"/>
      <c r="C805" s="60"/>
      <c r="D805" s="60"/>
      <c r="E805" s="60"/>
      <c r="F805" s="60"/>
    </row>
    <row r="806">
      <c r="A806" s="60"/>
      <c r="B806" s="60"/>
      <c r="C806" s="60"/>
      <c r="D806" s="60"/>
      <c r="E806" s="60"/>
      <c r="F806" s="60"/>
    </row>
    <row r="807">
      <c r="A807" s="60"/>
      <c r="B807" s="60"/>
      <c r="C807" s="60"/>
      <c r="D807" s="60"/>
      <c r="E807" s="60"/>
      <c r="F807" s="60"/>
    </row>
    <row r="808">
      <c r="A808" s="60"/>
      <c r="B808" s="60"/>
      <c r="C808" s="60"/>
      <c r="D808" s="60"/>
      <c r="E808" s="60"/>
      <c r="F808" s="60"/>
    </row>
    <row r="809">
      <c r="A809" s="60"/>
      <c r="B809" s="60"/>
      <c r="C809" s="60"/>
      <c r="D809" s="60"/>
      <c r="E809" s="60"/>
      <c r="F809" s="60"/>
    </row>
    <row r="810">
      <c r="A810" s="60"/>
      <c r="B810" s="60"/>
      <c r="C810" s="60"/>
      <c r="D810" s="60"/>
      <c r="E810" s="60"/>
      <c r="F810" s="60"/>
    </row>
    <row r="811">
      <c r="A811" s="60"/>
      <c r="B811" s="60"/>
      <c r="C811" s="60"/>
      <c r="D811" s="60"/>
      <c r="E811" s="60"/>
      <c r="F811" s="60"/>
    </row>
    <row r="812">
      <c r="A812" s="60"/>
      <c r="B812" s="60"/>
      <c r="C812" s="60"/>
      <c r="D812" s="60"/>
      <c r="E812" s="60"/>
      <c r="F812" s="60"/>
    </row>
    <row r="813">
      <c r="A813" s="60"/>
      <c r="B813" s="60"/>
      <c r="C813" s="60"/>
      <c r="D813" s="60"/>
      <c r="E813" s="60"/>
      <c r="F813" s="60"/>
    </row>
    <row r="814">
      <c r="A814" s="60"/>
      <c r="B814" s="60"/>
      <c r="C814" s="60"/>
      <c r="D814" s="60"/>
      <c r="E814" s="60"/>
      <c r="F814" s="60"/>
    </row>
    <row r="815">
      <c r="A815" s="60"/>
      <c r="B815" s="60"/>
      <c r="C815" s="60"/>
      <c r="D815" s="60"/>
      <c r="E815" s="60"/>
      <c r="F815" s="60"/>
    </row>
    <row r="816">
      <c r="A816" s="60"/>
      <c r="B816" s="60"/>
      <c r="C816" s="60"/>
      <c r="D816" s="60"/>
      <c r="E816" s="60"/>
      <c r="F816" s="60"/>
    </row>
    <row r="817">
      <c r="A817" s="60"/>
      <c r="B817" s="60"/>
      <c r="C817" s="60"/>
      <c r="D817" s="60"/>
      <c r="E817" s="60"/>
      <c r="F817" s="60"/>
    </row>
    <row r="818">
      <c r="A818" s="60"/>
      <c r="B818" s="60"/>
      <c r="C818" s="60"/>
      <c r="D818" s="60"/>
      <c r="E818" s="60"/>
      <c r="F818" s="60"/>
    </row>
    <row r="819">
      <c r="A819" s="60"/>
      <c r="B819" s="60"/>
      <c r="C819" s="60"/>
      <c r="D819" s="60"/>
      <c r="E819" s="60"/>
      <c r="F819" s="60"/>
    </row>
    <row r="820">
      <c r="A820" s="60"/>
      <c r="B820" s="60"/>
      <c r="C820" s="60"/>
      <c r="D820" s="60"/>
      <c r="E820" s="60"/>
      <c r="F820" s="60"/>
    </row>
    <row r="821">
      <c r="A821" s="60"/>
      <c r="B821" s="60"/>
      <c r="C821" s="60"/>
      <c r="D821" s="60"/>
      <c r="E821" s="60"/>
      <c r="F821" s="60"/>
    </row>
    <row r="822">
      <c r="A822" s="60"/>
      <c r="B822" s="60"/>
      <c r="C822" s="60"/>
      <c r="D822" s="60"/>
      <c r="E822" s="60"/>
      <c r="F822" s="60"/>
    </row>
    <row r="823">
      <c r="A823" s="60"/>
      <c r="B823" s="60"/>
      <c r="C823" s="60"/>
      <c r="D823" s="60"/>
      <c r="E823" s="60"/>
      <c r="F823" s="60"/>
    </row>
    <row r="824">
      <c r="A824" s="60"/>
      <c r="B824" s="60"/>
      <c r="C824" s="60"/>
      <c r="D824" s="60"/>
      <c r="E824" s="60"/>
      <c r="F824" s="60"/>
    </row>
    <row r="825">
      <c r="A825" s="60"/>
      <c r="B825" s="60"/>
      <c r="C825" s="60"/>
      <c r="D825" s="60"/>
      <c r="E825" s="60"/>
      <c r="F825" s="60"/>
    </row>
    <row r="826">
      <c r="A826" s="60"/>
      <c r="B826" s="60"/>
      <c r="C826" s="60"/>
      <c r="D826" s="60"/>
      <c r="E826" s="60"/>
      <c r="F826" s="60"/>
    </row>
    <row r="827">
      <c r="A827" s="60"/>
      <c r="B827" s="60"/>
      <c r="C827" s="60"/>
      <c r="D827" s="60"/>
      <c r="E827" s="60"/>
      <c r="F827" s="60"/>
    </row>
    <row r="828">
      <c r="A828" s="60"/>
      <c r="B828" s="60"/>
      <c r="C828" s="60"/>
      <c r="D828" s="60"/>
      <c r="E828" s="60"/>
      <c r="F828" s="60"/>
    </row>
    <row r="829">
      <c r="A829" s="60"/>
      <c r="B829" s="60"/>
      <c r="C829" s="60"/>
      <c r="D829" s="60"/>
      <c r="E829" s="60"/>
      <c r="F829" s="60"/>
    </row>
    <row r="830">
      <c r="A830" s="60"/>
      <c r="B830" s="60"/>
      <c r="C830" s="60"/>
      <c r="D830" s="60"/>
      <c r="E830" s="60"/>
      <c r="F830" s="60"/>
    </row>
    <row r="831">
      <c r="A831" s="60"/>
      <c r="B831" s="60"/>
      <c r="C831" s="60"/>
      <c r="D831" s="60"/>
      <c r="E831" s="60"/>
      <c r="F831" s="60"/>
    </row>
    <row r="832">
      <c r="A832" s="60"/>
      <c r="B832" s="60"/>
      <c r="C832" s="60"/>
      <c r="D832" s="60"/>
      <c r="E832" s="60"/>
      <c r="F832" s="60"/>
    </row>
    <row r="833">
      <c r="A833" s="60"/>
      <c r="B833" s="60"/>
      <c r="C833" s="60"/>
      <c r="D833" s="60"/>
      <c r="E833" s="60"/>
      <c r="F833" s="60"/>
    </row>
    <row r="834">
      <c r="A834" s="60"/>
      <c r="B834" s="60"/>
      <c r="C834" s="60"/>
      <c r="D834" s="60"/>
      <c r="E834" s="60"/>
      <c r="F834" s="60"/>
    </row>
    <row r="835">
      <c r="A835" s="60"/>
      <c r="B835" s="60"/>
      <c r="C835" s="60"/>
      <c r="D835" s="60"/>
      <c r="E835" s="60"/>
      <c r="F835" s="60"/>
    </row>
    <row r="836">
      <c r="A836" s="60"/>
      <c r="B836" s="60"/>
      <c r="C836" s="60"/>
      <c r="D836" s="60"/>
      <c r="E836" s="60"/>
      <c r="F836" s="60"/>
    </row>
    <row r="837">
      <c r="A837" s="60"/>
      <c r="B837" s="60"/>
      <c r="C837" s="60"/>
      <c r="D837" s="60"/>
      <c r="E837" s="60"/>
      <c r="F837" s="60"/>
    </row>
    <row r="838">
      <c r="A838" s="60"/>
      <c r="B838" s="60"/>
      <c r="C838" s="60"/>
      <c r="D838" s="60"/>
      <c r="E838" s="60"/>
      <c r="F838" s="60"/>
    </row>
    <row r="839">
      <c r="A839" s="60"/>
      <c r="B839" s="60"/>
      <c r="C839" s="60"/>
      <c r="D839" s="60"/>
      <c r="E839" s="60"/>
      <c r="F839" s="60"/>
    </row>
    <row r="840">
      <c r="A840" s="60"/>
      <c r="B840" s="60"/>
      <c r="C840" s="60"/>
      <c r="D840" s="60"/>
      <c r="E840" s="60"/>
      <c r="F840" s="60"/>
    </row>
    <row r="841">
      <c r="A841" s="60"/>
      <c r="B841" s="60"/>
      <c r="C841" s="60"/>
      <c r="D841" s="60"/>
      <c r="E841" s="60"/>
      <c r="F841" s="60"/>
    </row>
    <row r="842">
      <c r="A842" s="60"/>
      <c r="B842" s="60"/>
      <c r="C842" s="60"/>
      <c r="D842" s="60"/>
      <c r="E842" s="60"/>
      <c r="F842" s="60"/>
    </row>
    <row r="843">
      <c r="A843" s="60"/>
      <c r="B843" s="60"/>
      <c r="C843" s="60"/>
      <c r="D843" s="60"/>
      <c r="E843" s="60"/>
      <c r="F843" s="60"/>
    </row>
    <row r="844">
      <c r="A844" s="60"/>
      <c r="B844" s="60"/>
      <c r="C844" s="60"/>
      <c r="D844" s="60"/>
      <c r="E844" s="60"/>
      <c r="F844" s="60"/>
    </row>
    <row r="845">
      <c r="A845" s="60"/>
      <c r="B845" s="60"/>
      <c r="C845" s="60"/>
      <c r="D845" s="60"/>
      <c r="E845" s="60"/>
      <c r="F845" s="60"/>
    </row>
    <row r="846">
      <c r="A846" s="60"/>
      <c r="B846" s="60"/>
      <c r="C846" s="60"/>
      <c r="D846" s="60"/>
      <c r="E846" s="60"/>
      <c r="F846" s="60"/>
    </row>
    <row r="847">
      <c r="A847" s="60"/>
      <c r="B847" s="60"/>
      <c r="C847" s="60"/>
      <c r="D847" s="60"/>
      <c r="E847" s="60"/>
      <c r="F847" s="60"/>
    </row>
    <row r="848">
      <c r="A848" s="60"/>
      <c r="B848" s="60"/>
      <c r="C848" s="60"/>
      <c r="D848" s="60"/>
      <c r="E848" s="60"/>
      <c r="F848" s="60"/>
    </row>
    <row r="849">
      <c r="A849" s="60"/>
      <c r="B849" s="60"/>
      <c r="C849" s="60"/>
      <c r="D849" s="60"/>
      <c r="E849" s="60"/>
      <c r="F849" s="60"/>
    </row>
    <row r="850">
      <c r="A850" s="60"/>
      <c r="B850" s="60"/>
      <c r="C850" s="60"/>
      <c r="D850" s="60"/>
      <c r="E850" s="60"/>
      <c r="F850" s="60"/>
    </row>
    <row r="851">
      <c r="A851" s="60"/>
      <c r="B851" s="60"/>
      <c r="C851" s="60"/>
      <c r="D851" s="60"/>
      <c r="E851" s="60"/>
      <c r="F851" s="60"/>
    </row>
    <row r="852">
      <c r="A852" s="60"/>
      <c r="B852" s="60"/>
      <c r="C852" s="60"/>
      <c r="D852" s="60"/>
      <c r="E852" s="60"/>
      <c r="F852" s="60"/>
    </row>
    <row r="853">
      <c r="A853" s="60"/>
      <c r="B853" s="60"/>
      <c r="C853" s="60"/>
      <c r="D853" s="60"/>
      <c r="E853" s="60"/>
      <c r="F853" s="60"/>
    </row>
    <row r="854">
      <c r="A854" s="60"/>
      <c r="B854" s="60"/>
      <c r="C854" s="60"/>
      <c r="D854" s="60"/>
      <c r="E854" s="60"/>
      <c r="F854" s="60"/>
    </row>
    <row r="855">
      <c r="A855" s="60"/>
      <c r="B855" s="60"/>
      <c r="C855" s="60"/>
      <c r="D855" s="60"/>
      <c r="E855" s="60"/>
      <c r="F855" s="60"/>
    </row>
    <row r="856">
      <c r="A856" s="60"/>
      <c r="B856" s="60"/>
      <c r="C856" s="60"/>
      <c r="D856" s="60"/>
      <c r="E856" s="60"/>
      <c r="F856" s="60"/>
    </row>
    <row r="857">
      <c r="A857" s="60"/>
      <c r="B857" s="60"/>
      <c r="C857" s="60"/>
      <c r="D857" s="60"/>
      <c r="E857" s="60"/>
      <c r="F857" s="60"/>
    </row>
    <row r="858">
      <c r="A858" s="60"/>
      <c r="B858" s="60"/>
      <c r="C858" s="60"/>
      <c r="D858" s="60"/>
      <c r="E858" s="60"/>
      <c r="F858" s="60"/>
    </row>
    <row r="859">
      <c r="A859" s="60"/>
      <c r="B859" s="60"/>
      <c r="C859" s="60"/>
      <c r="D859" s="60"/>
      <c r="E859" s="60"/>
      <c r="F859" s="60"/>
    </row>
    <row r="860">
      <c r="A860" s="60"/>
      <c r="B860" s="60"/>
      <c r="C860" s="60"/>
      <c r="D860" s="60"/>
      <c r="E860" s="60"/>
      <c r="F860" s="60"/>
    </row>
    <row r="861">
      <c r="A861" s="60"/>
      <c r="B861" s="60"/>
      <c r="C861" s="60"/>
      <c r="D861" s="60"/>
      <c r="E861" s="60"/>
      <c r="F861" s="60"/>
    </row>
    <row r="862">
      <c r="A862" s="60"/>
      <c r="B862" s="60"/>
      <c r="C862" s="60"/>
      <c r="D862" s="60"/>
      <c r="E862" s="60"/>
      <c r="F862" s="60"/>
    </row>
    <row r="863">
      <c r="A863" s="60"/>
      <c r="B863" s="60"/>
      <c r="C863" s="60"/>
      <c r="D863" s="60"/>
      <c r="E863" s="60"/>
      <c r="F863" s="60"/>
    </row>
    <row r="864">
      <c r="A864" s="60"/>
      <c r="B864" s="60"/>
      <c r="C864" s="60"/>
      <c r="D864" s="60"/>
      <c r="E864" s="60"/>
      <c r="F864" s="60"/>
    </row>
    <row r="865">
      <c r="A865" s="60"/>
      <c r="B865" s="60"/>
      <c r="C865" s="60"/>
      <c r="D865" s="60"/>
      <c r="E865" s="60"/>
      <c r="F865" s="60"/>
    </row>
    <row r="866">
      <c r="A866" s="60"/>
      <c r="B866" s="60"/>
      <c r="C866" s="60"/>
      <c r="D866" s="60"/>
      <c r="E866" s="60"/>
      <c r="F866" s="60"/>
    </row>
    <row r="867">
      <c r="A867" s="60"/>
      <c r="B867" s="60"/>
      <c r="C867" s="60"/>
      <c r="D867" s="60"/>
      <c r="E867" s="60"/>
      <c r="F867" s="60"/>
    </row>
    <row r="868">
      <c r="A868" s="60"/>
      <c r="B868" s="60"/>
      <c r="C868" s="60"/>
      <c r="D868" s="60"/>
      <c r="E868" s="60"/>
      <c r="F868" s="60"/>
    </row>
    <row r="869">
      <c r="A869" s="60"/>
      <c r="B869" s="60"/>
      <c r="C869" s="60"/>
      <c r="D869" s="60"/>
      <c r="E869" s="60"/>
      <c r="F869" s="60"/>
    </row>
    <row r="870">
      <c r="A870" s="60"/>
      <c r="B870" s="60"/>
      <c r="C870" s="60"/>
      <c r="D870" s="60"/>
      <c r="E870" s="60"/>
      <c r="F870" s="60"/>
    </row>
    <row r="871">
      <c r="A871" s="60"/>
      <c r="B871" s="60"/>
      <c r="C871" s="60"/>
      <c r="D871" s="60"/>
      <c r="E871" s="60"/>
      <c r="F871" s="60"/>
    </row>
    <row r="872">
      <c r="A872" s="60"/>
      <c r="B872" s="60"/>
      <c r="C872" s="60"/>
      <c r="D872" s="60"/>
      <c r="E872" s="60"/>
      <c r="F872" s="60"/>
    </row>
    <row r="873">
      <c r="A873" s="60"/>
      <c r="B873" s="60"/>
      <c r="C873" s="60"/>
      <c r="D873" s="60"/>
      <c r="E873" s="60"/>
      <c r="F873" s="60"/>
    </row>
    <row r="874">
      <c r="A874" s="60"/>
      <c r="B874" s="60"/>
      <c r="C874" s="60"/>
      <c r="D874" s="60"/>
      <c r="E874" s="60"/>
      <c r="F874" s="60"/>
    </row>
    <row r="875">
      <c r="A875" s="60"/>
      <c r="B875" s="60"/>
      <c r="C875" s="60"/>
      <c r="D875" s="60"/>
      <c r="E875" s="60"/>
      <c r="F875" s="60"/>
    </row>
    <row r="876">
      <c r="A876" s="60"/>
      <c r="B876" s="60"/>
      <c r="C876" s="60"/>
      <c r="D876" s="60"/>
      <c r="E876" s="60"/>
      <c r="F876" s="60"/>
    </row>
    <row r="877">
      <c r="A877" s="60"/>
      <c r="B877" s="60"/>
      <c r="C877" s="60"/>
      <c r="D877" s="60"/>
      <c r="E877" s="60"/>
      <c r="F877" s="60"/>
    </row>
    <row r="878">
      <c r="A878" s="60"/>
      <c r="B878" s="60"/>
      <c r="C878" s="60"/>
      <c r="D878" s="60"/>
      <c r="E878" s="60"/>
      <c r="F878" s="60"/>
    </row>
    <row r="879">
      <c r="A879" s="60"/>
      <c r="B879" s="60"/>
      <c r="C879" s="60"/>
      <c r="D879" s="60"/>
      <c r="E879" s="60"/>
      <c r="F879" s="60"/>
    </row>
    <row r="880">
      <c r="A880" s="60"/>
      <c r="B880" s="60"/>
      <c r="C880" s="60"/>
      <c r="D880" s="60"/>
      <c r="E880" s="60"/>
      <c r="F880" s="60"/>
    </row>
    <row r="881">
      <c r="A881" s="60"/>
      <c r="B881" s="60"/>
      <c r="C881" s="60"/>
      <c r="D881" s="60"/>
      <c r="E881" s="60"/>
      <c r="F881" s="60"/>
    </row>
    <row r="882">
      <c r="A882" s="60"/>
      <c r="B882" s="60"/>
      <c r="C882" s="60"/>
      <c r="D882" s="60"/>
      <c r="E882" s="60"/>
      <c r="F882" s="60"/>
    </row>
    <row r="883">
      <c r="A883" s="60"/>
      <c r="B883" s="60"/>
      <c r="C883" s="60"/>
      <c r="D883" s="60"/>
      <c r="E883" s="60"/>
      <c r="F883" s="60"/>
    </row>
    <row r="884">
      <c r="A884" s="60"/>
      <c r="B884" s="60"/>
      <c r="C884" s="60"/>
      <c r="D884" s="60"/>
      <c r="E884" s="60"/>
      <c r="F884" s="60"/>
    </row>
    <row r="885">
      <c r="A885" s="60"/>
      <c r="B885" s="60"/>
      <c r="C885" s="60"/>
      <c r="D885" s="60"/>
      <c r="E885" s="60"/>
      <c r="F885" s="60"/>
    </row>
    <row r="886">
      <c r="A886" s="60"/>
      <c r="B886" s="60"/>
      <c r="C886" s="60"/>
      <c r="D886" s="60"/>
      <c r="E886" s="60"/>
      <c r="F886" s="60"/>
    </row>
    <row r="887">
      <c r="A887" s="60"/>
      <c r="B887" s="60"/>
      <c r="C887" s="60"/>
      <c r="D887" s="60"/>
      <c r="E887" s="60"/>
      <c r="F887" s="60"/>
    </row>
    <row r="888">
      <c r="A888" s="60"/>
      <c r="B888" s="60"/>
      <c r="C888" s="60"/>
      <c r="D888" s="60"/>
      <c r="E888" s="60"/>
      <c r="F888" s="60"/>
    </row>
    <row r="889">
      <c r="A889" s="60"/>
      <c r="B889" s="60"/>
      <c r="C889" s="60"/>
      <c r="D889" s="60"/>
      <c r="E889" s="60"/>
      <c r="F889" s="60"/>
    </row>
    <row r="890">
      <c r="A890" s="60"/>
      <c r="B890" s="60"/>
      <c r="C890" s="60"/>
      <c r="D890" s="60"/>
      <c r="E890" s="60"/>
      <c r="F890" s="60"/>
    </row>
    <row r="891">
      <c r="A891" s="60"/>
      <c r="B891" s="60"/>
      <c r="C891" s="60"/>
      <c r="D891" s="60"/>
      <c r="E891" s="60"/>
      <c r="F891" s="60"/>
    </row>
    <row r="892">
      <c r="A892" s="60"/>
      <c r="B892" s="60"/>
      <c r="C892" s="60"/>
      <c r="D892" s="60"/>
      <c r="E892" s="60"/>
      <c r="F892" s="60"/>
    </row>
    <row r="893">
      <c r="A893" s="60"/>
      <c r="B893" s="60"/>
      <c r="C893" s="60"/>
      <c r="D893" s="60"/>
      <c r="E893" s="60"/>
      <c r="F893" s="60"/>
    </row>
    <row r="894">
      <c r="A894" s="60"/>
      <c r="B894" s="60"/>
      <c r="C894" s="60"/>
      <c r="D894" s="60"/>
      <c r="E894" s="60"/>
      <c r="F894" s="60"/>
    </row>
    <row r="895">
      <c r="A895" s="60"/>
      <c r="B895" s="60"/>
      <c r="C895" s="60"/>
      <c r="D895" s="60"/>
      <c r="E895" s="60"/>
      <c r="F895" s="60"/>
    </row>
    <row r="896">
      <c r="A896" s="60"/>
      <c r="B896" s="60"/>
      <c r="C896" s="60"/>
      <c r="D896" s="60"/>
      <c r="E896" s="60"/>
      <c r="F896" s="60"/>
    </row>
    <row r="897">
      <c r="A897" s="60"/>
      <c r="B897" s="60"/>
      <c r="C897" s="60"/>
      <c r="D897" s="60"/>
      <c r="E897" s="60"/>
      <c r="F897" s="60"/>
    </row>
    <row r="898">
      <c r="A898" s="60"/>
      <c r="B898" s="60"/>
      <c r="C898" s="60"/>
      <c r="D898" s="60"/>
      <c r="E898" s="60"/>
      <c r="F898" s="60"/>
    </row>
    <row r="899">
      <c r="A899" s="60"/>
      <c r="B899" s="60"/>
      <c r="C899" s="60"/>
      <c r="D899" s="60"/>
      <c r="E899" s="60"/>
      <c r="F899" s="60"/>
    </row>
    <row r="900">
      <c r="A900" s="60"/>
      <c r="B900" s="60"/>
      <c r="C900" s="60"/>
      <c r="D900" s="60"/>
      <c r="E900" s="60"/>
      <c r="F900" s="60"/>
    </row>
    <row r="901">
      <c r="A901" s="60"/>
      <c r="B901" s="60"/>
      <c r="C901" s="60"/>
      <c r="D901" s="60"/>
      <c r="E901" s="60"/>
      <c r="F901" s="60"/>
    </row>
    <row r="902">
      <c r="A902" s="60"/>
      <c r="B902" s="60"/>
      <c r="C902" s="60"/>
      <c r="D902" s="60"/>
      <c r="E902" s="60"/>
      <c r="F902" s="60"/>
    </row>
    <row r="903">
      <c r="A903" s="60"/>
      <c r="B903" s="60"/>
      <c r="C903" s="60"/>
      <c r="D903" s="60"/>
      <c r="E903" s="60"/>
      <c r="F903" s="60"/>
    </row>
    <row r="904">
      <c r="A904" s="60"/>
      <c r="B904" s="60"/>
      <c r="C904" s="60"/>
      <c r="D904" s="60"/>
      <c r="E904" s="60"/>
      <c r="F904" s="60"/>
    </row>
    <row r="905">
      <c r="A905" s="60"/>
      <c r="B905" s="60"/>
      <c r="C905" s="60"/>
      <c r="D905" s="60"/>
      <c r="E905" s="60"/>
      <c r="F905" s="60"/>
    </row>
    <row r="906">
      <c r="A906" s="60"/>
      <c r="B906" s="60"/>
      <c r="C906" s="60"/>
      <c r="D906" s="60"/>
      <c r="E906" s="60"/>
      <c r="F906" s="60"/>
    </row>
    <row r="907">
      <c r="A907" s="60"/>
      <c r="B907" s="60"/>
      <c r="C907" s="60"/>
      <c r="D907" s="60"/>
      <c r="E907" s="60"/>
      <c r="F907" s="60"/>
    </row>
    <row r="908">
      <c r="A908" s="60"/>
      <c r="B908" s="60"/>
      <c r="C908" s="60"/>
      <c r="D908" s="60"/>
      <c r="E908" s="60"/>
      <c r="F908" s="60"/>
    </row>
    <row r="909">
      <c r="A909" s="60"/>
      <c r="B909" s="60"/>
      <c r="C909" s="60"/>
      <c r="D909" s="60"/>
      <c r="E909" s="60"/>
      <c r="F909" s="60"/>
    </row>
    <row r="910">
      <c r="A910" s="60"/>
      <c r="B910" s="60"/>
      <c r="C910" s="60"/>
      <c r="D910" s="60"/>
      <c r="E910" s="60"/>
      <c r="F910" s="60"/>
    </row>
    <row r="911">
      <c r="A911" s="60"/>
      <c r="B911" s="60"/>
      <c r="C911" s="60"/>
      <c r="D911" s="60"/>
      <c r="E911" s="60"/>
      <c r="F911" s="60"/>
    </row>
    <row r="912">
      <c r="A912" s="60"/>
      <c r="B912" s="60"/>
      <c r="C912" s="60"/>
      <c r="D912" s="60"/>
      <c r="E912" s="60"/>
      <c r="F912" s="60"/>
    </row>
    <row r="913">
      <c r="A913" s="60"/>
      <c r="B913" s="60"/>
      <c r="C913" s="60"/>
      <c r="D913" s="60"/>
      <c r="E913" s="60"/>
      <c r="F913" s="60"/>
    </row>
    <row r="914">
      <c r="A914" s="60"/>
      <c r="B914" s="60"/>
      <c r="C914" s="60"/>
      <c r="D914" s="60"/>
      <c r="E914" s="60"/>
      <c r="F914" s="60"/>
    </row>
    <row r="915">
      <c r="A915" s="60"/>
      <c r="B915" s="60"/>
      <c r="C915" s="60"/>
      <c r="D915" s="60"/>
      <c r="E915" s="60"/>
      <c r="F915" s="60"/>
    </row>
    <row r="916">
      <c r="A916" s="60"/>
      <c r="B916" s="60"/>
      <c r="C916" s="60"/>
      <c r="D916" s="60"/>
      <c r="E916" s="60"/>
      <c r="F916" s="60"/>
    </row>
    <row r="917">
      <c r="A917" s="60"/>
      <c r="B917" s="60"/>
      <c r="C917" s="60"/>
      <c r="D917" s="60"/>
      <c r="E917" s="60"/>
      <c r="F917" s="60"/>
    </row>
    <row r="918">
      <c r="A918" s="60"/>
      <c r="B918" s="60"/>
      <c r="C918" s="60"/>
      <c r="D918" s="60"/>
      <c r="E918" s="60"/>
      <c r="F918" s="60"/>
    </row>
    <row r="919">
      <c r="A919" s="60"/>
      <c r="B919" s="60"/>
      <c r="C919" s="60"/>
      <c r="D919" s="60"/>
      <c r="E919" s="60"/>
      <c r="F919" s="60"/>
    </row>
    <row r="920">
      <c r="A920" s="60"/>
      <c r="B920" s="60"/>
      <c r="C920" s="60"/>
      <c r="D920" s="60"/>
      <c r="E920" s="60"/>
      <c r="F920" s="60"/>
    </row>
    <row r="921">
      <c r="A921" s="60"/>
      <c r="B921" s="60"/>
      <c r="C921" s="60"/>
      <c r="D921" s="60"/>
      <c r="E921" s="60"/>
      <c r="F921" s="60"/>
    </row>
    <row r="922">
      <c r="A922" s="60"/>
      <c r="B922" s="60"/>
      <c r="C922" s="60"/>
      <c r="D922" s="60"/>
      <c r="E922" s="60"/>
      <c r="F922" s="60"/>
    </row>
    <row r="923">
      <c r="A923" s="60"/>
      <c r="B923" s="60"/>
      <c r="C923" s="60"/>
      <c r="D923" s="60"/>
      <c r="E923" s="60"/>
      <c r="F923" s="60"/>
    </row>
    <row r="924">
      <c r="A924" s="60"/>
      <c r="B924" s="60"/>
      <c r="C924" s="60"/>
      <c r="D924" s="60"/>
      <c r="E924" s="60"/>
      <c r="F924" s="60"/>
    </row>
    <row r="925">
      <c r="A925" s="60"/>
      <c r="B925" s="60"/>
      <c r="C925" s="60"/>
      <c r="D925" s="60"/>
      <c r="E925" s="60"/>
      <c r="F925" s="60"/>
    </row>
    <row r="926">
      <c r="A926" s="60"/>
      <c r="B926" s="60"/>
      <c r="C926" s="60"/>
      <c r="D926" s="60"/>
      <c r="E926" s="60"/>
      <c r="F926" s="60"/>
    </row>
    <row r="927">
      <c r="A927" s="60"/>
      <c r="B927" s="60"/>
      <c r="C927" s="60"/>
      <c r="D927" s="60"/>
      <c r="E927" s="60"/>
      <c r="F927" s="60"/>
    </row>
    <row r="928">
      <c r="A928" s="60"/>
      <c r="B928" s="60"/>
      <c r="C928" s="60"/>
      <c r="D928" s="60"/>
      <c r="E928" s="60"/>
      <c r="F928" s="60"/>
    </row>
    <row r="929">
      <c r="A929" s="60"/>
      <c r="B929" s="60"/>
      <c r="C929" s="60"/>
      <c r="D929" s="60"/>
      <c r="E929" s="60"/>
      <c r="F929" s="60"/>
    </row>
    <row r="930">
      <c r="A930" s="60"/>
      <c r="B930" s="60"/>
      <c r="C930" s="60"/>
      <c r="D930" s="60"/>
      <c r="E930" s="60"/>
      <c r="F930" s="60"/>
    </row>
    <row r="931">
      <c r="A931" s="60"/>
      <c r="B931" s="60"/>
      <c r="C931" s="60"/>
      <c r="D931" s="60"/>
      <c r="E931" s="60"/>
      <c r="F931" s="60"/>
    </row>
    <row r="932">
      <c r="A932" s="60"/>
      <c r="B932" s="60"/>
      <c r="C932" s="60"/>
      <c r="D932" s="60"/>
      <c r="E932" s="60"/>
      <c r="F932" s="60"/>
    </row>
    <row r="933">
      <c r="A933" s="60"/>
      <c r="B933" s="60"/>
      <c r="C933" s="60"/>
      <c r="D933" s="60"/>
      <c r="E933" s="60"/>
      <c r="F933" s="60"/>
    </row>
    <row r="934">
      <c r="A934" s="60"/>
      <c r="B934" s="60"/>
      <c r="C934" s="60"/>
      <c r="D934" s="60"/>
      <c r="E934" s="60"/>
      <c r="F934" s="60"/>
    </row>
    <row r="935">
      <c r="A935" s="60"/>
      <c r="B935" s="60"/>
      <c r="C935" s="60"/>
      <c r="D935" s="60"/>
      <c r="E935" s="60"/>
      <c r="F935" s="60"/>
    </row>
    <row r="936">
      <c r="A936" s="60"/>
      <c r="B936" s="60"/>
      <c r="C936" s="60"/>
      <c r="D936" s="60"/>
      <c r="E936" s="60"/>
      <c r="F936" s="60"/>
    </row>
    <row r="937">
      <c r="A937" s="60"/>
      <c r="B937" s="60"/>
      <c r="C937" s="60"/>
      <c r="D937" s="60"/>
      <c r="E937" s="60"/>
      <c r="F937" s="60"/>
    </row>
    <row r="938">
      <c r="A938" s="60"/>
      <c r="B938" s="60"/>
      <c r="C938" s="60"/>
      <c r="D938" s="60"/>
      <c r="E938" s="60"/>
      <c r="F938" s="60"/>
    </row>
    <row r="939">
      <c r="A939" s="60"/>
      <c r="B939" s="60"/>
      <c r="C939" s="60"/>
      <c r="D939" s="60"/>
      <c r="E939" s="60"/>
      <c r="F939" s="60"/>
    </row>
    <row r="940">
      <c r="A940" s="60"/>
      <c r="B940" s="60"/>
      <c r="C940" s="60"/>
      <c r="D940" s="60"/>
      <c r="E940" s="60"/>
      <c r="F940" s="60"/>
    </row>
    <row r="941">
      <c r="A941" s="60"/>
      <c r="B941" s="60"/>
      <c r="C941" s="60"/>
      <c r="D941" s="60"/>
      <c r="E941" s="60"/>
      <c r="F941" s="60"/>
    </row>
    <row r="942">
      <c r="A942" s="60"/>
      <c r="B942" s="60"/>
      <c r="C942" s="60"/>
      <c r="D942" s="60"/>
      <c r="E942" s="60"/>
      <c r="F942" s="60"/>
    </row>
    <row r="943">
      <c r="A943" s="60"/>
      <c r="B943" s="60"/>
      <c r="C943" s="60"/>
      <c r="D943" s="60"/>
      <c r="E943" s="60"/>
      <c r="F943" s="60"/>
    </row>
    <row r="944">
      <c r="A944" s="60"/>
      <c r="B944" s="60"/>
      <c r="C944" s="60"/>
      <c r="D944" s="60"/>
      <c r="E944" s="60"/>
      <c r="F944" s="60"/>
    </row>
    <row r="945">
      <c r="A945" s="60"/>
      <c r="B945" s="60"/>
      <c r="C945" s="60"/>
      <c r="D945" s="60"/>
      <c r="E945" s="60"/>
      <c r="F945" s="60"/>
    </row>
    <row r="946">
      <c r="A946" s="60"/>
      <c r="B946" s="60"/>
      <c r="C946" s="60"/>
      <c r="D946" s="60"/>
      <c r="E946" s="60"/>
      <c r="F946" s="60"/>
    </row>
    <row r="947">
      <c r="A947" s="60"/>
      <c r="B947" s="60"/>
      <c r="C947" s="60"/>
      <c r="D947" s="60"/>
      <c r="E947" s="60"/>
      <c r="F947" s="60"/>
    </row>
    <row r="948">
      <c r="A948" s="60"/>
      <c r="B948" s="60"/>
      <c r="C948" s="60"/>
      <c r="D948" s="60"/>
      <c r="E948" s="60"/>
      <c r="F948" s="60"/>
    </row>
    <row r="949">
      <c r="A949" s="60"/>
      <c r="B949" s="60"/>
      <c r="C949" s="60"/>
      <c r="D949" s="60"/>
      <c r="E949" s="60"/>
      <c r="F949" s="60"/>
    </row>
    <row r="950">
      <c r="A950" s="60"/>
      <c r="B950" s="60"/>
      <c r="C950" s="60"/>
      <c r="D950" s="60"/>
      <c r="E950" s="60"/>
      <c r="F950" s="60"/>
    </row>
    <row r="951">
      <c r="A951" s="60"/>
      <c r="B951" s="60"/>
      <c r="C951" s="60"/>
      <c r="D951" s="60"/>
      <c r="E951" s="60"/>
      <c r="F951" s="60"/>
    </row>
    <row r="952">
      <c r="A952" s="60"/>
      <c r="B952" s="60"/>
      <c r="C952" s="60"/>
      <c r="D952" s="60"/>
      <c r="E952" s="60"/>
      <c r="F952" s="60"/>
    </row>
    <row r="953">
      <c r="A953" s="60"/>
      <c r="B953" s="60"/>
      <c r="C953" s="60"/>
      <c r="D953" s="60"/>
      <c r="E953" s="60"/>
      <c r="F953" s="60"/>
    </row>
    <row r="954">
      <c r="A954" s="60"/>
      <c r="B954" s="60"/>
      <c r="C954" s="60"/>
      <c r="D954" s="60"/>
      <c r="E954" s="60"/>
      <c r="F954" s="60"/>
    </row>
    <row r="955">
      <c r="A955" s="60"/>
      <c r="B955" s="60"/>
      <c r="C955" s="60"/>
      <c r="D955" s="60"/>
      <c r="E955" s="60"/>
      <c r="F955" s="60"/>
    </row>
    <row r="956">
      <c r="A956" s="60"/>
      <c r="B956" s="60"/>
      <c r="C956" s="60"/>
      <c r="D956" s="60"/>
      <c r="E956" s="60"/>
      <c r="F956" s="60"/>
    </row>
    <row r="957">
      <c r="A957" s="60"/>
      <c r="B957" s="60"/>
      <c r="C957" s="60"/>
      <c r="D957" s="60"/>
      <c r="E957" s="60"/>
      <c r="F957" s="60"/>
    </row>
    <row r="958">
      <c r="A958" s="60"/>
      <c r="B958" s="60"/>
      <c r="C958" s="60"/>
      <c r="D958" s="60"/>
      <c r="E958" s="60"/>
      <c r="F958" s="60"/>
    </row>
    <row r="959">
      <c r="A959" s="60"/>
      <c r="B959" s="60"/>
      <c r="C959" s="60"/>
      <c r="D959" s="60"/>
      <c r="E959" s="60"/>
      <c r="F959" s="60"/>
    </row>
    <row r="960">
      <c r="A960" s="60"/>
      <c r="B960" s="60"/>
      <c r="C960" s="60"/>
      <c r="D960" s="60"/>
      <c r="E960" s="60"/>
      <c r="F960" s="60"/>
    </row>
    <row r="961">
      <c r="A961" s="60"/>
      <c r="B961" s="60"/>
      <c r="C961" s="60"/>
      <c r="D961" s="60"/>
      <c r="E961" s="60"/>
      <c r="F961" s="60"/>
    </row>
    <row r="962">
      <c r="A962" s="60"/>
      <c r="B962" s="60"/>
      <c r="C962" s="60"/>
      <c r="D962" s="60"/>
      <c r="E962" s="60"/>
      <c r="F962" s="60"/>
    </row>
    <row r="963">
      <c r="A963" s="60"/>
      <c r="B963" s="60"/>
      <c r="C963" s="60"/>
      <c r="D963" s="60"/>
      <c r="E963" s="60"/>
      <c r="F963" s="60"/>
    </row>
    <row r="964">
      <c r="A964" s="60"/>
      <c r="B964" s="60"/>
      <c r="C964" s="60"/>
      <c r="D964" s="60"/>
      <c r="E964" s="60"/>
      <c r="F964" s="60"/>
    </row>
    <row r="965">
      <c r="A965" s="60"/>
      <c r="B965" s="60"/>
      <c r="C965" s="60"/>
      <c r="D965" s="60"/>
      <c r="E965" s="60"/>
      <c r="F965" s="60"/>
    </row>
    <row r="966">
      <c r="A966" s="60"/>
      <c r="B966" s="60"/>
      <c r="C966" s="60"/>
      <c r="D966" s="60"/>
      <c r="E966" s="60"/>
      <c r="F966" s="60"/>
    </row>
    <row r="967">
      <c r="A967" s="60"/>
      <c r="B967" s="60"/>
      <c r="C967" s="60"/>
      <c r="D967" s="60"/>
      <c r="E967" s="60"/>
      <c r="F967" s="60"/>
    </row>
    <row r="968">
      <c r="A968" s="60"/>
      <c r="B968" s="60"/>
      <c r="C968" s="60"/>
      <c r="D968" s="60"/>
      <c r="E968" s="60"/>
      <c r="F968" s="60"/>
    </row>
    <row r="969">
      <c r="A969" s="60"/>
      <c r="B969" s="60"/>
      <c r="C969" s="60"/>
      <c r="D969" s="60"/>
      <c r="E969" s="60"/>
      <c r="F969" s="60"/>
    </row>
    <row r="970">
      <c r="A970" s="60"/>
      <c r="B970" s="60"/>
      <c r="C970" s="60"/>
      <c r="D970" s="60"/>
      <c r="E970" s="60"/>
      <c r="F970" s="60"/>
    </row>
    <row r="971">
      <c r="A971" s="60"/>
      <c r="B971" s="60"/>
      <c r="C971" s="60"/>
      <c r="D971" s="60"/>
      <c r="E971" s="60"/>
      <c r="F971" s="60"/>
    </row>
    <row r="972">
      <c r="A972" s="60"/>
      <c r="B972" s="60"/>
      <c r="C972" s="60"/>
      <c r="D972" s="60"/>
      <c r="E972" s="60"/>
      <c r="F972" s="60"/>
    </row>
    <row r="973">
      <c r="A973" s="60"/>
      <c r="B973" s="60"/>
      <c r="C973" s="60"/>
      <c r="D973" s="60"/>
      <c r="E973" s="60"/>
      <c r="F973" s="60"/>
    </row>
    <row r="974">
      <c r="A974" s="60"/>
      <c r="B974" s="60"/>
      <c r="C974" s="60"/>
      <c r="D974" s="60"/>
      <c r="E974" s="60"/>
      <c r="F974" s="60"/>
    </row>
    <row r="975">
      <c r="A975" s="60"/>
      <c r="B975" s="60"/>
      <c r="C975" s="60"/>
      <c r="D975" s="60"/>
      <c r="E975" s="60"/>
      <c r="F975" s="60"/>
    </row>
    <row r="976">
      <c r="A976" s="60"/>
      <c r="B976" s="60"/>
      <c r="C976" s="60"/>
      <c r="D976" s="60"/>
      <c r="E976" s="60"/>
      <c r="F976" s="60"/>
    </row>
    <row r="977">
      <c r="A977" s="60"/>
      <c r="B977" s="60"/>
      <c r="C977" s="60"/>
      <c r="D977" s="60"/>
      <c r="E977" s="60"/>
      <c r="F977" s="60"/>
    </row>
    <row r="978">
      <c r="A978" s="60"/>
      <c r="B978" s="60"/>
      <c r="C978" s="60"/>
      <c r="D978" s="60"/>
      <c r="E978" s="60"/>
      <c r="F978" s="60"/>
    </row>
    <row r="979">
      <c r="A979" s="60"/>
      <c r="B979" s="60"/>
      <c r="C979" s="60"/>
      <c r="D979" s="60"/>
      <c r="E979" s="60"/>
      <c r="F979" s="60"/>
    </row>
    <row r="980">
      <c r="A980" s="60"/>
      <c r="B980" s="60"/>
      <c r="C980" s="60"/>
      <c r="D980" s="60"/>
      <c r="E980" s="60"/>
      <c r="F980" s="60"/>
    </row>
    <row r="981">
      <c r="A981" s="60"/>
      <c r="B981" s="60"/>
      <c r="C981" s="60"/>
      <c r="D981" s="60"/>
      <c r="E981" s="60"/>
      <c r="F981" s="60"/>
    </row>
    <row r="982">
      <c r="A982" s="60"/>
      <c r="B982" s="60"/>
      <c r="C982" s="60"/>
      <c r="D982" s="60"/>
      <c r="E982" s="60"/>
      <c r="F982" s="60"/>
    </row>
    <row r="983">
      <c r="A983" s="60"/>
      <c r="B983" s="60"/>
      <c r="C983" s="60"/>
      <c r="D983" s="60"/>
      <c r="E983" s="60"/>
      <c r="F983" s="60"/>
    </row>
    <row r="984">
      <c r="A984" s="60"/>
      <c r="B984" s="60"/>
      <c r="C984" s="60"/>
      <c r="D984" s="60"/>
      <c r="E984" s="60"/>
      <c r="F984" s="60"/>
    </row>
    <row r="985">
      <c r="A985" s="60"/>
      <c r="B985" s="60"/>
      <c r="C985" s="60"/>
      <c r="D985" s="60"/>
      <c r="E985" s="60"/>
      <c r="F985" s="60"/>
    </row>
    <row r="986">
      <c r="A986" s="60"/>
      <c r="B986" s="60"/>
      <c r="C986" s="60"/>
      <c r="D986" s="60"/>
      <c r="E986" s="60"/>
      <c r="F986" s="60"/>
    </row>
    <row r="987">
      <c r="A987" s="60"/>
      <c r="B987" s="60"/>
      <c r="C987" s="60"/>
      <c r="D987" s="60"/>
      <c r="E987" s="60"/>
      <c r="F987" s="60"/>
    </row>
    <row r="988">
      <c r="A988" s="60"/>
      <c r="B988" s="60"/>
      <c r="C988" s="60"/>
      <c r="D988" s="60"/>
      <c r="E988" s="60"/>
      <c r="F988" s="60"/>
    </row>
    <row r="989">
      <c r="A989" s="60"/>
      <c r="B989" s="60"/>
      <c r="C989" s="60"/>
      <c r="D989" s="60"/>
      <c r="E989" s="60"/>
      <c r="F989" s="60"/>
    </row>
    <row r="990">
      <c r="A990" s="60"/>
      <c r="B990" s="60"/>
      <c r="C990" s="60"/>
      <c r="D990" s="60"/>
      <c r="E990" s="60"/>
      <c r="F990" s="60"/>
    </row>
    <row r="991">
      <c r="A991" s="60"/>
      <c r="B991" s="60"/>
      <c r="C991" s="60"/>
      <c r="D991" s="60"/>
      <c r="E991" s="60"/>
      <c r="F991" s="60"/>
    </row>
    <row r="992">
      <c r="A992" s="60"/>
      <c r="B992" s="60"/>
      <c r="C992" s="60"/>
      <c r="D992" s="60"/>
      <c r="E992" s="60"/>
      <c r="F992" s="60"/>
    </row>
    <row r="993">
      <c r="A993" s="60"/>
      <c r="B993" s="60"/>
      <c r="C993" s="60"/>
      <c r="D993" s="60"/>
      <c r="E993" s="60"/>
      <c r="F993" s="60"/>
    </row>
    <row r="994">
      <c r="A994" s="60"/>
      <c r="B994" s="60"/>
      <c r="C994" s="60"/>
      <c r="D994" s="60"/>
      <c r="E994" s="60"/>
      <c r="F994" s="60"/>
    </row>
    <row r="995">
      <c r="A995" s="60"/>
      <c r="B995" s="60"/>
      <c r="C995" s="60"/>
      <c r="D995" s="60"/>
      <c r="E995" s="60"/>
      <c r="F995" s="60"/>
    </row>
    <row r="996">
      <c r="A996" s="60"/>
      <c r="B996" s="60"/>
      <c r="C996" s="60"/>
      <c r="D996" s="60"/>
      <c r="E996" s="60"/>
      <c r="F996" s="60"/>
    </row>
    <row r="997">
      <c r="A997" s="60"/>
      <c r="B997" s="60"/>
      <c r="C997" s="60"/>
      <c r="D997" s="60"/>
      <c r="E997" s="60"/>
      <c r="F997" s="60"/>
    </row>
    <row r="998">
      <c r="A998" s="60"/>
      <c r="B998" s="60"/>
      <c r="C998" s="60"/>
      <c r="D998" s="60"/>
      <c r="E998" s="60"/>
      <c r="F998" s="60"/>
    </row>
    <row r="999">
      <c r="A999" s="60"/>
      <c r="B999" s="60"/>
      <c r="C999" s="60"/>
      <c r="D999" s="60"/>
      <c r="E999" s="60"/>
      <c r="F999" s="60"/>
    </row>
    <row r="1000">
      <c r="A1000" s="60"/>
      <c r="B1000" s="60"/>
      <c r="C1000" s="60"/>
      <c r="D1000" s="60"/>
      <c r="E1000" s="60"/>
      <c r="F1000" s="60"/>
    </row>
  </sheetData>
  <autoFilter ref="$A$1:$W$1000">
    <sortState ref="A1:W1000">
      <sortCondition ref="F1:F1000"/>
    </sortState>
  </autoFilter>
  <conditionalFormatting sqref="G1:G1000">
    <cfRule type="beginsWith" dxfId="1" priority="1" operator="beginsWith" text="N">
      <formula>LEFT((G1),LEN("N"))=("N")</formula>
    </cfRule>
  </conditionalFormatting>
  <conditionalFormatting sqref="G1:G1000">
    <cfRule type="beginsWith" dxfId="0" priority="2" operator="beginsWith" text="Y">
      <formula>LEFT((G1),LEN("Y"))=("Y")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2" width="28.5"/>
    <col customWidth="1" min="5" max="5" width="17.25"/>
    <col customWidth="1" min="6" max="6" width="18.0"/>
    <col customWidth="1" min="16" max="17" width="12.25"/>
    <col customWidth="1" min="18" max="18" width="14.63"/>
  </cols>
  <sheetData>
    <row r="1">
      <c r="A1" s="54" t="s">
        <v>2928</v>
      </c>
      <c r="B1" s="54" t="s">
        <v>2929</v>
      </c>
      <c r="C1" s="54" t="s">
        <v>3851</v>
      </c>
      <c r="D1" s="54" t="s">
        <v>3852</v>
      </c>
      <c r="E1" s="54" t="s">
        <v>3853</v>
      </c>
      <c r="F1" s="54" t="s">
        <v>3854</v>
      </c>
      <c r="G1" s="54" t="s">
        <v>3855</v>
      </c>
      <c r="H1" s="54" t="s">
        <v>3856</v>
      </c>
      <c r="I1" s="54" t="s">
        <v>3857</v>
      </c>
      <c r="J1" s="54" t="s">
        <v>3858</v>
      </c>
      <c r="K1" s="54" t="s">
        <v>3859</v>
      </c>
      <c r="L1" s="54" t="s">
        <v>3860</v>
      </c>
      <c r="M1" s="54" t="s">
        <v>3861</v>
      </c>
      <c r="N1" s="54" t="s">
        <v>3862</v>
      </c>
      <c r="O1" s="54" t="s">
        <v>3863</v>
      </c>
      <c r="P1" s="66" t="s">
        <v>3337</v>
      </c>
      <c r="Q1" s="66" t="s">
        <v>3338</v>
      </c>
      <c r="R1" s="66" t="s">
        <v>1462</v>
      </c>
      <c r="S1" s="66" t="s">
        <v>1461</v>
      </c>
      <c r="T1" s="67" t="s">
        <v>1460</v>
      </c>
    </row>
    <row r="2">
      <c r="A2" s="58" t="s">
        <v>3864</v>
      </c>
      <c r="B2" s="58" t="s">
        <v>3865</v>
      </c>
      <c r="C2" s="58" t="s">
        <v>3866</v>
      </c>
      <c r="D2" s="58" t="s">
        <v>3867</v>
      </c>
      <c r="E2" s="68">
        <v>45170.64769675926</v>
      </c>
      <c r="F2" s="58" t="s">
        <v>3342</v>
      </c>
      <c r="G2" s="58" t="s">
        <v>3342</v>
      </c>
      <c r="H2" s="58" t="s">
        <v>1490</v>
      </c>
      <c r="I2" s="58" t="s">
        <v>967</v>
      </c>
      <c r="J2" s="68">
        <v>45170.64534722222</v>
      </c>
      <c r="K2" s="58" t="s">
        <v>3868</v>
      </c>
      <c r="L2" s="58">
        <v>0.0</v>
      </c>
      <c r="M2" s="58" t="s">
        <v>3869</v>
      </c>
      <c r="N2" s="58">
        <v>2.0</v>
      </c>
      <c r="O2" s="58" t="b">
        <v>0</v>
      </c>
      <c r="P2" s="58"/>
      <c r="Q2" s="58" t="s">
        <v>3343</v>
      </c>
      <c r="R2" s="59" t="str">
        <f>IF(COUNTIF('Active Employees'!B:B, B2)&gt;0,"Y","N")</f>
        <v>N</v>
      </c>
      <c r="S2" s="58" t="s">
        <v>3870</v>
      </c>
      <c r="T2" s="58"/>
    </row>
    <row r="3">
      <c r="A3" s="58" t="s">
        <v>3871</v>
      </c>
      <c r="B3" s="58" t="s">
        <v>3872</v>
      </c>
      <c r="C3" s="58" t="s">
        <v>3866</v>
      </c>
      <c r="D3" s="58" t="s">
        <v>3867</v>
      </c>
      <c r="E3" s="68">
        <v>45310.15886574074</v>
      </c>
      <c r="F3" s="58" t="s">
        <v>3342</v>
      </c>
      <c r="G3" s="58" t="s">
        <v>3342</v>
      </c>
      <c r="H3" s="58" t="s">
        <v>771</v>
      </c>
      <c r="I3" s="58" t="s">
        <v>856</v>
      </c>
      <c r="J3" s="68">
        <v>45308.662303240744</v>
      </c>
      <c r="K3" s="58" t="s">
        <v>3868</v>
      </c>
      <c r="L3" s="58">
        <v>0.0</v>
      </c>
      <c r="M3" s="58" t="s">
        <v>3873</v>
      </c>
      <c r="N3" s="58">
        <v>2.0</v>
      </c>
      <c r="O3" s="58" t="b">
        <v>1</v>
      </c>
      <c r="P3" s="58"/>
      <c r="Q3" s="58" t="s">
        <v>3343</v>
      </c>
      <c r="R3" s="59" t="str">
        <f>IF(COUNTIF('Active Employees'!B:B, B3)&gt;0,"Y","N")</f>
        <v>N</v>
      </c>
      <c r="S3" s="58" t="s">
        <v>3874</v>
      </c>
      <c r="T3" s="58"/>
    </row>
    <row r="4">
      <c r="A4" s="58" t="s">
        <v>3875</v>
      </c>
      <c r="B4" s="58" t="s">
        <v>3876</v>
      </c>
      <c r="C4" s="58" t="s">
        <v>3866</v>
      </c>
      <c r="D4" s="58" t="s">
        <v>3867</v>
      </c>
      <c r="E4" s="68">
        <v>45799.774513888886</v>
      </c>
      <c r="F4" s="58" t="s">
        <v>3342</v>
      </c>
      <c r="G4" s="58" t="s">
        <v>3342</v>
      </c>
      <c r="H4" s="58" t="s">
        <v>3342</v>
      </c>
      <c r="I4" s="58" t="s">
        <v>3877</v>
      </c>
      <c r="J4" s="58" t="s">
        <v>3342</v>
      </c>
      <c r="K4" s="58" t="s">
        <v>3868</v>
      </c>
      <c r="L4" s="58">
        <v>0.0</v>
      </c>
      <c r="M4" s="58" t="s">
        <v>3878</v>
      </c>
      <c r="N4" s="58">
        <v>2.0</v>
      </c>
      <c r="O4" s="58" t="b">
        <v>1</v>
      </c>
      <c r="P4" s="58"/>
      <c r="Q4" s="58" t="s">
        <v>3343</v>
      </c>
      <c r="R4" s="59" t="str">
        <f>IF(COUNTIF('Active Employees'!B:B, B4)&gt;0,"Y","N")</f>
        <v>N</v>
      </c>
      <c r="S4" s="58" t="s">
        <v>3874</v>
      </c>
      <c r="T4" s="58"/>
    </row>
    <row r="5">
      <c r="A5" s="58" t="s">
        <v>3879</v>
      </c>
      <c r="B5" s="58" t="s">
        <v>3880</v>
      </c>
      <c r="C5" s="58" t="s">
        <v>3866</v>
      </c>
      <c r="D5" s="58" t="s">
        <v>3867</v>
      </c>
      <c r="E5" s="68">
        <v>45854.89052083333</v>
      </c>
      <c r="F5" s="58" t="s">
        <v>3342</v>
      </c>
      <c r="G5" s="58" t="s">
        <v>3342</v>
      </c>
      <c r="H5" s="58" t="s">
        <v>3342</v>
      </c>
      <c r="I5" s="58" t="s">
        <v>3877</v>
      </c>
      <c r="J5" s="58" t="s">
        <v>3342</v>
      </c>
      <c r="K5" s="58" t="s">
        <v>3868</v>
      </c>
      <c r="L5" s="58">
        <v>0.0</v>
      </c>
      <c r="M5" s="58" t="s">
        <v>3878</v>
      </c>
      <c r="N5" s="58">
        <v>2.0</v>
      </c>
      <c r="O5" s="58" t="b">
        <v>1</v>
      </c>
      <c r="P5" s="58"/>
      <c r="Q5" s="58" t="s">
        <v>3343</v>
      </c>
      <c r="R5" s="59" t="str">
        <f>IF(COUNTIF('Active Employees'!B:B, B5)&gt;0,"Y","N")</f>
        <v>N</v>
      </c>
      <c r="S5" s="58" t="s">
        <v>3874</v>
      </c>
      <c r="T5" s="58"/>
    </row>
    <row r="6">
      <c r="A6" s="58" t="s">
        <v>3881</v>
      </c>
      <c r="B6" s="58" t="s">
        <v>3882</v>
      </c>
      <c r="C6" s="58" t="s">
        <v>3866</v>
      </c>
      <c r="D6" s="58" t="s">
        <v>3867</v>
      </c>
      <c r="E6" s="68">
        <v>45799.77452546296</v>
      </c>
      <c r="F6" s="58" t="s">
        <v>3342</v>
      </c>
      <c r="G6" s="58" t="s">
        <v>3342</v>
      </c>
      <c r="H6" s="58" t="s">
        <v>3342</v>
      </c>
      <c r="I6" s="58" t="s">
        <v>3877</v>
      </c>
      <c r="J6" s="58" t="s">
        <v>3342</v>
      </c>
      <c r="K6" s="58" t="s">
        <v>3868</v>
      </c>
      <c r="L6" s="58">
        <v>0.0</v>
      </c>
      <c r="M6" s="58" t="s">
        <v>3878</v>
      </c>
      <c r="N6" s="58">
        <v>2.0</v>
      </c>
      <c r="O6" s="58" t="b">
        <v>1</v>
      </c>
      <c r="P6" s="58"/>
      <c r="Q6" s="58" t="s">
        <v>3343</v>
      </c>
      <c r="R6" s="59" t="str">
        <f>IF(COUNTIF('Active Employees'!B:B, B6)&gt;0,"Y","N")</f>
        <v>N</v>
      </c>
      <c r="S6" s="58" t="s">
        <v>3874</v>
      </c>
      <c r="T6" s="58"/>
    </row>
    <row r="7">
      <c r="A7" s="58" t="s">
        <v>3883</v>
      </c>
      <c r="B7" s="58" t="s">
        <v>3884</v>
      </c>
      <c r="C7" s="58" t="s">
        <v>3866</v>
      </c>
      <c r="D7" s="58" t="s">
        <v>3867</v>
      </c>
      <c r="E7" s="68">
        <v>45922.37986111111</v>
      </c>
      <c r="F7" s="58" t="s">
        <v>3342</v>
      </c>
      <c r="G7" s="58" t="s">
        <v>3342</v>
      </c>
      <c r="H7" s="58" t="s">
        <v>3342</v>
      </c>
      <c r="I7" s="58" t="s">
        <v>3877</v>
      </c>
      <c r="J7" s="58" t="s">
        <v>3342</v>
      </c>
      <c r="K7" s="58" t="s">
        <v>3868</v>
      </c>
      <c r="L7" s="58">
        <v>0.0</v>
      </c>
      <c r="M7" s="58" t="s">
        <v>3885</v>
      </c>
      <c r="N7" s="58">
        <v>2.0</v>
      </c>
      <c r="O7" s="58" t="b">
        <v>1</v>
      </c>
      <c r="P7" s="58"/>
      <c r="Q7" s="58" t="s">
        <v>3343</v>
      </c>
      <c r="R7" s="59" t="str">
        <f>IF(COUNTIF('Active Employees'!B:B, B7)&gt;0,"Y","N")</f>
        <v>N</v>
      </c>
      <c r="S7" s="58" t="s">
        <v>3874</v>
      </c>
      <c r="T7" s="58"/>
    </row>
    <row r="8">
      <c r="A8" s="58" t="s">
        <v>3886</v>
      </c>
      <c r="B8" s="58" t="s">
        <v>3887</v>
      </c>
      <c r="C8" s="58" t="s">
        <v>3866</v>
      </c>
      <c r="D8" s="58" t="s">
        <v>3867</v>
      </c>
      <c r="E8" s="68">
        <v>45929.60899305555</v>
      </c>
      <c r="F8" s="58" t="s">
        <v>3342</v>
      </c>
      <c r="G8" s="58" t="s">
        <v>3342</v>
      </c>
      <c r="H8" s="58" t="s">
        <v>3342</v>
      </c>
      <c r="I8" s="58" t="s">
        <v>3877</v>
      </c>
      <c r="J8" s="58" t="s">
        <v>3342</v>
      </c>
      <c r="K8" s="58" t="s">
        <v>3868</v>
      </c>
      <c r="L8" s="58">
        <v>0.0</v>
      </c>
      <c r="M8" s="58" t="s">
        <v>3888</v>
      </c>
      <c r="N8" s="58">
        <v>2.0</v>
      </c>
      <c r="O8" s="58" t="b">
        <v>1</v>
      </c>
      <c r="P8" s="58"/>
      <c r="Q8" s="58" t="s">
        <v>3343</v>
      </c>
      <c r="R8" s="59" t="str">
        <f>IF(COUNTIF('Active Employees'!B:B, B8)&gt;0,"Y","N")</f>
        <v>N</v>
      </c>
      <c r="S8" s="58" t="s">
        <v>3874</v>
      </c>
      <c r="T8" s="58"/>
    </row>
    <row r="9">
      <c r="A9" s="58" t="s">
        <v>3889</v>
      </c>
      <c r="B9" s="58" t="s">
        <v>3890</v>
      </c>
      <c r="C9" s="58" t="s">
        <v>3866</v>
      </c>
      <c r="D9" s="58" t="s">
        <v>3867</v>
      </c>
      <c r="E9" s="68">
        <v>45799.77439814815</v>
      </c>
      <c r="F9" s="58" t="s">
        <v>3342</v>
      </c>
      <c r="G9" s="58" t="s">
        <v>3342</v>
      </c>
      <c r="H9" s="58" t="s">
        <v>3342</v>
      </c>
      <c r="I9" s="58" t="s">
        <v>3877</v>
      </c>
      <c r="J9" s="58" t="s">
        <v>3342</v>
      </c>
      <c r="K9" s="58" t="s">
        <v>3868</v>
      </c>
      <c r="L9" s="58">
        <v>0.0</v>
      </c>
      <c r="M9" s="58" t="s">
        <v>3891</v>
      </c>
      <c r="N9" s="58">
        <v>3.0</v>
      </c>
      <c r="O9" s="58" t="b">
        <v>1</v>
      </c>
      <c r="P9" s="58"/>
      <c r="Q9" s="58" t="s">
        <v>3343</v>
      </c>
      <c r="R9" s="59" t="str">
        <f>IF(COUNTIF('Active Employees'!B:B, B9)&gt;0,"Y","N")</f>
        <v>N</v>
      </c>
      <c r="S9" s="58" t="s">
        <v>3874</v>
      </c>
      <c r="T9" s="58"/>
    </row>
    <row r="10">
      <c r="A10" s="58" t="s">
        <v>3094</v>
      </c>
      <c r="B10" s="58" t="s">
        <v>3095</v>
      </c>
      <c r="C10" s="58" t="s">
        <v>3866</v>
      </c>
      <c r="D10" s="58" t="s">
        <v>3867</v>
      </c>
      <c r="E10" s="68">
        <v>45799.77452546296</v>
      </c>
      <c r="F10" s="58" t="s">
        <v>3342</v>
      </c>
      <c r="G10" s="58" t="s">
        <v>3342</v>
      </c>
      <c r="H10" s="58" t="s">
        <v>3342</v>
      </c>
      <c r="I10" s="58" t="s">
        <v>3877</v>
      </c>
      <c r="J10" s="58" t="s">
        <v>3342</v>
      </c>
      <c r="K10" s="58" t="s">
        <v>3868</v>
      </c>
      <c r="L10" s="58">
        <v>0.0</v>
      </c>
      <c r="M10" s="58" t="s">
        <v>3878</v>
      </c>
      <c r="N10" s="58">
        <v>2.0</v>
      </c>
      <c r="O10" s="58" t="b">
        <v>1</v>
      </c>
      <c r="P10" s="58"/>
      <c r="Q10" s="58" t="s">
        <v>3343</v>
      </c>
      <c r="R10" s="59" t="str">
        <f>IF(COUNTIF('Active Employees'!B:B, B10)&gt;0,"Y","N")</f>
        <v>N</v>
      </c>
      <c r="S10" s="58" t="s">
        <v>3874</v>
      </c>
      <c r="T10" s="58"/>
    </row>
    <row r="11">
      <c r="A11" s="58" t="s">
        <v>3892</v>
      </c>
      <c r="B11" s="58" t="s">
        <v>3371</v>
      </c>
      <c r="C11" s="58" t="s">
        <v>3866</v>
      </c>
      <c r="D11" s="58" t="s">
        <v>3867</v>
      </c>
      <c r="E11" s="68">
        <v>45799.774513888886</v>
      </c>
      <c r="F11" s="58" t="s">
        <v>3342</v>
      </c>
      <c r="G11" s="58" t="s">
        <v>3342</v>
      </c>
      <c r="H11" s="58" t="s">
        <v>3342</v>
      </c>
      <c r="I11" s="58" t="s">
        <v>3877</v>
      </c>
      <c r="J11" s="58" t="s">
        <v>3342</v>
      </c>
      <c r="K11" s="58" t="s">
        <v>3868</v>
      </c>
      <c r="L11" s="58">
        <v>0.0</v>
      </c>
      <c r="M11" s="58" t="s">
        <v>3878</v>
      </c>
      <c r="N11" s="58">
        <v>2.0</v>
      </c>
      <c r="O11" s="58" t="b">
        <v>1</v>
      </c>
      <c r="P11" s="58"/>
      <c r="Q11" s="58" t="s">
        <v>3343</v>
      </c>
      <c r="R11" s="59" t="str">
        <f>IF(COUNTIF('Active Employees'!B:B, B11)&gt;0,"Y","N")</f>
        <v>N</v>
      </c>
      <c r="S11" s="58" t="s">
        <v>3874</v>
      </c>
      <c r="T11" s="58"/>
    </row>
    <row r="12">
      <c r="A12" s="58" t="s">
        <v>3893</v>
      </c>
      <c r="B12" s="58" t="s">
        <v>3894</v>
      </c>
      <c r="C12" s="58" t="s">
        <v>3866</v>
      </c>
      <c r="D12" s="58" t="s">
        <v>3867</v>
      </c>
      <c r="E12" s="68">
        <v>45799.7752662037</v>
      </c>
      <c r="F12" s="58" t="s">
        <v>3342</v>
      </c>
      <c r="G12" s="58" t="s">
        <v>3342</v>
      </c>
      <c r="H12" s="58" t="s">
        <v>3342</v>
      </c>
      <c r="I12" s="58" t="s">
        <v>3877</v>
      </c>
      <c r="J12" s="58" t="s">
        <v>3342</v>
      </c>
      <c r="K12" s="58" t="s">
        <v>3868</v>
      </c>
      <c r="L12" s="58">
        <v>0.0</v>
      </c>
      <c r="M12" s="58" t="s">
        <v>3885</v>
      </c>
      <c r="N12" s="58">
        <v>2.0</v>
      </c>
      <c r="O12" s="58" t="b">
        <v>1</v>
      </c>
      <c r="P12" s="58"/>
      <c r="Q12" s="58" t="s">
        <v>3343</v>
      </c>
      <c r="R12" s="59" t="str">
        <f>IF(COUNTIF('Active Employees'!B:B, B12)&gt;0,"Y","N")</f>
        <v>N</v>
      </c>
      <c r="S12" s="58" t="s">
        <v>3874</v>
      </c>
      <c r="T12" s="58"/>
    </row>
    <row r="13">
      <c r="A13" s="58" t="s">
        <v>3895</v>
      </c>
      <c r="B13" s="58" t="s">
        <v>3896</v>
      </c>
      <c r="C13" s="58" t="s">
        <v>3866</v>
      </c>
      <c r="D13" s="58" t="s">
        <v>3867</v>
      </c>
      <c r="E13" s="68">
        <v>45799.77452546296</v>
      </c>
      <c r="F13" s="58" t="s">
        <v>3342</v>
      </c>
      <c r="G13" s="58" t="s">
        <v>3342</v>
      </c>
      <c r="H13" s="58" t="s">
        <v>3342</v>
      </c>
      <c r="I13" s="58" t="s">
        <v>3877</v>
      </c>
      <c r="J13" s="58" t="s">
        <v>3342</v>
      </c>
      <c r="K13" s="58" t="s">
        <v>3868</v>
      </c>
      <c r="L13" s="58">
        <v>0.0</v>
      </c>
      <c r="M13" s="58" t="s">
        <v>3878</v>
      </c>
      <c r="N13" s="58">
        <v>2.0</v>
      </c>
      <c r="O13" s="58" t="b">
        <v>1</v>
      </c>
      <c r="P13" s="58"/>
      <c r="Q13" s="58" t="s">
        <v>3343</v>
      </c>
      <c r="R13" s="59" t="str">
        <f>IF(COUNTIF('Active Employees'!B:B, B13)&gt;0,"Y","N")</f>
        <v>N</v>
      </c>
      <c r="S13" s="58" t="s">
        <v>3874</v>
      </c>
      <c r="T13" s="58"/>
    </row>
    <row r="14">
      <c r="A14" s="58" t="s">
        <v>3897</v>
      </c>
      <c r="B14" s="58" t="s">
        <v>3898</v>
      </c>
      <c r="C14" s="58" t="s">
        <v>3866</v>
      </c>
      <c r="D14" s="58" t="s">
        <v>3867</v>
      </c>
      <c r="E14" s="68">
        <v>45799.77453703704</v>
      </c>
      <c r="F14" s="58" t="s">
        <v>3342</v>
      </c>
      <c r="G14" s="58" t="s">
        <v>3342</v>
      </c>
      <c r="H14" s="58" t="s">
        <v>3342</v>
      </c>
      <c r="I14" s="58" t="s">
        <v>3877</v>
      </c>
      <c r="J14" s="58" t="s">
        <v>3342</v>
      </c>
      <c r="K14" s="58" t="s">
        <v>3868</v>
      </c>
      <c r="L14" s="58">
        <v>0.0</v>
      </c>
      <c r="M14" s="58" t="s">
        <v>3878</v>
      </c>
      <c r="N14" s="58">
        <v>2.0</v>
      </c>
      <c r="O14" s="58" t="b">
        <v>1</v>
      </c>
      <c r="P14" s="58"/>
      <c r="Q14" s="58" t="s">
        <v>3343</v>
      </c>
      <c r="R14" s="59" t="str">
        <f>IF(COUNTIF('Active Employees'!B:B, B14)&gt;0,"Y","N")</f>
        <v>N</v>
      </c>
      <c r="S14" s="58" t="s">
        <v>3874</v>
      </c>
      <c r="T14" s="58"/>
    </row>
    <row r="15">
      <c r="A15" s="58" t="s">
        <v>3899</v>
      </c>
      <c r="B15" s="58" t="s">
        <v>3900</v>
      </c>
      <c r="C15" s="58" t="s">
        <v>3866</v>
      </c>
      <c r="D15" s="58" t="s">
        <v>3867</v>
      </c>
      <c r="E15" s="68">
        <v>45799.77452546296</v>
      </c>
      <c r="F15" s="58" t="s">
        <v>3342</v>
      </c>
      <c r="G15" s="58" t="s">
        <v>3342</v>
      </c>
      <c r="H15" s="58" t="s">
        <v>3342</v>
      </c>
      <c r="I15" s="58" t="s">
        <v>3877</v>
      </c>
      <c r="J15" s="58" t="s">
        <v>3342</v>
      </c>
      <c r="K15" s="58" t="s">
        <v>3868</v>
      </c>
      <c r="L15" s="58">
        <v>0.0</v>
      </c>
      <c r="M15" s="58" t="s">
        <v>3878</v>
      </c>
      <c r="N15" s="58">
        <v>2.0</v>
      </c>
      <c r="O15" s="58" t="b">
        <v>1</v>
      </c>
      <c r="P15" s="58"/>
      <c r="Q15" s="58" t="s">
        <v>3343</v>
      </c>
      <c r="R15" s="59" t="str">
        <f>IF(COUNTIF('Active Employees'!B:B, B15)&gt;0,"Y","N")</f>
        <v>N</v>
      </c>
      <c r="S15" s="58" t="s">
        <v>3874</v>
      </c>
      <c r="T15" s="58"/>
    </row>
    <row r="16">
      <c r="A16" s="58" t="s">
        <v>3901</v>
      </c>
      <c r="B16" s="58" t="s">
        <v>3902</v>
      </c>
      <c r="C16" s="58" t="s">
        <v>3866</v>
      </c>
      <c r="D16" s="58" t="s">
        <v>3867</v>
      </c>
      <c r="E16" s="68">
        <v>45799.774513888886</v>
      </c>
      <c r="F16" s="58" t="s">
        <v>3342</v>
      </c>
      <c r="G16" s="58" t="s">
        <v>3342</v>
      </c>
      <c r="H16" s="58" t="s">
        <v>3342</v>
      </c>
      <c r="I16" s="58" t="s">
        <v>3877</v>
      </c>
      <c r="J16" s="58" t="s">
        <v>3342</v>
      </c>
      <c r="K16" s="58" t="s">
        <v>3868</v>
      </c>
      <c r="L16" s="58">
        <v>0.0</v>
      </c>
      <c r="M16" s="58" t="s">
        <v>3878</v>
      </c>
      <c r="N16" s="58">
        <v>2.0</v>
      </c>
      <c r="O16" s="58" t="b">
        <v>1</v>
      </c>
      <c r="P16" s="58"/>
      <c r="Q16" s="58" t="s">
        <v>3343</v>
      </c>
      <c r="R16" s="59" t="str">
        <f>IF(COUNTIF('Active Employees'!B:B, B16)&gt;0,"Y","N")</f>
        <v>N</v>
      </c>
      <c r="S16" s="58" t="s">
        <v>3874</v>
      </c>
      <c r="T16" s="58"/>
    </row>
    <row r="17">
      <c r="A17" s="58" t="s">
        <v>3903</v>
      </c>
      <c r="B17" s="58" t="s">
        <v>3904</v>
      </c>
      <c r="C17" s="58" t="s">
        <v>3866</v>
      </c>
      <c r="D17" s="58" t="s">
        <v>3867</v>
      </c>
      <c r="E17" s="68">
        <v>45826.80795138889</v>
      </c>
      <c r="F17" s="58" t="s">
        <v>3342</v>
      </c>
      <c r="G17" s="58" t="s">
        <v>3342</v>
      </c>
      <c r="H17" s="58" t="s">
        <v>3342</v>
      </c>
      <c r="I17" s="58" t="s">
        <v>3877</v>
      </c>
      <c r="J17" s="58" t="s">
        <v>3342</v>
      </c>
      <c r="K17" s="58" t="s">
        <v>3868</v>
      </c>
      <c r="L17" s="58">
        <v>0.0</v>
      </c>
      <c r="M17" s="58" t="s">
        <v>3878</v>
      </c>
      <c r="N17" s="58">
        <v>2.0</v>
      </c>
      <c r="O17" s="58" t="b">
        <v>1</v>
      </c>
      <c r="P17" s="58"/>
      <c r="Q17" s="58" t="s">
        <v>3343</v>
      </c>
      <c r="R17" s="59" t="str">
        <f>IF(COUNTIF('Active Employees'!B:B, B17)&gt;0,"Y","N")</f>
        <v>N</v>
      </c>
      <c r="S17" s="58" t="s">
        <v>3874</v>
      </c>
      <c r="T17" s="58"/>
    </row>
    <row r="18">
      <c r="A18" s="58" t="s">
        <v>3905</v>
      </c>
      <c r="B18" s="58" t="s">
        <v>3906</v>
      </c>
      <c r="C18" s="58" t="s">
        <v>3866</v>
      </c>
      <c r="D18" s="58" t="s">
        <v>3867</v>
      </c>
      <c r="E18" s="68">
        <v>45799.774513888886</v>
      </c>
      <c r="F18" s="58" t="s">
        <v>3342</v>
      </c>
      <c r="G18" s="58" t="s">
        <v>3342</v>
      </c>
      <c r="H18" s="58" t="s">
        <v>3342</v>
      </c>
      <c r="I18" s="58" t="s">
        <v>3877</v>
      </c>
      <c r="J18" s="58" t="s">
        <v>3342</v>
      </c>
      <c r="K18" s="58" t="s">
        <v>3868</v>
      </c>
      <c r="L18" s="58">
        <v>0.0</v>
      </c>
      <c r="M18" s="58" t="s">
        <v>3878</v>
      </c>
      <c r="N18" s="58">
        <v>2.0</v>
      </c>
      <c r="O18" s="58" t="b">
        <v>1</v>
      </c>
      <c r="P18" s="58"/>
      <c r="Q18" s="58" t="s">
        <v>3343</v>
      </c>
      <c r="R18" s="59" t="str">
        <f>IF(COUNTIF('Active Employees'!B:B, B18)&gt;0,"Y","N")</f>
        <v>N</v>
      </c>
      <c r="S18" s="58" t="s">
        <v>3874</v>
      </c>
      <c r="T18" s="58"/>
    </row>
    <row r="19">
      <c r="A19" s="58" t="s">
        <v>3907</v>
      </c>
      <c r="B19" s="58" t="s">
        <v>3908</v>
      </c>
      <c r="C19" s="58" t="s">
        <v>3866</v>
      </c>
      <c r="D19" s="58" t="s">
        <v>3867</v>
      </c>
      <c r="E19" s="68">
        <v>45799.77452546296</v>
      </c>
      <c r="F19" s="58" t="s">
        <v>3342</v>
      </c>
      <c r="G19" s="58" t="s">
        <v>3342</v>
      </c>
      <c r="H19" s="58" t="s">
        <v>3342</v>
      </c>
      <c r="I19" s="58" t="s">
        <v>3877</v>
      </c>
      <c r="J19" s="58" t="s">
        <v>3342</v>
      </c>
      <c r="K19" s="58" t="s">
        <v>3868</v>
      </c>
      <c r="L19" s="58">
        <v>0.0</v>
      </c>
      <c r="M19" s="58" t="s">
        <v>3878</v>
      </c>
      <c r="N19" s="58">
        <v>2.0</v>
      </c>
      <c r="O19" s="58" t="b">
        <v>1</v>
      </c>
      <c r="P19" s="58"/>
      <c r="Q19" s="58" t="s">
        <v>3343</v>
      </c>
      <c r="R19" s="59" t="str">
        <f>IF(COUNTIF('Active Employees'!B:B, B19)&gt;0,"Y","N")</f>
        <v>N</v>
      </c>
      <c r="S19" s="58" t="s">
        <v>3874</v>
      </c>
      <c r="T19" s="58"/>
    </row>
    <row r="20">
      <c r="A20" s="58" t="s">
        <v>3909</v>
      </c>
      <c r="B20" s="58" t="s">
        <v>3910</v>
      </c>
      <c r="C20" s="58" t="s">
        <v>3866</v>
      </c>
      <c r="D20" s="58" t="s">
        <v>3867</v>
      </c>
      <c r="E20" s="68">
        <v>45799.77453703704</v>
      </c>
      <c r="F20" s="58" t="s">
        <v>3342</v>
      </c>
      <c r="G20" s="58" t="s">
        <v>3342</v>
      </c>
      <c r="H20" s="58" t="s">
        <v>3342</v>
      </c>
      <c r="I20" s="58" t="s">
        <v>3877</v>
      </c>
      <c r="J20" s="58" t="s">
        <v>3342</v>
      </c>
      <c r="K20" s="58" t="s">
        <v>3868</v>
      </c>
      <c r="L20" s="58">
        <v>0.0</v>
      </c>
      <c r="M20" s="58" t="s">
        <v>3878</v>
      </c>
      <c r="N20" s="58">
        <v>2.0</v>
      </c>
      <c r="O20" s="58" t="b">
        <v>1</v>
      </c>
      <c r="P20" s="58"/>
      <c r="Q20" s="58" t="s">
        <v>3343</v>
      </c>
      <c r="R20" s="59" t="str">
        <f>IF(COUNTIF('Active Employees'!B:B, B20)&gt;0,"Y","N")</f>
        <v>N</v>
      </c>
      <c r="S20" s="58" t="s">
        <v>3874</v>
      </c>
      <c r="T20" s="58"/>
    </row>
    <row r="21">
      <c r="A21" s="58" t="s">
        <v>3227</v>
      </c>
      <c r="B21" s="58" t="s">
        <v>3228</v>
      </c>
      <c r="C21" s="58" t="s">
        <v>3866</v>
      </c>
      <c r="D21" s="58" t="s">
        <v>3867</v>
      </c>
      <c r="E21" s="68">
        <v>45799.77400462963</v>
      </c>
      <c r="F21" s="58" t="s">
        <v>3342</v>
      </c>
      <c r="G21" s="58" t="s">
        <v>3342</v>
      </c>
      <c r="H21" s="58" t="s">
        <v>3342</v>
      </c>
      <c r="I21" s="58" t="s">
        <v>3877</v>
      </c>
      <c r="J21" s="58" t="s">
        <v>3342</v>
      </c>
      <c r="K21" s="58" t="s">
        <v>3868</v>
      </c>
      <c r="L21" s="58">
        <v>0.0</v>
      </c>
      <c r="M21" s="58" t="s">
        <v>3911</v>
      </c>
      <c r="N21" s="58">
        <v>3.0</v>
      </c>
      <c r="O21" s="58" t="b">
        <v>1</v>
      </c>
      <c r="P21" s="58"/>
      <c r="Q21" s="58" t="s">
        <v>3343</v>
      </c>
      <c r="R21" s="59" t="str">
        <f>IF(COUNTIF('Active Employees'!B:B, B21)&gt;0,"Y","N")</f>
        <v>N</v>
      </c>
      <c r="S21" s="58" t="s">
        <v>3874</v>
      </c>
      <c r="T21" s="58"/>
    </row>
    <row r="22">
      <c r="A22" s="58" t="s">
        <v>3912</v>
      </c>
      <c r="B22" s="58" t="s">
        <v>3913</v>
      </c>
      <c r="C22" s="58" t="s">
        <v>3866</v>
      </c>
      <c r="D22" s="58" t="s">
        <v>3867</v>
      </c>
      <c r="E22" s="68">
        <v>45799.774409722224</v>
      </c>
      <c r="F22" s="58" t="s">
        <v>3342</v>
      </c>
      <c r="G22" s="58" t="s">
        <v>3342</v>
      </c>
      <c r="H22" s="58" t="s">
        <v>3342</v>
      </c>
      <c r="I22" s="58" t="s">
        <v>3877</v>
      </c>
      <c r="J22" s="58" t="s">
        <v>3342</v>
      </c>
      <c r="K22" s="58" t="s">
        <v>3868</v>
      </c>
      <c r="L22" s="58">
        <v>0.0</v>
      </c>
      <c r="M22" s="58" t="s">
        <v>3888</v>
      </c>
      <c r="N22" s="58">
        <v>2.0</v>
      </c>
      <c r="O22" s="58" t="b">
        <v>1</v>
      </c>
      <c r="P22" s="58"/>
      <c r="Q22" s="58" t="s">
        <v>3343</v>
      </c>
      <c r="R22" s="59" t="str">
        <f>IF(COUNTIF('Active Employees'!B:B, B22)&gt;0,"Y","N")</f>
        <v>N</v>
      </c>
      <c r="S22" s="58" t="s">
        <v>3874</v>
      </c>
      <c r="T22" s="58"/>
    </row>
    <row r="23">
      <c r="A23" s="58" t="s">
        <v>3914</v>
      </c>
      <c r="B23" s="58" t="s">
        <v>3915</v>
      </c>
      <c r="C23" s="58" t="s">
        <v>3866</v>
      </c>
      <c r="D23" s="58" t="s">
        <v>3867</v>
      </c>
      <c r="E23" s="68">
        <v>45838.617731481485</v>
      </c>
      <c r="F23" s="58" t="s">
        <v>3342</v>
      </c>
      <c r="G23" s="58" t="s">
        <v>3342</v>
      </c>
      <c r="H23" s="58" t="s">
        <v>3342</v>
      </c>
      <c r="I23" s="58" t="s">
        <v>3877</v>
      </c>
      <c r="J23" s="58" t="s">
        <v>3342</v>
      </c>
      <c r="K23" s="58" t="s">
        <v>3868</v>
      </c>
      <c r="L23" s="58">
        <v>0.0</v>
      </c>
      <c r="M23" s="58" t="s">
        <v>3878</v>
      </c>
      <c r="N23" s="58">
        <v>2.0</v>
      </c>
      <c r="O23" s="58" t="b">
        <v>1</v>
      </c>
      <c r="P23" s="58"/>
      <c r="Q23" s="58" t="s">
        <v>3343</v>
      </c>
      <c r="R23" s="59" t="str">
        <f>IF(COUNTIF('Active Employees'!B:B, B23)&gt;0,"Y","N")</f>
        <v>N</v>
      </c>
      <c r="S23" s="58" t="s">
        <v>3874</v>
      </c>
      <c r="T23" s="58"/>
    </row>
    <row r="24">
      <c r="A24" s="58" t="s">
        <v>3916</v>
      </c>
      <c r="B24" s="58" t="s">
        <v>3917</v>
      </c>
      <c r="C24" s="58" t="s">
        <v>3866</v>
      </c>
      <c r="D24" s="58" t="s">
        <v>3867</v>
      </c>
      <c r="E24" s="68">
        <v>45799.77415509259</v>
      </c>
      <c r="F24" s="58" t="s">
        <v>3342</v>
      </c>
      <c r="G24" s="58" t="s">
        <v>3342</v>
      </c>
      <c r="H24" s="58" t="s">
        <v>3342</v>
      </c>
      <c r="I24" s="58" t="s">
        <v>3877</v>
      </c>
      <c r="J24" s="58" t="s">
        <v>3342</v>
      </c>
      <c r="K24" s="58" t="s">
        <v>3868</v>
      </c>
      <c r="L24" s="58">
        <v>0.0</v>
      </c>
      <c r="M24" s="58" t="s">
        <v>3918</v>
      </c>
      <c r="N24" s="58">
        <v>2.0</v>
      </c>
      <c r="O24" s="58" t="b">
        <v>1</v>
      </c>
      <c r="P24" s="58"/>
      <c r="Q24" s="58" t="s">
        <v>3343</v>
      </c>
      <c r="R24" s="59" t="str">
        <f>IF(COUNTIF('Active Employees'!B:B, B24)&gt;0,"Y","N")</f>
        <v>N</v>
      </c>
      <c r="S24" s="58" t="s">
        <v>3874</v>
      </c>
      <c r="T24" s="58"/>
    </row>
    <row r="25">
      <c r="A25" s="58" t="s">
        <v>2963</v>
      </c>
      <c r="B25" s="58" t="s">
        <v>2110</v>
      </c>
      <c r="C25" s="58" t="s">
        <v>3866</v>
      </c>
      <c r="D25" s="58" t="s">
        <v>3867</v>
      </c>
      <c r="E25" s="68">
        <v>45799.774513888886</v>
      </c>
      <c r="F25" s="58" t="s">
        <v>3342</v>
      </c>
      <c r="G25" s="58" t="s">
        <v>3342</v>
      </c>
      <c r="H25" s="58" t="s">
        <v>3342</v>
      </c>
      <c r="I25" s="58" t="s">
        <v>3877</v>
      </c>
      <c r="J25" s="58" t="s">
        <v>3342</v>
      </c>
      <c r="K25" s="58" t="s">
        <v>3868</v>
      </c>
      <c r="L25" s="58">
        <v>0.0</v>
      </c>
      <c r="M25" s="58" t="s">
        <v>3878</v>
      </c>
      <c r="N25" s="58">
        <v>2.0</v>
      </c>
      <c r="O25" s="58" t="b">
        <v>1</v>
      </c>
      <c r="P25" s="58"/>
      <c r="Q25" s="58" t="s">
        <v>3343</v>
      </c>
      <c r="R25" s="59" t="str">
        <f>IF(COUNTIF('Active Employees'!B:B, B25)&gt;0,"Y","N")</f>
        <v>N</v>
      </c>
      <c r="S25" s="58" t="s">
        <v>3874</v>
      </c>
      <c r="T25" s="58"/>
    </row>
    <row r="26">
      <c r="A26" s="58" t="s">
        <v>3919</v>
      </c>
      <c r="B26" s="58" t="s">
        <v>3920</v>
      </c>
      <c r="C26" s="58" t="s">
        <v>3866</v>
      </c>
      <c r="D26" s="58" t="s">
        <v>3867</v>
      </c>
      <c r="E26" s="68">
        <v>45799.77452546296</v>
      </c>
      <c r="F26" s="58" t="s">
        <v>3342</v>
      </c>
      <c r="G26" s="58" t="s">
        <v>3342</v>
      </c>
      <c r="H26" s="58" t="s">
        <v>3342</v>
      </c>
      <c r="I26" s="58" t="s">
        <v>3877</v>
      </c>
      <c r="J26" s="58" t="s">
        <v>3342</v>
      </c>
      <c r="K26" s="58" t="s">
        <v>3868</v>
      </c>
      <c r="L26" s="58">
        <v>0.0</v>
      </c>
      <c r="M26" s="58" t="s">
        <v>3878</v>
      </c>
      <c r="N26" s="58">
        <v>2.0</v>
      </c>
      <c r="O26" s="58" t="b">
        <v>1</v>
      </c>
      <c r="P26" s="58"/>
      <c r="Q26" s="58" t="s">
        <v>3343</v>
      </c>
      <c r="R26" s="59" t="str">
        <f>IF(COUNTIF('Active Employees'!B:B, B26)&gt;0,"Y","N")</f>
        <v>N</v>
      </c>
      <c r="S26" s="58" t="s">
        <v>3874</v>
      </c>
      <c r="T26" s="58"/>
    </row>
    <row r="27">
      <c r="A27" s="58" t="s">
        <v>3921</v>
      </c>
      <c r="B27" s="58" t="s">
        <v>3922</v>
      </c>
      <c r="C27" s="58" t="s">
        <v>3866</v>
      </c>
      <c r="D27" s="58" t="s">
        <v>3867</v>
      </c>
      <c r="E27" s="68">
        <v>45799.7752662037</v>
      </c>
      <c r="F27" s="58" t="s">
        <v>3342</v>
      </c>
      <c r="G27" s="58" t="s">
        <v>3342</v>
      </c>
      <c r="H27" s="58" t="s">
        <v>3342</v>
      </c>
      <c r="I27" s="58" t="s">
        <v>3877</v>
      </c>
      <c r="J27" s="58" t="s">
        <v>3342</v>
      </c>
      <c r="K27" s="58" t="s">
        <v>3868</v>
      </c>
      <c r="L27" s="58">
        <v>0.0</v>
      </c>
      <c r="M27" s="58" t="s">
        <v>3918</v>
      </c>
      <c r="N27" s="58">
        <v>2.0</v>
      </c>
      <c r="O27" s="58" t="b">
        <v>1</v>
      </c>
      <c r="P27" s="58"/>
      <c r="Q27" s="58" t="s">
        <v>3343</v>
      </c>
      <c r="R27" s="59" t="str">
        <f>IF(COUNTIF('Active Employees'!B:B, B27)&gt;0,"Y","N")</f>
        <v>N</v>
      </c>
      <c r="S27" s="58" t="s">
        <v>3874</v>
      </c>
      <c r="T27" s="58"/>
    </row>
    <row r="28">
      <c r="A28" s="58" t="s">
        <v>3923</v>
      </c>
      <c r="B28" s="58" t="s">
        <v>3924</v>
      </c>
      <c r="C28" s="58" t="s">
        <v>3866</v>
      </c>
      <c r="D28" s="58" t="s">
        <v>3867</v>
      </c>
      <c r="E28" s="68">
        <v>45799.774513888886</v>
      </c>
      <c r="F28" s="58" t="s">
        <v>3342</v>
      </c>
      <c r="G28" s="58" t="s">
        <v>3342</v>
      </c>
      <c r="H28" s="58" t="s">
        <v>3342</v>
      </c>
      <c r="I28" s="58" t="s">
        <v>3877</v>
      </c>
      <c r="J28" s="58" t="s">
        <v>3342</v>
      </c>
      <c r="K28" s="58" t="s">
        <v>3868</v>
      </c>
      <c r="L28" s="58">
        <v>0.0</v>
      </c>
      <c r="M28" s="58" t="s">
        <v>3878</v>
      </c>
      <c r="N28" s="58">
        <v>2.0</v>
      </c>
      <c r="O28" s="58" t="b">
        <v>1</v>
      </c>
      <c r="P28" s="58"/>
      <c r="Q28" s="58" t="s">
        <v>3343</v>
      </c>
      <c r="R28" s="59" t="str">
        <f>IF(COUNTIF('Active Employees'!B:B, B28)&gt;0,"Y","N")</f>
        <v>N</v>
      </c>
      <c r="S28" s="58" t="s">
        <v>3874</v>
      </c>
      <c r="T28" s="58"/>
    </row>
    <row r="29">
      <c r="A29" s="58" t="s">
        <v>3133</v>
      </c>
      <c r="B29" s="58" t="s">
        <v>3134</v>
      </c>
      <c r="C29" s="58" t="s">
        <v>3866</v>
      </c>
      <c r="D29" s="58" t="s">
        <v>3867</v>
      </c>
      <c r="E29" s="68">
        <v>45799.77452546296</v>
      </c>
      <c r="F29" s="58" t="s">
        <v>3342</v>
      </c>
      <c r="G29" s="58" t="s">
        <v>3342</v>
      </c>
      <c r="H29" s="58" t="s">
        <v>3342</v>
      </c>
      <c r="I29" s="58" t="s">
        <v>3877</v>
      </c>
      <c r="J29" s="58" t="s">
        <v>3342</v>
      </c>
      <c r="K29" s="58" t="s">
        <v>3868</v>
      </c>
      <c r="L29" s="58">
        <v>0.0</v>
      </c>
      <c r="M29" s="58" t="s">
        <v>3878</v>
      </c>
      <c r="N29" s="58">
        <v>2.0</v>
      </c>
      <c r="O29" s="58" t="b">
        <v>1</v>
      </c>
      <c r="P29" s="58"/>
      <c r="Q29" s="58" t="s">
        <v>3343</v>
      </c>
      <c r="R29" s="59" t="str">
        <f>IF(COUNTIF('Active Employees'!B:B, B29)&gt;0,"Y","N")</f>
        <v>N</v>
      </c>
      <c r="S29" s="58" t="s">
        <v>3874</v>
      </c>
      <c r="T29" s="58"/>
    </row>
    <row r="30">
      <c r="A30" s="58" t="s">
        <v>3925</v>
      </c>
      <c r="B30" s="58" t="s">
        <v>3091</v>
      </c>
      <c r="C30" s="58" t="s">
        <v>3866</v>
      </c>
      <c r="D30" s="58" t="s">
        <v>3867</v>
      </c>
      <c r="E30" s="68">
        <v>45799.7740162037</v>
      </c>
      <c r="F30" s="58" t="s">
        <v>3342</v>
      </c>
      <c r="G30" s="58" t="s">
        <v>3342</v>
      </c>
      <c r="H30" s="58" t="s">
        <v>3342</v>
      </c>
      <c r="I30" s="58" t="s">
        <v>3877</v>
      </c>
      <c r="J30" s="58" t="s">
        <v>3342</v>
      </c>
      <c r="K30" s="58" t="s">
        <v>3868</v>
      </c>
      <c r="L30" s="58">
        <v>0.0</v>
      </c>
      <c r="M30" s="58" t="s">
        <v>3911</v>
      </c>
      <c r="N30" s="58">
        <v>3.0</v>
      </c>
      <c r="O30" s="58" t="b">
        <v>1</v>
      </c>
      <c r="P30" s="58"/>
      <c r="Q30" s="58" t="s">
        <v>3343</v>
      </c>
      <c r="R30" s="59" t="str">
        <f>IF(COUNTIF('Active Employees'!B:B, B30)&gt;0,"Y","N")</f>
        <v>N</v>
      </c>
      <c r="S30" s="58" t="s">
        <v>3874</v>
      </c>
      <c r="T30" s="58"/>
    </row>
    <row r="31">
      <c r="A31" s="58" t="s">
        <v>3926</v>
      </c>
      <c r="B31" s="58" t="s">
        <v>3927</v>
      </c>
      <c r="C31" s="58" t="s">
        <v>3866</v>
      </c>
      <c r="D31" s="58" t="s">
        <v>3867</v>
      </c>
      <c r="E31" s="68">
        <v>45799.7752662037</v>
      </c>
      <c r="F31" s="58" t="s">
        <v>3342</v>
      </c>
      <c r="G31" s="58" t="s">
        <v>3342</v>
      </c>
      <c r="H31" s="58" t="s">
        <v>3342</v>
      </c>
      <c r="I31" s="58" t="s">
        <v>3877</v>
      </c>
      <c r="J31" s="58" t="s">
        <v>3342</v>
      </c>
      <c r="K31" s="58" t="s">
        <v>3868</v>
      </c>
      <c r="L31" s="58">
        <v>0.0</v>
      </c>
      <c r="M31" s="58" t="s">
        <v>3885</v>
      </c>
      <c r="N31" s="58">
        <v>2.0</v>
      </c>
      <c r="O31" s="58" t="b">
        <v>1</v>
      </c>
      <c r="P31" s="58"/>
      <c r="Q31" s="58" t="s">
        <v>3343</v>
      </c>
      <c r="R31" s="59" t="str">
        <f>IF(COUNTIF('Active Employees'!B:B, B31)&gt;0,"Y","N")</f>
        <v>N</v>
      </c>
      <c r="S31" s="58" t="s">
        <v>3874</v>
      </c>
      <c r="T31" s="58"/>
    </row>
    <row r="32">
      <c r="A32" s="58" t="s">
        <v>3928</v>
      </c>
      <c r="B32" s="58" t="s">
        <v>3929</v>
      </c>
      <c r="C32" s="58" t="s">
        <v>3866</v>
      </c>
      <c r="D32" s="58" t="s">
        <v>3867</v>
      </c>
      <c r="E32" s="68">
        <v>45853.813425925924</v>
      </c>
      <c r="F32" s="58" t="s">
        <v>3342</v>
      </c>
      <c r="G32" s="58" t="s">
        <v>3342</v>
      </c>
      <c r="H32" s="58" t="s">
        <v>3342</v>
      </c>
      <c r="I32" s="58" t="s">
        <v>3877</v>
      </c>
      <c r="J32" s="58" t="s">
        <v>3342</v>
      </c>
      <c r="K32" s="58" t="s">
        <v>3868</v>
      </c>
      <c r="L32" s="58">
        <v>0.0</v>
      </c>
      <c r="M32" s="58" t="s">
        <v>3878</v>
      </c>
      <c r="N32" s="58">
        <v>2.0</v>
      </c>
      <c r="O32" s="58" t="b">
        <v>1</v>
      </c>
      <c r="P32" s="58"/>
      <c r="Q32" s="58" t="s">
        <v>3343</v>
      </c>
      <c r="R32" s="59" t="str">
        <f>IF(COUNTIF('Active Employees'!B:B, B32)&gt;0,"Y","N")</f>
        <v>N</v>
      </c>
      <c r="S32" s="58" t="s">
        <v>3874</v>
      </c>
      <c r="T32" s="58"/>
    </row>
    <row r="33">
      <c r="A33" s="58" t="s">
        <v>3930</v>
      </c>
      <c r="B33" s="58" t="s">
        <v>3931</v>
      </c>
      <c r="C33" s="58" t="s">
        <v>3866</v>
      </c>
      <c r="D33" s="58" t="s">
        <v>3867</v>
      </c>
      <c r="E33" s="68">
        <v>45819.61083333333</v>
      </c>
      <c r="F33" s="58" t="s">
        <v>3342</v>
      </c>
      <c r="G33" s="58" t="s">
        <v>3342</v>
      </c>
      <c r="H33" s="58" t="s">
        <v>3342</v>
      </c>
      <c r="I33" s="58" t="s">
        <v>3877</v>
      </c>
      <c r="J33" s="58" t="s">
        <v>3342</v>
      </c>
      <c r="K33" s="58" t="s">
        <v>3868</v>
      </c>
      <c r="L33" s="58">
        <v>0.0</v>
      </c>
      <c r="M33" s="58" t="s">
        <v>3891</v>
      </c>
      <c r="N33" s="58">
        <v>3.0</v>
      </c>
      <c r="O33" s="58" t="b">
        <v>1</v>
      </c>
      <c r="P33" s="58"/>
      <c r="Q33" s="58" t="s">
        <v>3343</v>
      </c>
      <c r="R33" s="59" t="str">
        <f>IF(COUNTIF('Active Employees'!B:B, B33)&gt;0,"Y","N")</f>
        <v>N</v>
      </c>
      <c r="S33" s="58" t="s">
        <v>3874</v>
      </c>
      <c r="T33" s="58"/>
    </row>
    <row r="34">
      <c r="A34" s="58" t="s">
        <v>3932</v>
      </c>
      <c r="B34" s="58" t="s">
        <v>3933</v>
      </c>
      <c r="C34" s="58" t="s">
        <v>3866</v>
      </c>
      <c r="D34" s="58" t="s">
        <v>3867</v>
      </c>
      <c r="E34" s="68">
        <v>45799.77453703704</v>
      </c>
      <c r="F34" s="58" t="s">
        <v>3342</v>
      </c>
      <c r="G34" s="58" t="s">
        <v>3342</v>
      </c>
      <c r="H34" s="58" t="s">
        <v>3342</v>
      </c>
      <c r="I34" s="58" t="s">
        <v>3877</v>
      </c>
      <c r="J34" s="58" t="s">
        <v>3342</v>
      </c>
      <c r="K34" s="58" t="s">
        <v>3868</v>
      </c>
      <c r="L34" s="58">
        <v>0.0</v>
      </c>
      <c r="M34" s="58" t="s">
        <v>3878</v>
      </c>
      <c r="N34" s="58">
        <v>2.0</v>
      </c>
      <c r="O34" s="58" t="b">
        <v>1</v>
      </c>
      <c r="P34" s="58"/>
      <c r="Q34" s="58" t="s">
        <v>3343</v>
      </c>
      <c r="R34" s="59" t="str">
        <f>IF(COUNTIF('Active Employees'!B:B, B34)&gt;0,"Y","N")</f>
        <v>N</v>
      </c>
      <c r="S34" s="58" t="s">
        <v>3874</v>
      </c>
      <c r="T34" s="58"/>
    </row>
    <row r="35">
      <c r="A35" s="58" t="s">
        <v>2967</v>
      </c>
      <c r="B35" s="58" t="s">
        <v>2968</v>
      </c>
      <c r="C35" s="58" t="s">
        <v>3866</v>
      </c>
      <c r="D35" s="58" t="s">
        <v>3867</v>
      </c>
      <c r="E35" s="68">
        <v>45799.774513888886</v>
      </c>
      <c r="F35" s="58" t="s">
        <v>3342</v>
      </c>
      <c r="G35" s="58" t="s">
        <v>3342</v>
      </c>
      <c r="H35" s="58" t="s">
        <v>3342</v>
      </c>
      <c r="I35" s="58" t="s">
        <v>3877</v>
      </c>
      <c r="J35" s="58" t="s">
        <v>3342</v>
      </c>
      <c r="K35" s="58" t="s">
        <v>3868</v>
      </c>
      <c r="L35" s="58">
        <v>0.0</v>
      </c>
      <c r="M35" s="58" t="s">
        <v>3878</v>
      </c>
      <c r="N35" s="58">
        <v>2.0</v>
      </c>
      <c r="O35" s="58" t="b">
        <v>1</v>
      </c>
      <c r="P35" s="58"/>
      <c r="Q35" s="58" t="s">
        <v>3343</v>
      </c>
      <c r="R35" s="59" t="str">
        <f>IF(COUNTIF('Active Employees'!B:B, B35)&gt;0,"Y","N")</f>
        <v>N</v>
      </c>
      <c r="S35" s="58" t="s">
        <v>3874</v>
      </c>
      <c r="T35" s="58"/>
    </row>
    <row r="36">
      <c r="A36" s="58" t="s">
        <v>3934</v>
      </c>
      <c r="B36" s="58" t="s">
        <v>3663</v>
      </c>
      <c r="C36" s="58" t="s">
        <v>3866</v>
      </c>
      <c r="D36" s="58" t="s">
        <v>3867</v>
      </c>
      <c r="E36" s="68">
        <v>45799.774305555555</v>
      </c>
      <c r="F36" s="58" t="s">
        <v>3342</v>
      </c>
      <c r="G36" s="58" t="s">
        <v>3342</v>
      </c>
      <c r="H36" s="58" t="s">
        <v>3342</v>
      </c>
      <c r="I36" s="58" t="s">
        <v>3877</v>
      </c>
      <c r="J36" s="58" t="s">
        <v>3342</v>
      </c>
      <c r="K36" s="58" t="s">
        <v>3868</v>
      </c>
      <c r="L36" s="58">
        <v>0.0</v>
      </c>
      <c r="M36" s="58" t="s">
        <v>3891</v>
      </c>
      <c r="N36" s="58">
        <v>3.0</v>
      </c>
      <c r="O36" s="58" t="b">
        <v>1</v>
      </c>
      <c r="P36" s="58"/>
      <c r="Q36" s="58" t="s">
        <v>3343</v>
      </c>
      <c r="R36" s="59" t="str">
        <f>IF(COUNTIF('Active Employees'!B:B, B36)&gt;0,"Y","N")</f>
        <v>N</v>
      </c>
      <c r="S36" s="58" t="s">
        <v>3874</v>
      </c>
      <c r="T36" s="58"/>
    </row>
    <row r="37">
      <c r="A37" s="58" t="s">
        <v>3935</v>
      </c>
      <c r="B37" s="58" t="s">
        <v>3936</v>
      </c>
      <c r="C37" s="58" t="s">
        <v>3866</v>
      </c>
      <c r="D37" s="58" t="s">
        <v>3867</v>
      </c>
      <c r="E37" s="68">
        <v>45895.52774305556</v>
      </c>
      <c r="F37" s="58" t="s">
        <v>3342</v>
      </c>
      <c r="G37" s="58" t="s">
        <v>3342</v>
      </c>
      <c r="H37" s="58" t="s">
        <v>3342</v>
      </c>
      <c r="I37" s="58" t="s">
        <v>3877</v>
      </c>
      <c r="J37" s="58" t="s">
        <v>3342</v>
      </c>
      <c r="K37" s="58" t="s">
        <v>3868</v>
      </c>
      <c r="L37" s="58">
        <v>0.0</v>
      </c>
      <c r="M37" s="58" t="s">
        <v>3878</v>
      </c>
      <c r="N37" s="58">
        <v>2.0</v>
      </c>
      <c r="O37" s="58" t="b">
        <v>1</v>
      </c>
      <c r="P37" s="58"/>
      <c r="Q37" s="58" t="s">
        <v>3343</v>
      </c>
      <c r="R37" s="59" t="str">
        <f>IF(COUNTIF('Active Employees'!B:B, B37)&gt;0,"Y","N")</f>
        <v>N</v>
      </c>
      <c r="S37" s="58" t="s">
        <v>3874</v>
      </c>
      <c r="T37" s="58"/>
    </row>
    <row r="38">
      <c r="A38" s="58" t="s">
        <v>2969</v>
      </c>
      <c r="B38" s="58" t="s">
        <v>2970</v>
      </c>
      <c r="C38" s="58" t="s">
        <v>3866</v>
      </c>
      <c r="D38" s="58" t="s">
        <v>3867</v>
      </c>
      <c r="E38" s="68">
        <v>45799.774513888886</v>
      </c>
      <c r="F38" s="58" t="s">
        <v>3342</v>
      </c>
      <c r="G38" s="58" t="s">
        <v>3342</v>
      </c>
      <c r="H38" s="58" t="s">
        <v>3342</v>
      </c>
      <c r="I38" s="58" t="s">
        <v>3877</v>
      </c>
      <c r="J38" s="58" t="s">
        <v>3342</v>
      </c>
      <c r="K38" s="58" t="s">
        <v>3868</v>
      </c>
      <c r="L38" s="58">
        <v>0.0</v>
      </c>
      <c r="M38" s="58" t="s">
        <v>3878</v>
      </c>
      <c r="N38" s="58">
        <v>2.0</v>
      </c>
      <c r="O38" s="58" t="b">
        <v>1</v>
      </c>
      <c r="P38" s="58"/>
      <c r="Q38" s="58" t="s">
        <v>3343</v>
      </c>
      <c r="R38" s="59" t="str">
        <f>IF(COUNTIF('Active Employees'!B:B, B38)&gt;0,"Y","N")</f>
        <v>N</v>
      </c>
      <c r="S38" s="58" t="s">
        <v>3874</v>
      </c>
      <c r="T38" s="58"/>
    </row>
    <row r="39">
      <c r="A39" s="58" t="s">
        <v>3082</v>
      </c>
      <c r="B39" s="58" t="s">
        <v>3083</v>
      </c>
      <c r="C39" s="58" t="s">
        <v>3866</v>
      </c>
      <c r="D39" s="58" t="s">
        <v>3867</v>
      </c>
      <c r="E39" s="68">
        <v>45799.77452546296</v>
      </c>
      <c r="F39" s="58" t="s">
        <v>3342</v>
      </c>
      <c r="G39" s="58" t="s">
        <v>3342</v>
      </c>
      <c r="H39" s="58" t="s">
        <v>3342</v>
      </c>
      <c r="I39" s="58" t="s">
        <v>3877</v>
      </c>
      <c r="J39" s="58" t="s">
        <v>3342</v>
      </c>
      <c r="K39" s="58" t="s">
        <v>3868</v>
      </c>
      <c r="L39" s="58">
        <v>0.0</v>
      </c>
      <c r="M39" s="58" t="s">
        <v>3878</v>
      </c>
      <c r="N39" s="58">
        <v>2.0</v>
      </c>
      <c r="O39" s="58" t="b">
        <v>1</v>
      </c>
      <c r="P39" s="58"/>
      <c r="Q39" s="58" t="s">
        <v>3343</v>
      </c>
      <c r="R39" s="59" t="str">
        <f>IF(COUNTIF('Active Employees'!B:B, B39)&gt;0,"Y","N")</f>
        <v>N</v>
      </c>
      <c r="S39" s="58" t="s">
        <v>3874</v>
      </c>
      <c r="T39" s="58"/>
    </row>
    <row r="40">
      <c r="A40" s="58" t="s">
        <v>3937</v>
      </c>
      <c r="B40" s="58" t="s">
        <v>3173</v>
      </c>
      <c r="C40" s="58" t="s">
        <v>3866</v>
      </c>
      <c r="D40" s="58" t="s">
        <v>3867</v>
      </c>
      <c r="E40" s="68">
        <v>45799.77525462963</v>
      </c>
      <c r="F40" s="58" t="s">
        <v>3342</v>
      </c>
      <c r="G40" s="58" t="s">
        <v>3342</v>
      </c>
      <c r="H40" s="58" t="s">
        <v>3342</v>
      </c>
      <c r="I40" s="58" t="s">
        <v>3877</v>
      </c>
      <c r="J40" s="58" t="s">
        <v>3342</v>
      </c>
      <c r="K40" s="58" t="s">
        <v>3868</v>
      </c>
      <c r="L40" s="58">
        <v>0.0</v>
      </c>
      <c r="M40" s="58" t="s">
        <v>3885</v>
      </c>
      <c r="N40" s="58">
        <v>2.0</v>
      </c>
      <c r="O40" s="58" t="b">
        <v>1</v>
      </c>
      <c r="P40" s="58"/>
      <c r="Q40" s="58" t="s">
        <v>3343</v>
      </c>
      <c r="R40" s="59" t="str">
        <f>IF(COUNTIF('Active Employees'!B:B, B40)&gt;0,"Y","N")</f>
        <v>N</v>
      </c>
      <c r="S40" s="58" t="s">
        <v>3874</v>
      </c>
      <c r="T40" s="58"/>
    </row>
    <row r="41">
      <c r="A41" s="58" t="s">
        <v>3014</v>
      </c>
      <c r="B41" s="58" t="s">
        <v>3015</v>
      </c>
      <c r="C41" s="58" t="s">
        <v>3866</v>
      </c>
      <c r="D41" s="58" t="s">
        <v>3867</v>
      </c>
      <c r="E41" s="68">
        <v>45799.77452546296</v>
      </c>
      <c r="F41" s="58" t="s">
        <v>3342</v>
      </c>
      <c r="G41" s="58" t="s">
        <v>3342</v>
      </c>
      <c r="H41" s="58" t="s">
        <v>3342</v>
      </c>
      <c r="I41" s="58" t="s">
        <v>3877</v>
      </c>
      <c r="J41" s="58" t="s">
        <v>3342</v>
      </c>
      <c r="K41" s="58" t="s">
        <v>3868</v>
      </c>
      <c r="L41" s="58">
        <v>0.0</v>
      </c>
      <c r="M41" s="58" t="s">
        <v>3878</v>
      </c>
      <c r="N41" s="58">
        <v>2.0</v>
      </c>
      <c r="O41" s="58" t="b">
        <v>1</v>
      </c>
      <c r="P41" s="58"/>
      <c r="Q41" s="58" t="s">
        <v>3343</v>
      </c>
      <c r="R41" s="59" t="str">
        <f>IF(COUNTIF('Active Employees'!B:B, B41)&gt;0,"Y","N")</f>
        <v>N</v>
      </c>
      <c r="S41" s="58" t="s">
        <v>3874</v>
      </c>
      <c r="T41" s="58"/>
    </row>
    <row r="42">
      <c r="A42" s="58" t="s">
        <v>3938</v>
      </c>
      <c r="B42" s="58" t="s">
        <v>3939</v>
      </c>
      <c r="C42" s="58" t="s">
        <v>3866</v>
      </c>
      <c r="D42" s="58" t="s">
        <v>3867</v>
      </c>
      <c r="E42" s="68">
        <v>45799.77452546296</v>
      </c>
      <c r="F42" s="58" t="s">
        <v>3342</v>
      </c>
      <c r="G42" s="58" t="s">
        <v>3342</v>
      </c>
      <c r="H42" s="58" t="s">
        <v>3342</v>
      </c>
      <c r="I42" s="58" t="s">
        <v>3877</v>
      </c>
      <c r="J42" s="58" t="s">
        <v>3342</v>
      </c>
      <c r="K42" s="58" t="s">
        <v>3868</v>
      </c>
      <c r="L42" s="58">
        <v>0.0</v>
      </c>
      <c r="M42" s="58" t="s">
        <v>3878</v>
      </c>
      <c r="N42" s="58">
        <v>2.0</v>
      </c>
      <c r="O42" s="58" t="b">
        <v>1</v>
      </c>
      <c r="P42" s="58"/>
      <c r="Q42" s="58" t="s">
        <v>3343</v>
      </c>
      <c r="R42" s="59" t="str">
        <f>IF(COUNTIF('Active Employees'!B:B, B42)&gt;0,"Y","N")</f>
        <v>N</v>
      </c>
      <c r="S42" s="58" t="s">
        <v>3874</v>
      </c>
      <c r="T42" s="58"/>
    </row>
    <row r="43">
      <c r="A43" s="58" t="s">
        <v>3940</v>
      </c>
      <c r="B43" s="58" t="s">
        <v>3941</v>
      </c>
      <c r="C43" s="58" t="s">
        <v>3866</v>
      </c>
      <c r="D43" s="58" t="s">
        <v>3867</v>
      </c>
      <c r="E43" s="68">
        <v>45799.81621527778</v>
      </c>
      <c r="F43" s="58" t="s">
        <v>3342</v>
      </c>
      <c r="G43" s="58" t="s">
        <v>3342</v>
      </c>
      <c r="H43" s="58" t="s">
        <v>3342</v>
      </c>
      <c r="I43" s="58" t="s">
        <v>3877</v>
      </c>
      <c r="J43" s="58" t="s">
        <v>3342</v>
      </c>
      <c r="K43" s="58" t="s">
        <v>3868</v>
      </c>
      <c r="L43" s="58">
        <v>0.0</v>
      </c>
      <c r="M43" s="58" t="s">
        <v>3878</v>
      </c>
      <c r="N43" s="58">
        <v>2.0</v>
      </c>
      <c r="O43" s="58" t="b">
        <v>1</v>
      </c>
      <c r="P43" s="58"/>
      <c r="Q43" s="58" t="s">
        <v>3343</v>
      </c>
      <c r="R43" s="59" t="str">
        <f>IF(COUNTIF('Active Employees'!B:B, B43)&gt;0,"Y","N")</f>
        <v>N</v>
      </c>
      <c r="S43" s="58" t="s">
        <v>3874</v>
      </c>
      <c r="T43" s="58"/>
    </row>
    <row r="44">
      <c r="A44" s="58" t="s">
        <v>3942</v>
      </c>
      <c r="B44" s="58" t="s">
        <v>3943</v>
      </c>
      <c r="C44" s="58" t="s">
        <v>3866</v>
      </c>
      <c r="D44" s="58" t="s">
        <v>3867</v>
      </c>
      <c r="E44" s="68">
        <v>45799.7752662037</v>
      </c>
      <c r="F44" s="58" t="s">
        <v>3342</v>
      </c>
      <c r="G44" s="58" t="s">
        <v>3342</v>
      </c>
      <c r="H44" s="58" t="s">
        <v>3342</v>
      </c>
      <c r="I44" s="58" t="s">
        <v>3877</v>
      </c>
      <c r="J44" s="58" t="s">
        <v>3342</v>
      </c>
      <c r="K44" s="58" t="s">
        <v>3868</v>
      </c>
      <c r="L44" s="58">
        <v>0.0</v>
      </c>
      <c r="M44" s="58" t="s">
        <v>3885</v>
      </c>
      <c r="N44" s="58">
        <v>2.0</v>
      </c>
      <c r="O44" s="58" t="b">
        <v>1</v>
      </c>
      <c r="P44" s="58"/>
      <c r="Q44" s="58" t="s">
        <v>3343</v>
      </c>
      <c r="R44" s="59" t="str">
        <f>IF(COUNTIF('Active Employees'!B:B, B44)&gt;0,"Y","N")</f>
        <v>N</v>
      </c>
      <c r="S44" s="58" t="s">
        <v>3874</v>
      </c>
      <c r="T44" s="58"/>
    </row>
    <row r="45">
      <c r="A45" s="58" t="s">
        <v>3944</v>
      </c>
      <c r="B45" s="58" t="s">
        <v>3945</v>
      </c>
      <c r="C45" s="58" t="s">
        <v>3866</v>
      </c>
      <c r="D45" s="58" t="s">
        <v>3867</v>
      </c>
      <c r="E45" s="68">
        <v>45799.81621527778</v>
      </c>
      <c r="F45" s="58" t="s">
        <v>3342</v>
      </c>
      <c r="G45" s="58" t="s">
        <v>3342</v>
      </c>
      <c r="H45" s="58" t="s">
        <v>3342</v>
      </c>
      <c r="I45" s="58" t="s">
        <v>3877</v>
      </c>
      <c r="J45" s="58" t="s">
        <v>3342</v>
      </c>
      <c r="K45" s="58" t="s">
        <v>3868</v>
      </c>
      <c r="L45" s="58">
        <v>0.0</v>
      </c>
      <c r="M45" s="58" t="s">
        <v>3878</v>
      </c>
      <c r="N45" s="58">
        <v>2.0</v>
      </c>
      <c r="O45" s="58" t="b">
        <v>1</v>
      </c>
      <c r="P45" s="58"/>
      <c r="Q45" s="58" t="s">
        <v>3343</v>
      </c>
      <c r="R45" s="59" t="str">
        <f>IF(COUNTIF('Active Employees'!B:B, B45)&gt;0,"Y","N")</f>
        <v>N</v>
      </c>
      <c r="S45" s="58" t="s">
        <v>3874</v>
      </c>
      <c r="T45" s="58"/>
    </row>
    <row r="46">
      <c r="A46" s="58" t="s">
        <v>3946</v>
      </c>
      <c r="B46" s="58" t="s">
        <v>3947</v>
      </c>
      <c r="C46" s="58" t="s">
        <v>3866</v>
      </c>
      <c r="D46" s="58" t="s">
        <v>3867</v>
      </c>
      <c r="E46" s="68">
        <v>45799.77415509259</v>
      </c>
      <c r="F46" s="58" t="s">
        <v>3342</v>
      </c>
      <c r="G46" s="58" t="s">
        <v>3342</v>
      </c>
      <c r="H46" s="58" t="s">
        <v>3342</v>
      </c>
      <c r="I46" s="58" t="s">
        <v>3877</v>
      </c>
      <c r="J46" s="58" t="s">
        <v>3342</v>
      </c>
      <c r="K46" s="58" t="s">
        <v>3868</v>
      </c>
      <c r="L46" s="58">
        <v>0.0</v>
      </c>
      <c r="M46" s="58" t="s">
        <v>3918</v>
      </c>
      <c r="N46" s="58">
        <v>2.0</v>
      </c>
      <c r="O46" s="58" t="b">
        <v>1</v>
      </c>
      <c r="P46" s="58"/>
      <c r="Q46" s="58" t="s">
        <v>3343</v>
      </c>
      <c r="R46" s="59" t="str">
        <f>IF(COUNTIF('Active Employees'!B:B, B46)&gt;0,"Y","N")</f>
        <v>N</v>
      </c>
      <c r="S46" s="58" t="s">
        <v>3874</v>
      </c>
      <c r="T46" s="58"/>
    </row>
    <row r="47">
      <c r="A47" s="58" t="s">
        <v>3948</v>
      </c>
      <c r="B47" s="58" t="s">
        <v>3258</v>
      </c>
      <c r="C47" s="58" t="s">
        <v>3866</v>
      </c>
      <c r="D47" s="58" t="s">
        <v>3867</v>
      </c>
      <c r="E47" s="68">
        <v>45799.775243055556</v>
      </c>
      <c r="F47" s="58" t="s">
        <v>3342</v>
      </c>
      <c r="G47" s="58" t="s">
        <v>3342</v>
      </c>
      <c r="H47" s="58" t="s">
        <v>3342</v>
      </c>
      <c r="I47" s="58" t="s">
        <v>3877</v>
      </c>
      <c r="J47" s="58" t="s">
        <v>3342</v>
      </c>
      <c r="K47" s="58" t="s">
        <v>3868</v>
      </c>
      <c r="L47" s="58">
        <v>0.0</v>
      </c>
      <c r="M47" s="58" t="s">
        <v>3885</v>
      </c>
      <c r="N47" s="58">
        <v>2.0</v>
      </c>
      <c r="O47" s="58" t="b">
        <v>1</v>
      </c>
      <c r="P47" s="58"/>
      <c r="Q47" s="58" t="s">
        <v>3343</v>
      </c>
      <c r="R47" s="59" t="str">
        <f>IF(COUNTIF('Active Employees'!B:B, B47)&gt;0,"Y","N")</f>
        <v>N</v>
      </c>
      <c r="S47" s="58" t="s">
        <v>3874</v>
      </c>
      <c r="T47" s="58"/>
    </row>
    <row r="48">
      <c r="A48" s="58" t="s">
        <v>2953</v>
      </c>
      <c r="B48" s="58" t="s">
        <v>1571</v>
      </c>
      <c r="C48" s="58" t="s">
        <v>3866</v>
      </c>
      <c r="D48" s="58" t="s">
        <v>3867</v>
      </c>
      <c r="E48" s="68">
        <v>45799.77439814815</v>
      </c>
      <c r="F48" s="58" t="s">
        <v>3342</v>
      </c>
      <c r="G48" s="58" t="s">
        <v>3342</v>
      </c>
      <c r="H48" s="58" t="s">
        <v>3342</v>
      </c>
      <c r="I48" s="58" t="s">
        <v>3877</v>
      </c>
      <c r="J48" s="58" t="s">
        <v>3342</v>
      </c>
      <c r="K48" s="58" t="s">
        <v>3868</v>
      </c>
      <c r="L48" s="58">
        <v>0.0</v>
      </c>
      <c r="M48" s="58" t="s">
        <v>3888</v>
      </c>
      <c r="N48" s="58">
        <v>2.0</v>
      </c>
      <c r="O48" s="58" t="b">
        <v>1</v>
      </c>
      <c r="P48" s="58"/>
      <c r="Q48" s="58" t="s">
        <v>3343</v>
      </c>
      <c r="R48" s="59" t="str">
        <f>IF(COUNTIF('Active Employees'!B:B, B48)&gt;0,"Y","N")</f>
        <v>N</v>
      </c>
      <c r="S48" s="58" t="s">
        <v>3874</v>
      </c>
      <c r="T48" s="58"/>
    </row>
    <row r="49">
      <c r="A49" s="58" t="s">
        <v>3949</v>
      </c>
      <c r="B49" s="58" t="s">
        <v>3950</v>
      </c>
      <c r="C49" s="58" t="s">
        <v>3866</v>
      </c>
      <c r="D49" s="58" t="s">
        <v>3867</v>
      </c>
      <c r="E49" s="68">
        <v>45799.77532407407</v>
      </c>
      <c r="F49" s="58" t="s">
        <v>3342</v>
      </c>
      <c r="G49" s="58" t="s">
        <v>3342</v>
      </c>
      <c r="H49" s="58" t="s">
        <v>3342</v>
      </c>
      <c r="I49" s="58" t="s">
        <v>3877</v>
      </c>
      <c r="J49" s="58" t="s">
        <v>3342</v>
      </c>
      <c r="K49" s="58" t="s">
        <v>3868</v>
      </c>
      <c r="L49" s="58">
        <v>0.0</v>
      </c>
      <c r="M49" s="58" t="s">
        <v>3885</v>
      </c>
      <c r="N49" s="58">
        <v>2.0</v>
      </c>
      <c r="O49" s="58" t="b">
        <v>1</v>
      </c>
      <c r="P49" s="58"/>
      <c r="Q49" s="58" t="s">
        <v>3343</v>
      </c>
      <c r="R49" s="59" t="str">
        <f>IF(COUNTIF('Active Employees'!B:B, B49)&gt;0,"Y","N")</f>
        <v>N</v>
      </c>
      <c r="S49" s="58" t="s">
        <v>3874</v>
      </c>
      <c r="T49" s="58"/>
    </row>
    <row r="50">
      <c r="A50" s="58" t="s">
        <v>3951</v>
      </c>
      <c r="B50" s="58" t="s">
        <v>3952</v>
      </c>
      <c r="C50" s="58" t="s">
        <v>3866</v>
      </c>
      <c r="D50" s="58" t="s">
        <v>3867</v>
      </c>
      <c r="E50" s="68">
        <v>45922.38190972222</v>
      </c>
      <c r="F50" s="58" t="s">
        <v>3342</v>
      </c>
      <c r="G50" s="58" t="s">
        <v>3342</v>
      </c>
      <c r="H50" s="58" t="s">
        <v>3342</v>
      </c>
      <c r="I50" s="58" t="s">
        <v>3877</v>
      </c>
      <c r="J50" s="58" t="s">
        <v>3342</v>
      </c>
      <c r="K50" s="58" t="s">
        <v>3868</v>
      </c>
      <c r="L50" s="58">
        <v>0.0</v>
      </c>
      <c r="M50" s="58" t="s">
        <v>3878</v>
      </c>
      <c r="N50" s="58">
        <v>2.0</v>
      </c>
      <c r="O50" s="58" t="b">
        <v>1</v>
      </c>
      <c r="P50" s="58"/>
      <c r="Q50" s="58" t="s">
        <v>3343</v>
      </c>
      <c r="R50" s="59" t="str">
        <f>IF(COUNTIF('Active Employees'!B:B, B50)&gt;0,"Y","N")</f>
        <v>N</v>
      </c>
      <c r="S50" s="58" t="s">
        <v>3874</v>
      </c>
      <c r="T50" s="58"/>
    </row>
    <row r="51">
      <c r="A51" s="58" t="s">
        <v>3953</v>
      </c>
      <c r="B51" s="58" t="s">
        <v>1608</v>
      </c>
      <c r="C51" s="58" t="s">
        <v>3866</v>
      </c>
      <c r="D51" s="58" t="s">
        <v>3867</v>
      </c>
      <c r="E51" s="68">
        <v>45799.774305555555</v>
      </c>
      <c r="F51" s="58" t="s">
        <v>3342</v>
      </c>
      <c r="G51" s="58" t="s">
        <v>3342</v>
      </c>
      <c r="H51" s="58" t="s">
        <v>3342</v>
      </c>
      <c r="I51" s="58" t="s">
        <v>3877</v>
      </c>
      <c r="J51" s="58" t="s">
        <v>3342</v>
      </c>
      <c r="K51" s="58" t="s">
        <v>3868</v>
      </c>
      <c r="L51" s="58">
        <v>0.0</v>
      </c>
      <c r="M51" s="58" t="s">
        <v>3891</v>
      </c>
      <c r="N51" s="58">
        <v>3.0</v>
      </c>
      <c r="O51" s="58" t="b">
        <v>1</v>
      </c>
      <c r="P51" s="58"/>
      <c r="Q51" s="58" t="s">
        <v>3343</v>
      </c>
      <c r="R51" s="59" t="str">
        <f>IF(COUNTIF('Active Employees'!B:B, B51)&gt;0,"Y","N")</f>
        <v>N</v>
      </c>
      <c r="S51" s="58" t="s">
        <v>3874</v>
      </c>
      <c r="T51" s="58"/>
    </row>
    <row r="52">
      <c r="A52" s="58" t="s">
        <v>3954</v>
      </c>
      <c r="B52" s="58" t="s">
        <v>3955</v>
      </c>
      <c r="C52" s="58" t="s">
        <v>3866</v>
      </c>
      <c r="D52" s="58" t="s">
        <v>3867</v>
      </c>
      <c r="E52" s="68">
        <v>45929.60938657408</v>
      </c>
      <c r="F52" s="58" t="s">
        <v>3342</v>
      </c>
      <c r="G52" s="58" t="s">
        <v>3342</v>
      </c>
      <c r="H52" s="58" t="s">
        <v>3342</v>
      </c>
      <c r="I52" s="58" t="s">
        <v>3877</v>
      </c>
      <c r="J52" s="58" t="s">
        <v>3342</v>
      </c>
      <c r="K52" s="58" t="s">
        <v>3868</v>
      </c>
      <c r="L52" s="58">
        <v>0.0</v>
      </c>
      <c r="M52" s="58" t="s">
        <v>3869</v>
      </c>
      <c r="N52" s="58">
        <v>2.0</v>
      </c>
      <c r="O52" s="58" t="b">
        <v>1</v>
      </c>
      <c r="P52" s="58"/>
      <c r="Q52" s="58" t="s">
        <v>3343</v>
      </c>
      <c r="R52" s="59" t="str">
        <f>IF(COUNTIF('Active Employees'!B:B, B52)&gt;0,"Y","N")</f>
        <v>N</v>
      </c>
      <c r="S52" s="58" t="s">
        <v>3874</v>
      </c>
      <c r="T52" s="58"/>
    </row>
    <row r="53">
      <c r="A53" s="58" t="s">
        <v>3956</v>
      </c>
      <c r="B53" s="58" t="s">
        <v>3957</v>
      </c>
      <c r="C53" s="58" t="s">
        <v>3866</v>
      </c>
      <c r="D53" s="58" t="s">
        <v>3867</v>
      </c>
      <c r="E53" s="68">
        <v>45799.77452546296</v>
      </c>
      <c r="F53" s="58" t="s">
        <v>3342</v>
      </c>
      <c r="G53" s="58" t="s">
        <v>3342</v>
      </c>
      <c r="H53" s="58" t="s">
        <v>3342</v>
      </c>
      <c r="I53" s="58" t="s">
        <v>3877</v>
      </c>
      <c r="J53" s="58" t="s">
        <v>3342</v>
      </c>
      <c r="K53" s="58" t="s">
        <v>3868</v>
      </c>
      <c r="L53" s="58">
        <v>0.0</v>
      </c>
      <c r="M53" s="58" t="s">
        <v>3878</v>
      </c>
      <c r="N53" s="58">
        <v>2.0</v>
      </c>
      <c r="O53" s="58" t="b">
        <v>1</v>
      </c>
      <c r="P53" s="58"/>
      <c r="Q53" s="58" t="s">
        <v>3343</v>
      </c>
      <c r="R53" s="59" t="str">
        <f>IF(COUNTIF('Active Employees'!B:B, B53)&gt;0,"Y","N")</f>
        <v>N</v>
      </c>
      <c r="S53" s="58" t="s">
        <v>3874</v>
      </c>
      <c r="T53" s="58"/>
    </row>
    <row r="54">
      <c r="A54" s="58" t="s">
        <v>2976</v>
      </c>
      <c r="B54" s="58" t="s">
        <v>2977</v>
      </c>
      <c r="C54" s="58" t="s">
        <v>3866</v>
      </c>
      <c r="D54" s="58" t="s">
        <v>3867</v>
      </c>
      <c r="E54" s="68">
        <v>45799.77400462963</v>
      </c>
      <c r="F54" s="58" t="s">
        <v>3342</v>
      </c>
      <c r="G54" s="58" t="s">
        <v>3342</v>
      </c>
      <c r="H54" s="58" t="s">
        <v>3342</v>
      </c>
      <c r="I54" s="58" t="s">
        <v>3877</v>
      </c>
      <c r="J54" s="58" t="s">
        <v>3342</v>
      </c>
      <c r="K54" s="58" t="s">
        <v>3868</v>
      </c>
      <c r="L54" s="58">
        <v>0.0</v>
      </c>
      <c r="M54" s="58" t="s">
        <v>3911</v>
      </c>
      <c r="N54" s="58">
        <v>3.0</v>
      </c>
      <c r="O54" s="58" t="b">
        <v>1</v>
      </c>
      <c r="P54" s="58"/>
      <c r="Q54" s="58" t="s">
        <v>3343</v>
      </c>
      <c r="R54" s="59" t="str">
        <f>IF(COUNTIF('Active Employees'!B:B, B54)&gt;0,"Y","N")</f>
        <v>N</v>
      </c>
      <c r="S54" s="58" t="s">
        <v>3958</v>
      </c>
      <c r="T54" s="58"/>
    </row>
    <row r="55">
      <c r="A55" s="58" t="s">
        <v>3959</v>
      </c>
      <c r="B55" s="58" t="s">
        <v>3960</v>
      </c>
      <c r="C55" s="58" t="s">
        <v>3961</v>
      </c>
      <c r="D55" s="58" t="s">
        <v>3962</v>
      </c>
      <c r="E55" s="68">
        <v>45678.93200231482</v>
      </c>
      <c r="F55" s="68">
        <v>45846.73967592593</v>
      </c>
      <c r="G55" s="58">
        <v>86.0</v>
      </c>
      <c r="H55" s="58" t="s">
        <v>3249</v>
      </c>
      <c r="I55" s="58" t="s">
        <v>706</v>
      </c>
      <c r="J55" s="68">
        <v>45678.918078703704</v>
      </c>
      <c r="K55" s="58" t="s">
        <v>3963</v>
      </c>
      <c r="L55" s="58">
        <v>3.0</v>
      </c>
      <c r="M55" s="58" t="s">
        <v>3964</v>
      </c>
      <c r="N55" s="58">
        <v>3.0</v>
      </c>
      <c r="O55" s="58" t="b">
        <v>1</v>
      </c>
      <c r="P55" s="58"/>
      <c r="Q55" s="58" t="s">
        <v>3343</v>
      </c>
      <c r="R55" s="59" t="str">
        <f>IF(COUNTIF('Active Employees'!B:B, B55)&gt;0,"Y","N")</f>
        <v>N</v>
      </c>
      <c r="S55" s="58" t="s">
        <v>3398</v>
      </c>
      <c r="T55" s="58"/>
    </row>
    <row r="56">
      <c r="A56" s="58" t="s">
        <v>3115</v>
      </c>
      <c r="B56" s="58" t="s">
        <v>3965</v>
      </c>
      <c r="C56" s="58" t="s">
        <v>3866</v>
      </c>
      <c r="D56" s="58" t="s">
        <v>3867</v>
      </c>
      <c r="E56" s="68">
        <v>45799.77402777778</v>
      </c>
      <c r="F56" s="68">
        <v>45856.274305555555</v>
      </c>
      <c r="G56" s="58">
        <v>76.0</v>
      </c>
      <c r="H56" s="58" t="s">
        <v>3342</v>
      </c>
      <c r="I56" s="58" t="s">
        <v>3877</v>
      </c>
      <c r="J56" s="58" t="s">
        <v>3342</v>
      </c>
      <c r="K56" s="58" t="s">
        <v>3868</v>
      </c>
      <c r="L56" s="58">
        <v>11.0</v>
      </c>
      <c r="M56" s="58" t="s">
        <v>3911</v>
      </c>
      <c r="N56" s="58">
        <v>3.0</v>
      </c>
      <c r="O56" s="58" t="b">
        <v>1</v>
      </c>
      <c r="P56" s="58"/>
      <c r="Q56" s="58" t="s">
        <v>3343</v>
      </c>
      <c r="R56" s="59" t="str">
        <f>IF(COUNTIF('Active Employees'!B:B, B56)&gt;0,"Y","N")</f>
        <v>N</v>
      </c>
      <c r="S56" s="58" t="s">
        <v>3398</v>
      </c>
      <c r="T56" s="58"/>
    </row>
    <row r="57">
      <c r="A57" s="58" t="s">
        <v>1614</v>
      </c>
      <c r="B57" s="58" t="s">
        <v>3078</v>
      </c>
      <c r="C57" s="58" t="s">
        <v>3866</v>
      </c>
      <c r="D57" s="58" t="s">
        <v>3867</v>
      </c>
      <c r="E57" s="68">
        <v>45799.77400462963</v>
      </c>
      <c r="F57" s="68">
        <v>45856.31653935185</v>
      </c>
      <c r="G57" s="58">
        <v>76.0</v>
      </c>
      <c r="H57" s="58" t="s">
        <v>3342</v>
      </c>
      <c r="I57" s="58" t="s">
        <v>3877</v>
      </c>
      <c r="J57" s="58" t="s">
        <v>3342</v>
      </c>
      <c r="K57" s="58" t="s">
        <v>3868</v>
      </c>
      <c r="L57" s="58">
        <v>1.0</v>
      </c>
      <c r="M57" s="58" t="s">
        <v>3911</v>
      </c>
      <c r="N57" s="58">
        <v>3.0</v>
      </c>
      <c r="O57" s="58" t="b">
        <v>1</v>
      </c>
      <c r="P57" s="58"/>
      <c r="Q57" s="58" t="s">
        <v>3343</v>
      </c>
      <c r="R57" s="59" t="str">
        <f>IF(COUNTIF('Active Employees'!B:B, B57)&gt;0,"Y","N")</f>
        <v>N</v>
      </c>
      <c r="S57" s="58" t="s">
        <v>3398</v>
      </c>
      <c r="T57" s="58"/>
    </row>
    <row r="58">
      <c r="A58" s="58" t="s">
        <v>3155</v>
      </c>
      <c r="B58" s="58" t="s">
        <v>3156</v>
      </c>
      <c r="C58" s="58" t="s">
        <v>3866</v>
      </c>
      <c r="D58" s="58" t="s">
        <v>3867</v>
      </c>
      <c r="E58" s="68">
        <v>45799.7740162037</v>
      </c>
      <c r="F58" s="68">
        <v>45856.315358796295</v>
      </c>
      <c r="G58" s="58">
        <v>76.0</v>
      </c>
      <c r="H58" s="58" t="s">
        <v>3342</v>
      </c>
      <c r="I58" s="58" t="s">
        <v>3877</v>
      </c>
      <c r="J58" s="58" t="s">
        <v>3342</v>
      </c>
      <c r="K58" s="58" t="s">
        <v>3868</v>
      </c>
      <c r="L58" s="58">
        <v>2.0</v>
      </c>
      <c r="M58" s="58" t="s">
        <v>3911</v>
      </c>
      <c r="N58" s="58">
        <v>3.0</v>
      </c>
      <c r="O58" s="58" t="b">
        <v>1</v>
      </c>
      <c r="P58" s="58"/>
      <c r="Q58" s="58" t="s">
        <v>3343</v>
      </c>
      <c r="R58" s="59" t="str">
        <f>IF(COUNTIF('Active Employees'!B:B, B58)&gt;0,"Y","N")</f>
        <v>N</v>
      </c>
      <c r="S58" s="58" t="s">
        <v>3398</v>
      </c>
      <c r="T58" s="58"/>
    </row>
    <row r="59">
      <c r="A59" s="58" t="s">
        <v>3016</v>
      </c>
      <c r="B59" s="58" t="s">
        <v>3966</v>
      </c>
      <c r="C59" s="58" t="s">
        <v>3866</v>
      </c>
      <c r="D59" s="58" t="s">
        <v>3867</v>
      </c>
      <c r="E59" s="68">
        <v>45799.7740162037</v>
      </c>
      <c r="F59" s="68">
        <v>45915.63056712963</v>
      </c>
      <c r="G59" s="58">
        <v>17.0</v>
      </c>
      <c r="H59" s="58" t="s">
        <v>3342</v>
      </c>
      <c r="I59" s="58" t="s">
        <v>3877</v>
      </c>
      <c r="J59" s="58" t="s">
        <v>3342</v>
      </c>
      <c r="K59" s="58" t="s">
        <v>3868</v>
      </c>
      <c r="L59" s="58">
        <v>6.0</v>
      </c>
      <c r="M59" s="58" t="s">
        <v>3911</v>
      </c>
      <c r="N59" s="58">
        <v>3.0</v>
      </c>
      <c r="O59" s="58" t="b">
        <v>1</v>
      </c>
      <c r="P59" s="58"/>
      <c r="Q59" s="58" t="s">
        <v>3343</v>
      </c>
      <c r="R59" s="59" t="str">
        <f>IF(COUNTIF('Active Employees'!B:B, B59)&gt;0,"Y","N")</f>
        <v>N</v>
      </c>
      <c r="S59" s="58" t="s">
        <v>3398</v>
      </c>
      <c r="T59" s="58"/>
    </row>
    <row r="60">
      <c r="A60" s="58" t="s">
        <v>3967</v>
      </c>
      <c r="B60" s="58" t="s">
        <v>2107</v>
      </c>
      <c r="C60" s="58" t="s">
        <v>3866</v>
      </c>
      <c r="D60" s="58" t="s">
        <v>3867</v>
      </c>
      <c r="E60" s="68">
        <v>45799.77452546296</v>
      </c>
      <c r="F60" s="68">
        <v>45926.36305555556</v>
      </c>
      <c r="G60" s="58">
        <v>6.0</v>
      </c>
      <c r="H60" s="58" t="s">
        <v>3342</v>
      </c>
      <c r="I60" s="58" t="s">
        <v>3877</v>
      </c>
      <c r="J60" s="58" t="s">
        <v>3342</v>
      </c>
      <c r="K60" s="58" t="s">
        <v>3868</v>
      </c>
      <c r="L60" s="58">
        <v>20.0</v>
      </c>
      <c r="M60" s="58" t="s">
        <v>3878</v>
      </c>
      <c r="N60" s="58">
        <v>2.0</v>
      </c>
      <c r="O60" s="58" t="b">
        <v>1</v>
      </c>
      <c r="P60" s="58"/>
      <c r="Q60" s="58" t="s">
        <v>3343</v>
      </c>
      <c r="R60" s="59" t="str">
        <f>IF(COUNTIF('Active Employees'!B:B, B60)&gt;0,"Y","N")</f>
        <v>N</v>
      </c>
      <c r="S60" s="58" t="s">
        <v>3398</v>
      </c>
      <c r="T60" s="58"/>
    </row>
    <row r="61">
      <c r="A61" s="58" t="s">
        <v>3968</v>
      </c>
      <c r="B61" s="58" t="s">
        <v>3969</v>
      </c>
      <c r="C61" s="58" t="s">
        <v>3866</v>
      </c>
      <c r="D61" s="58" t="s">
        <v>3867</v>
      </c>
      <c r="E61" s="68">
        <v>45922.38240740741</v>
      </c>
      <c r="F61" s="68">
        <v>45931.803148148145</v>
      </c>
      <c r="G61" s="58">
        <v>1.0</v>
      </c>
      <c r="H61" s="58" t="s">
        <v>3342</v>
      </c>
      <c r="I61" s="58" t="s">
        <v>3877</v>
      </c>
      <c r="J61" s="58" t="s">
        <v>3342</v>
      </c>
      <c r="K61" s="58" t="s">
        <v>3868</v>
      </c>
      <c r="L61" s="58">
        <v>3.0</v>
      </c>
      <c r="M61" s="58" t="s">
        <v>3885</v>
      </c>
      <c r="N61" s="58">
        <v>2.0</v>
      </c>
      <c r="O61" s="58" t="b">
        <v>1</v>
      </c>
      <c r="P61" s="58"/>
      <c r="Q61" s="58" t="s">
        <v>3343</v>
      </c>
      <c r="R61" s="59" t="str">
        <f>IF(COUNTIF('Active Employees'!B:B, B61)&gt;0,"Y","N")</f>
        <v>N</v>
      </c>
      <c r="S61" s="58" t="s">
        <v>3398</v>
      </c>
      <c r="T61" s="58"/>
    </row>
    <row r="62">
      <c r="A62" s="58" t="s">
        <v>3970</v>
      </c>
      <c r="B62" s="58" t="s">
        <v>3971</v>
      </c>
      <c r="C62" s="58" t="s">
        <v>3866</v>
      </c>
      <c r="D62" s="58" t="s">
        <v>3867</v>
      </c>
      <c r="E62" s="68">
        <v>45922.379282407404</v>
      </c>
      <c r="F62" s="68">
        <v>45931.942395833335</v>
      </c>
      <c r="G62" s="58">
        <v>1.0</v>
      </c>
      <c r="H62" s="58" t="s">
        <v>3342</v>
      </c>
      <c r="I62" s="58" t="s">
        <v>3877</v>
      </c>
      <c r="J62" s="58" t="s">
        <v>3342</v>
      </c>
      <c r="K62" s="58" t="s">
        <v>3868</v>
      </c>
      <c r="L62" s="58">
        <v>3.0</v>
      </c>
      <c r="M62" s="58" t="s">
        <v>3918</v>
      </c>
      <c r="N62" s="58">
        <v>2.0</v>
      </c>
      <c r="O62" s="58" t="b">
        <v>1</v>
      </c>
      <c r="P62" s="58"/>
      <c r="Q62" s="58" t="s">
        <v>3343</v>
      </c>
      <c r="R62" s="59" t="str">
        <f>IF(COUNTIF('Active Employees'!B:B, B62)&gt;0,"Y","N")</f>
        <v>N</v>
      </c>
      <c r="S62" s="58" t="s">
        <v>3398</v>
      </c>
      <c r="T62" s="58"/>
    </row>
    <row r="63">
      <c r="A63" s="58" t="s">
        <v>3323</v>
      </c>
      <c r="B63" s="58" t="s">
        <v>3324</v>
      </c>
      <c r="C63" s="58" t="s">
        <v>3961</v>
      </c>
      <c r="D63" s="58" t="s">
        <v>1440</v>
      </c>
      <c r="E63" s="68">
        <v>45784.159375</v>
      </c>
      <c r="F63" s="68">
        <v>45931.413877314815</v>
      </c>
      <c r="G63" s="58">
        <v>1.0</v>
      </c>
      <c r="H63" s="58" t="s">
        <v>3342</v>
      </c>
      <c r="I63" s="58" t="s">
        <v>3877</v>
      </c>
      <c r="J63" s="58" t="s">
        <v>3342</v>
      </c>
      <c r="K63" s="58" t="s">
        <v>3972</v>
      </c>
      <c r="L63" s="58">
        <v>12165.0</v>
      </c>
      <c r="M63" s="58" t="s">
        <v>3878</v>
      </c>
      <c r="N63" s="58">
        <v>2.0</v>
      </c>
      <c r="O63" s="58" t="b">
        <v>1</v>
      </c>
      <c r="P63" s="58"/>
      <c r="Q63" s="58" t="s">
        <v>3343</v>
      </c>
      <c r="R63" s="59" t="str">
        <f>IF(COUNTIF('Active Employees'!B:B, B63)&gt;0,"Y","N")</f>
        <v>N</v>
      </c>
      <c r="S63" s="58" t="s">
        <v>3398</v>
      </c>
      <c r="T63" s="58"/>
    </row>
    <row r="64">
      <c r="A64" s="58" t="s">
        <v>3195</v>
      </c>
      <c r="B64" s="58" t="s">
        <v>3196</v>
      </c>
      <c r="C64" s="58" t="s">
        <v>3961</v>
      </c>
      <c r="D64" s="58" t="s">
        <v>1440</v>
      </c>
      <c r="E64" s="68">
        <v>45784.288993055554</v>
      </c>
      <c r="F64" s="68">
        <v>45932.17732638889</v>
      </c>
      <c r="G64" s="58">
        <v>0.0</v>
      </c>
      <c r="H64" s="58" t="s">
        <v>3342</v>
      </c>
      <c r="I64" s="58" t="s">
        <v>3877</v>
      </c>
      <c r="J64" s="58" t="s">
        <v>3342</v>
      </c>
      <c r="K64" s="58" t="s">
        <v>3972</v>
      </c>
      <c r="L64" s="58">
        <v>2813.0</v>
      </c>
      <c r="M64" s="58" t="s">
        <v>3878</v>
      </c>
      <c r="N64" s="58">
        <v>2.0</v>
      </c>
      <c r="O64" s="58" t="b">
        <v>1</v>
      </c>
      <c r="P64" s="58"/>
      <c r="Q64" s="58" t="s">
        <v>3343</v>
      </c>
      <c r="R64" s="59" t="str">
        <f>IF(COUNTIF('Active Employees'!B:B, B64)&gt;0,"Y","N")</f>
        <v>N</v>
      </c>
      <c r="S64" s="58" t="s">
        <v>3398</v>
      </c>
      <c r="T64" s="58"/>
    </row>
    <row r="65">
      <c r="A65" s="58" t="s">
        <v>3012</v>
      </c>
      <c r="B65" s="58" t="s">
        <v>1373</v>
      </c>
      <c r="C65" s="58" t="s">
        <v>3866</v>
      </c>
      <c r="D65" s="58" t="s">
        <v>3867</v>
      </c>
      <c r="E65" s="68">
        <v>45799.77532407407</v>
      </c>
      <c r="F65" s="58" t="s">
        <v>3342</v>
      </c>
      <c r="G65" s="58" t="s">
        <v>3342</v>
      </c>
      <c r="H65" s="58" t="s">
        <v>3342</v>
      </c>
      <c r="I65" s="58" t="s">
        <v>3877</v>
      </c>
      <c r="J65" s="58" t="s">
        <v>3342</v>
      </c>
      <c r="K65" s="58" t="s">
        <v>3868</v>
      </c>
      <c r="L65" s="58">
        <v>0.0</v>
      </c>
      <c r="M65" s="58" t="s">
        <v>3885</v>
      </c>
      <c r="N65" s="58">
        <v>2.0</v>
      </c>
      <c r="O65" s="58" t="b">
        <v>1</v>
      </c>
      <c r="P65" s="58"/>
      <c r="Q65" s="58"/>
      <c r="R65" s="59" t="str">
        <f>IF(COUNTIF('Active Employees'!B:B, B65)&gt;0,"Y","N")</f>
        <v>Y</v>
      </c>
      <c r="S65" s="58" t="s">
        <v>3874</v>
      </c>
      <c r="T65" s="58"/>
    </row>
    <row r="66">
      <c r="A66" s="58" t="s">
        <v>3092</v>
      </c>
      <c r="B66" s="58" t="s">
        <v>1349</v>
      </c>
      <c r="C66" s="58" t="s">
        <v>3866</v>
      </c>
      <c r="D66" s="58" t="s">
        <v>3867</v>
      </c>
      <c r="E66" s="68">
        <v>45799.77425925926</v>
      </c>
      <c r="F66" s="58" t="s">
        <v>3342</v>
      </c>
      <c r="G66" s="58" t="s">
        <v>3342</v>
      </c>
      <c r="H66" s="58" t="s">
        <v>3342</v>
      </c>
      <c r="I66" s="58" t="s">
        <v>3877</v>
      </c>
      <c r="J66" s="58" t="s">
        <v>3342</v>
      </c>
      <c r="K66" s="58" t="s">
        <v>3868</v>
      </c>
      <c r="L66" s="58">
        <v>0.0</v>
      </c>
      <c r="M66" s="58" t="s">
        <v>3918</v>
      </c>
      <c r="N66" s="58">
        <v>2.0</v>
      </c>
      <c r="O66" s="58" t="b">
        <v>1</v>
      </c>
      <c r="P66" s="58"/>
      <c r="Q66" s="58"/>
      <c r="R66" s="59" t="str">
        <f>IF(COUNTIF('Active Employees'!B:B, B66)&gt;0,"Y","N")</f>
        <v>Y</v>
      </c>
      <c r="S66" s="58" t="s">
        <v>3874</v>
      </c>
      <c r="T66" s="58"/>
    </row>
    <row r="67">
      <c r="A67" s="58" t="s">
        <v>3973</v>
      </c>
      <c r="B67" s="58" t="s">
        <v>330</v>
      </c>
      <c r="C67" s="58" t="s">
        <v>3866</v>
      </c>
      <c r="D67" s="58" t="s">
        <v>3867</v>
      </c>
      <c r="E67" s="68">
        <v>45799.774409722224</v>
      </c>
      <c r="F67" s="58" t="s">
        <v>3342</v>
      </c>
      <c r="G67" s="58" t="s">
        <v>3342</v>
      </c>
      <c r="H67" s="58" t="s">
        <v>3342</v>
      </c>
      <c r="I67" s="58" t="s">
        <v>3877</v>
      </c>
      <c r="J67" s="58" t="s">
        <v>3342</v>
      </c>
      <c r="K67" s="58" t="s">
        <v>3868</v>
      </c>
      <c r="L67" s="58">
        <v>0.0</v>
      </c>
      <c r="M67" s="58" t="s">
        <v>3974</v>
      </c>
      <c r="N67" s="58">
        <v>3.0</v>
      </c>
      <c r="O67" s="58" t="b">
        <v>1</v>
      </c>
      <c r="P67" s="58"/>
      <c r="Q67" s="58"/>
      <c r="R67" s="59" t="str">
        <f>IF(COUNTIF('Active Employees'!B:B, B67)&gt;0,"Y","N")</f>
        <v>Y</v>
      </c>
      <c r="S67" s="58" t="s">
        <v>3874</v>
      </c>
      <c r="T67" s="58"/>
    </row>
    <row r="68">
      <c r="A68" s="58" t="s">
        <v>3975</v>
      </c>
      <c r="B68" s="58" t="s">
        <v>1414</v>
      </c>
      <c r="C68" s="58" t="s">
        <v>3866</v>
      </c>
      <c r="D68" s="58" t="s">
        <v>3867</v>
      </c>
      <c r="E68" s="68">
        <v>45810.60622685185</v>
      </c>
      <c r="F68" s="58" t="s">
        <v>3342</v>
      </c>
      <c r="G68" s="58" t="s">
        <v>3342</v>
      </c>
      <c r="H68" s="58" t="s">
        <v>3342</v>
      </c>
      <c r="I68" s="58" t="s">
        <v>3877</v>
      </c>
      <c r="J68" s="58" t="s">
        <v>3342</v>
      </c>
      <c r="K68" s="58" t="s">
        <v>3868</v>
      </c>
      <c r="L68" s="58">
        <v>0.0</v>
      </c>
      <c r="M68" s="58" t="s">
        <v>3918</v>
      </c>
      <c r="N68" s="58">
        <v>2.0</v>
      </c>
      <c r="O68" s="58" t="b">
        <v>1</v>
      </c>
      <c r="P68" s="58"/>
      <c r="Q68" s="58"/>
      <c r="R68" s="59" t="str">
        <f>IF(COUNTIF('Active Employees'!B:B, B68)&gt;0,"Y","N")</f>
        <v>Y</v>
      </c>
      <c r="S68" s="58" t="s">
        <v>3874</v>
      </c>
      <c r="T68" s="58"/>
    </row>
    <row r="69">
      <c r="A69" s="58" t="s">
        <v>3119</v>
      </c>
      <c r="B69" s="58" t="s">
        <v>659</v>
      </c>
      <c r="C69" s="58" t="s">
        <v>3866</v>
      </c>
      <c r="D69" s="58" t="s">
        <v>3867</v>
      </c>
      <c r="E69" s="68">
        <v>45901.619155092594</v>
      </c>
      <c r="F69" s="58" t="s">
        <v>3342</v>
      </c>
      <c r="G69" s="58" t="s">
        <v>3342</v>
      </c>
      <c r="H69" s="58" t="s">
        <v>3342</v>
      </c>
      <c r="I69" s="58" t="s">
        <v>3877</v>
      </c>
      <c r="J69" s="58" t="s">
        <v>3342</v>
      </c>
      <c r="K69" s="58" t="s">
        <v>3868</v>
      </c>
      <c r="L69" s="58">
        <v>0.0</v>
      </c>
      <c r="M69" s="58" t="s">
        <v>3885</v>
      </c>
      <c r="N69" s="58">
        <v>2.0</v>
      </c>
      <c r="O69" s="58" t="b">
        <v>1</v>
      </c>
      <c r="P69" s="58"/>
      <c r="Q69" s="58"/>
      <c r="R69" s="59" t="str">
        <f>IF(COUNTIF('Active Employees'!B:B, B69)&gt;0,"Y","N")</f>
        <v>Y</v>
      </c>
      <c r="S69" s="58" t="s">
        <v>3874</v>
      </c>
      <c r="T69" s="58"/>
    </row>
    <row r="70">
      <c r="A70" s="58" t="s">
        <v>1744</v>
      </c>
      <c r="B70" s="58" t="s">
        <v>724</v>
      </c>
      <c r="C70" s="58" t="s">
        <v>3866</v>
      </c>
      <c r="D70" s="58" t="s">
        <v>3867</v>
      </c>
      <c r="E70" s="68">
        <v>45799.77416666667</v>
      </c>
      <c r="F70" s="58" t="s">
        <v>3342</v>
      </c>
      <c r="G70" s="58" t="s">
        <v>3342</v>
      </c>
      <c r="H70" s="58" t="s">
        <v>3342</v>
      </c>
      <c r="I70" s="58" t="s">
        <v>3877</v>
      </c>
      <c r="J70" s="58" t="s">
        <v>3342</v>
      </c>
      <c r="K70" s="58" t="s">
        <v>3868</v>
      </c>
      <c r="L70" s="58">
        <v>0.0</v>
      </c>
      <c r="M70" s="58" t="s">
        <v>3918</v>
      </c>
      <c r="N70" s="58">
        <v>2.0</v>
      </c>
      <c r="O70" s="58" t="b">
        <v>1</v>
      </c>
      <c r="P70" s="58"/>
      <c r="Q70" s="58"/>
      <c r="R70" s="59" t="str">
        <f>IF(COUNTIF('Active Employees'!B:B, B70)&gt;0,"Y","N")</f>
        <v>Y</v>
      </c>
      <c r="S70" s="58" t="s">
        <v>3874</v>
      </c>
      <c r="T70" s="58"/>
    </row>
    <row r="71">
      <c r="A71" s="58" t="s">
        <v>317</v>
      </c>
      <c r="B71" s="58" t="s">
        <v>1175</v>
      </c>
      <c r="C71" s="58" t="s">
        <v>3866</v>
      </c>
      <c r="D71" s="58" t="s">
        <v>3867</v>
      </c>
      <c r="E71" s="68">
        <v>45799.774409722224</v>
      </c>
      <c r="F71" s="58" t="s">
        <v>3342</v>
      </c>
      <c r="G71" s="58" t="s">
        <v>3342</v>
      </c>
      <c r="H71" s="58" t="s">
        <v>3342</v>
      </c>
      <c r="I71" s="58" t="s">
        <v>3877</v>
      </c>
      <c r="J71" s="58" t="s">
        <v>3342</v>
      </c>
      <c r="K71" s="58" t="s">
        <v>3868</v>
      </c>
      <c r="L71" s="58">
        <v>0.0</v>
      </c>
      <c r="M71" s="58" t="s">
        <v>3888</v>
      </c>
      <c r="N71" s="58">
        <v>2.0</v>
      </c>
      <c r="O71" s="58" t="b">
        <v>1</v>
      </c>
      <c r="P71" s="58"/>
      <c r="Q71" s="58"/>
      <c r="R71" s="59" t="str">
        <f>IF(COUNTIF('Active Employees'!B:B, B71)&gt;0,"Y","N")</f>
        <v>Y</v>
      </c>
      <c r="S71" s="58" t="s">
        <v>3874</v>
      </c>
      <c r="T71" s="58"/>
    </row>
    <row r="72">
      <c r="A72" s="58" t="s">
        <v>1515</v>
      </c>
      <c r="B72" s="58" t="s">
        <v>1397</v>
      </c>
      <c r="C72" s="58" t="s">
        <v>3866</v>
      </c>
      <c r="D72" s="58" t="s">
        <v>3867</v>
      </c>
      <c r="E72" s="68">
        <v>45799.77415509259</v>
      </c>
      <c r="F72" s="58" t="s">
        <v>3342</v>
      </c>
      <c r="G72" s="58" t="s">
        <v>3342</v>
      </c>
      <c r="H72" s="58" t="s">
        <v>3342</v>
      </c>
      <c r="I72" s="58" t="s">
        <v>3877</v>
      </c>
      <c r="J72" s="58" t="s">
        <v>3342</v>
      </c>
      <c r="K72" s="58" t="s">
        <v>3868</v>
      </c>
      <c r="L72" s="58">
        <v>0.0</v>
      </c>
      <c r="M72" s="58" t="s">
        <v>3918</v>
      </c>
      <c r="N72" s="58">
        <v>2.0</v>
      </c>
      <c r="O72" s="58" t="b">
        <v>1</v>
      </c>
      <c r="P72" s="58"/>
      <c r="Q72" s="58"/>
      <c r="R72" s="59" t="str">
        <f>IF(COUNTIF('Active Employees'!B:B, B72)&gt;0,"Y","N")</f>
        <v>Y</v>
      </c>
      <c r="S72" s="58" t="s">
        <v>3874</v>
      </c>
      <c r="T72" s="58"/>
    </row>
    <row r="73">
      <c r="A73" s="58" t="s">
        <v>3976</v>
      </c>
      <c r="B73" s="58" t="s">
        <v>1018</v>
      </c>
      <c r="C73" s="58" t="s">
        <v>3866</v>
      </c>
      <c r="D73" s="58" t="s">
        <v>3867</v>
      </c>
      <c r="E73" s="68">
        <v>45799.817025462966</v>
      </c>
      <c r="F73" s="58" t="s">
        <v>3342</v>
      </c>
      <c r="G73" s="58" t="s">
        <v>3342</v>
      </c>
      <c r="H73" s="58" t="s">
        <v>3342</v>
      </c>
      <c r="I73" s="58" t="s">
        <v>3877</v>
      </c>
      <c r="J73" s="58" t="s">
        <v>3342</v>
      </c>
      <c r="K73" s="58" t="s">
        <v>3868</v>
      </c>
      <c r="L73" s="58">
        <v>0.0</v>
      </c>
      <c r="M73" s="58" t="s">
        <v>3885</v>
      </c>
      <c r="N73" s="58">
        <v>2.0</v>
      </c>
      <c r="O73" s="58" t="b">
        <v>1</v>
      </c>
      <c r="P73" s="58"/>
      <c r="Q73" s="58"/>
      <c r="R73" s="59" t="str">
        <f>IF(COUNTIF('Active Employees'!B:B, B73)&gt;0,"Y","N")</f>
        <v>Y</v>
      </c>
      <c r="S73" s="58" t="s">
        <v>3874</v>
      </c>
      <c r="T73" s="58"/>
    </row>
    <row r="74">
      <c r="A74" s="58" t="s">
        <v>3977</v>
      </c>
      <c r="B74" s="58" t="s">
        <v>1200</v>
      </c>
      <c r="C74" s="58" t="s">
        <v>3866</v>
      </c>
      <c r="D74" s="58" t="s">
        <v>3867</v>
      </c>
      <c r="E74" s="68">
        <v>45799.77479166666</v>
      </c>
      <c r="F74" s="58" t="s">
        <v>3342</v>
      </c>
      <c r="G74" s="58" t="s">
        <v>3342</v>
      </c>
      <c r="H74" s="58" t="s">
        <v>3342</v>
      </c>
      <c r="I74" s="58" t="s">
        <v>3877</v>
      </c>
      <c r="J74" s="58" t="s">
        <v>3342</v>
      </c>
      <c r="K74" s="58" t="s">
        <v>3868</v>
      </c>
      <c r="L74" s="58">
        <v>0.0</v>
      </c>
      <c r="M74" s="58" t="s">
        <v>3869</v>
      </c>
      <c r="N74" s="58">
        <v>2.0</v>
      </c>
      <c r="O74" s="58" t="b">
        <v>1</v>
      </c>
      <c r="P74" s="58"/>
      <c r="Q74" s="58"/>
      <c r="R74" s="59" t="str">
        <f>IF(COUNTIF('Active Employees'!B:B, B74)&gt;0,"Y","N")</f>
        <v>Y</v>
      </c>
      <c r="S74" s="58" t="s">
        <v>3874</v>
      </c>
      <c r="T74" s="58"/>
    </row>
    <row r="75">
      <c r="A75" s="58" t="s">
        <v>3281</v>
      </c>
      <c r="B75" s="58" t="s">
        <v>527</v>
      </c>
      <c r="C75" s="58" t="s">
        <v>3866</v>
      </c>
      <c r="D75" s="58" t="s">
        <v>3867</v>
      </c>
      <c r="E75" s="68">
        <v>45799.77533564815</v>
      </c>
      <c r="F75" s="58" t="s">
        <v>3342</v>
      </c>
      <c r="G75" s="58" t="s">
        <v>3342</v>
      </c>
      <c r="H75" s="58" t="s">
        <v>3342</v>
      </c>
      <c r="I75" s="58" t="s">
        <v>3877</v>
      </c>
      <c r="J75" s="58" t="s">
        <v>3342</v>
      </c>
      <c r="K75" s="58" t="s">
        <v>3868</v>
      </c>
      <c r="L75" s="58">
        <v>0.0</v>
      </c>
      <c r="M75" s="58" t="s">
        <v>3885</v>
      </c>
      <c r="N75" s="58">
        <v>2.0</v>
      </c>
      <c r="O75" s="58" t="b">
        <v>1</v>
      </c>
      <c r="P75" s="58"/>
      <c r="Q75" s="58"/>
      <c r="R75" s="59" t="str">
        <f>IF(COUNTIF('Active Employees'!B:B, B75)&gt;0,"Y","N")</f>
        <v>Y</v>
      </c>
      <c r="S75" s="58" t="s">
        <v>3874</v>
      </c>
      <c r="T75" s="58"/>
    </row>
    <row r="76">
      <c r="A76" s="58" t="s">
        <v>3054</v>
      </c>
      <c r="B76" s="58" t="s">
        <v>914</v>
      </c>
      <c r="C76" s="58" t="s">
        <v>3866</v>
      </c>
      <c r="D76" s="58" t="s">
        <v>3867</v>
      </c>
      <c r="E76" s="68">
        <v>45799.77479166666</v>
      </c>
      <c r="F76" s="58" t="s">
        <v>3342</v>
      </c>
      <c r="G76" s="58" t="s">
        <v>3342</v>
      </c>
      <c r="H76" s="58" t="s">
        <v>3342</v>
      </c>
      <c r="I76" s="58" t="s">
        <v>3877</v>
      </c>
      <c r="J76" s="58" t="s">
        <v>3342</v>
      </c>
      <c r="K76" s="58" t="s">
        <v>3868</v>
      </c>
      <c r="L76" s="58">
        <v>0.0</v>
      </c>
      <c r="M76" s="58" t="s">
        <v>3869</v>
      </c>
      <c r="N76" s="58">
        <v>2.0</v>
      </c>
      <c r="O76" s="58" t="b">
        <v>1</v>
      </c>
      <c r="P76" s="58"/>
      <c r="Q76" s="58"/>
      <c r="R76" s="59" t="str">
        <f>IF(COUNTIF('Active Employees'!B:B, B76)&gt;0,"Y","N")</f>
        <v>Y</v>
      </c>
      <c r="S76" s="58" t="s">
        <v>3874</v>
      </c>
      <c r="T76" s="58"/>
    </row>
    <row r="77">
      <c r="A77" s="58" t="s">
        <v>2958</v>
      </c>
      <c r="B77" s="58" t="s">
        <v>1145</v>
      </c>
      <c r="C77" s="58" t="s">
        <v>3866</v>
      </c>
      <c r="D77" s="58" t="s">
        <v>3867</v>
      </c>
      <c r="E77" s="68">
        <v>45148.738657407404</v>
      </c>
      <c r="F77" s="58" t="s">
        <v>3342</v>
      </c>
      <c r="G77" s="58" t="s">
        <v>3342</v>
      </c>
      <c r="H77" s="58" t="s">
        <v>3342</v>
      </c>
      <c r="I77" s="58" t="s">
        <v>3877</v>
      </c>
      <c r="J77" s="58" t="s">
        <v>3342</v>
      </c>
      <c r="K77" s="58" t="s">
        <v>3868</v>
      </c>
      <c r="L77" s="58">
        <v>0.0</v>
      </c>
      <c r="M77" s="58" t="s">
        <v>3918</v>
      </c>
      <c r="N77" s="58">
        <v>2.0</v>
      </c>
      <c r="O77" s="58" t="b">
        <v>1</v>
      </c>
      <c r="P77" s="58"/>
      <c r="Q77" s="58"/>
      <c r="R77" s="59" t="str">
        <f>IF(COUNTIF('Active Employees'!B:B, B77)&gt;0,"Y","N")</f>
        <v>Y</v>
      </c>
      <c r="S77" s="58" t="s">
        <v>3874</v>
      </c>
      <c r="T77" s="58"/>
    </row>
    <row r="78">
      <c r="A78" s="58" t="s">
        <v>3978</v>
      </c>
      <c r="B78" s="58" t="s">
        <v>773</v>
      </c>
      <c r="C78" s="58" t="s">
        <v>3866</v>
      </c>
      <c r="D78" s="58" t="s">
        <v>3867</v>
      </c>
      <c r="E78" s="68">
        <v>45799.774409722224</v>
      </c>
      <c r="F78" s="58" t="s">
        <v>3342</v>
      </c>
      <c r="G78" s="58" t="s">
        <v>3342</v>
      </c>
      <c r="H78" s="58" t="s">
        <v>3342</v>
      </c>
      <c r="I78" s="58" t="s">
        <v>3877</v>
      </c>
      <c r="J78" s="58" t="s">
        <v>3342</v>
      </c>
      <c r="K78" s="58" t="s">
        <v>3868</v>
      </c>
      <c r="L78" s="58">
        <v>0.0</v>
      </c>
      <c r="M78" s="58" t="s">
        <v>3974</v>
      </c>
      <c r="N78" s="58">
        <v>3.0</v>
      </c>
      <c r="O78" s="58" t="b">
        <v>1</v>
      </c>
      <c r="P78" s="58"/>
      <c r="Q78" s="58"/>
      <c r="R78" s="59" t="str">
        <f>IF(COUNTIF('Active Employees'!B:B, B78)&gt;0,"Y","N")</f>
        <v>Y</v>
      </c>
      <c r="S78" s="58" t="s">
        <v>3874</v>
      </c>
      <c r="T78" s="58"/>
    </row>
    <row r="79">
      <c r="A79" s="58" t="s">
        <v>3065</v>
      </c>
      <c r="B79" s="58" t="s">
        <v>701</v>
      </c>
      <c r="C79" s="58" t="s">
        <v>3866</v>
      </c>
      <c r="D79" s="58" t="s">
        <v>3867</v>
      </c>
      <c r="E79" s="68">
        <v>45799.77423611111</v>
      </c>
      <c r="F79" s="58" t="s">
        <v>3342</v>
      </c>
      <c r="G79" s="58" t="s">
        <v>3342</v>
      </c>
      <c r="H79" s="58" t="s">
        <v>3342</v>
      </c>
      <c r="I79" s="58" t="s">
        <v>3877</v>
      </c>
      <c r="J79" s="58" t="s">
        <v>3342</v>
      </c>
      <c r="K79" s="58" t="s">
        <v>3868</v>
      </c>
      <c r="L79" s="58">
        <v>0.0</v>
      </c>
      <c r="M79" s="58" t="s">
        <v>3918</v>
      </c>
      <c r="N79" s="58">
        <v>2.0</v>
      </c>
      <c r="O79" s="58" t="b">
        <v>1</v>
      </c>
      <c r="P79" s="58"/>
      <c r="Q79" s="58"/>
      <c r="R79" s="59" t="str">
        <f>IF(COUNTIF('Active Employees'!B:B, B79)&gt;0,"Y","N")</f>
        <v>Y</v>
      </c>
      <c r="S79" s="58" t="s">
        <v>3874</v>
      </c>
      <c r="T79" s="58"/>
    </row>
    <row r="80">
      <c r="A80" s="58" t="s">
        <v>3979</v>
      </c>
      <c r="B80" s="58" t="s">
        <v>281</v>
      </c>
      <c r="C80" s="58" t="s">
        <v>3866</v>
      </c>
      <c r="D80" s="58" t="s">
        <v>3867</v>
      </c>
      <c r="E80" s="68">
        <v>45799.774247685185</v>
      </c>
      <c r="F80" s="58" t="s">
        <v>3342</v>
      </c>
      <c r="G80" s="58" t="s">
        <v>3342</v>
      </c>
      <c r="H80" s="58" t="s">
        <v>3342</v>
      </c>
      <c r="I80" s="58" t="s">
        <v>3877</v>
      </c>
      <c r="J80" s="58" t="s">
        <v>3342</v>
      </c>
      <c r="K80" s="58" t="s">
        <v>3868</v>
      </c>
      <c r="L80" s="58">
        <v>0.0</v>
      </c>
      <c r="M80" s="58" t="s">
        <v>3918</v>
      </c>
      <c r="N80" s="58">
        <v>2.0</v>
      </c>
      <c r="O80" s="58" t="b">
        <v>1</v>
      </c>
      <c r="P80" s="58"/>
      <c r="Q80" s="58"/>
      <c r="R80" s="59" t="str">
        <f>IF(COUNTIF('Active Employees'!B:B, B80)&gt;0,"Y","N")</f>
        <v>Y</v>
      </c>
      <c r="S80" s="58" t="s">
        <v>3874</v>
      </c>
      <c r="T80" s="58"/>
    </row>
    <row r="81">
      <c r="A81" s="58" t="s">
        <v>3980</v>
      </c>
      <c r="B81" s="58" t="s">
        <v>888</v>
      </c>
      <c r="C81" s="58" t="s">
        <v>3866</v>
      </c>
      <c r="D81" s="58" t="s">
        <v>3867</v>
      </c>
      <c r="E81" s="68">
        <v>45799.77415509259</v>
      </c>
      <c r="F81" s="58" t="s">
        <v>3342</v>
      </c>
      <c r="G81" s="58" t="s">
        <v>3342</v>
      </c>
      <c r="H81" s="58" t="s">
        <v>3342</v>
      </c>
      <c r="I81" s="58" t="s">
        <v>3877</v>
      </c>
      <c r="J81" s="58" t="s">
        <v>3342</v>
      </c>
      <c r="K81" s="58" t="s">
        <v>3868</v>
      </c>
      <c r="L81" s="58">
        <v>0.0</v>
      </c>
      <c r="M81" s="58" t="s">
        <v>3918</v>
      </c>
      <c r="N81" s="58">
        <v>2.0</v>
      </c>
      <c r="O81" s="58" t="b">
        <v>1</v>
      </c>
      <c r="P81" s="58"/>
      <c r="Q81" s="58"/>
      <c r="R81" s="59" t="str">
        <f>IF(COUNTIF('Active Employees'!B:B, B81)&gt;0,"Y","N")</f>
        <v>Y</v>
      </c>
      <c r="S81" s="58" t="s">
        <v>3874</v>
      </c>
      <c r="T81" s="58"/>
    </row>
    <row r="82">
      <c r="A82" s="58" t="s">
        <v>2994</v>
      </c>
      <c r="B82" s="58" t="s">
        <v>535</v>
      </c>
      <c r="C82" s="58" t="s">
        <v>3866</v>
      </c>
      <c r="D82" s="58" t="s">
        <v>3867</v>
      </c>
      <c r="E82" s="68">
        <v>45799.77533564815</v>
      </c>
      <c r="F82" s="58" t="s">
        <v>3342</v>
      </c>
      <c r="G82" s="58" t="s">
        <v>3342</v>
      </c>
      <c r="H82" s="58" t="s">
        <v>3342</v>
      </c>
      <c r="I82" s="58" t="s">
        <v>3877</v>
      </c>
      <c r="J82" s="58" t="s">
        <v>3342</v>
      </c>
      <c r="K82" s="58" t="s">
        <v>3868</v>
      </c>
      <c r="L82" s="58">
        <v>0.0</v>
      </c>
      <c r="M82" s="58" t="s">
        <v>3885</v>
      </c>
      <c r="N82" s="58">
        <v>2.0</v>
      </c>
      <c r="O82" s="58" t="b">
        <v>1</v>
      </c>
      <c r="P82" s="58"/>
      <c r="Q82" s="58"/>
      <c r="R82" s="59" t="str">
        <f>IF(COUNTIF('Active Employees'!B:B, B82)&gt;0,"Y","N")</f>
        <v>Y</v>
      </c>
      <c r="S82" s="58" t="s">
        <v>3874</v>
      </c>
      <c r="T82" s="58"/>
    </row>
    <row r="83">
      <c r="A83" s="58" t="s">
        <v>3981</v>
      </c>
      <c r="B83" s="58" t="s">
        <v>277</v>
      </c>
      <c r="C83" s="58" t="s">
        <v>3866</v>
      </c>
      <c r="D83" s="58" t="s">
        <v>3867</v>
      </c>
      <c r="E83" s="68">
        <v>45799.77439814815</v>
      </c>
      <c r="F83" s="58" t="s">
        <v>3342</v>
      </c>
      <c r="G83" s="58" t="s">
        <v>3342</v>
      </c>
      <c r="H83" s="58" t="s">
        <v>3342</v>
      </c>
      <c r="I83" s="58" t="s">
        <v>3877</v>
      </c>
      <c r="J83" s="58" t="s">
        <v>3342</v>
      </c>
      <c r="K83" s="58" t="s">
        <v>3868</v>
      </c>
      <c r="L83" s="58">
        <v>0.0</v>
      </c>
      <c r="M83" s="58" t="s">
        <v>3974</v>
      </c>
      <c r="N83" s="58">
        <v>3.0</v>
      </c>
      <c r="O83" s="58" t="b">
        <v>1</v>
      </c>
      <c r="P83" s="58"/>
      <c r="Q83" s="58"/>
      <c r="R83" s="59" t="str">
        <f>IF(COUNTIF('Active Employees'!B:B, B83)&gt;0,"Y","N")</f>
        <v>Y</v>
      </c>
      <c r="S83" s="58" t="s">
        <v>3874</v>
      </c>
      <c r="T83" s="58"/>
    </row>
    <row r="84">
      <c r="A84" s="58" t="s">
        <v>3262</v>
      </c>
      <c r="B84" s="58" t="s">
        <v>404</v>
      </c>
      <c r="C84" s="58" t="s">
        <v>3866</v>
      </c>
      <c r="D84" s="58" t="s">
        <v>3867</v>
      </c>
      <c r="E84" s="68">
        <v>45799.77428240741</v>
      </c>
      <c r="F84" s="58" t="s">
        <v>3342</v>
      </c>
      <c r="G84" s="58" t="s">
        <v>3342</v>
      </c>
      <c r="H84" s="58" t="s">
        <v>3342</v>
      </c>
      <c r="I84" s="58" t="s">
        <v>3877</v>
      </c>
      <c r="J84" s="58" t="s">
        <v>3342</v>
      </c>
      <c r="K84" s="58" t="s">
        <v>3868</v>
      </c>
      <c r="L84" s="58">
        <v>0.0</v>
      </c>
      <c r="M84" s="58" t="s">
        <v>3982</v>
      </c>
      <c r="N84" s="58">
        <v>4.0</v>
      </c>
      <c r="O84" s="58" t="b">
        <v>1</v>
      </c>
      <c r="P84" s="58"/>
      <c r="Q84" s="58"/>
      <c r="R84" s="59" t="str">
        <f>IF(COUNTIF('Active Employees'!B:B, B84)&gt;0,"Y","N")</f>
        <v>Y</v>
      </c>
      <c r="S84" s="58" t="s">
        <v>3874</v>
      </c>
      <c r="T84" s="58"/>
    </row>
    <row r="85">
      <c r="A85" s="58" t="s">
        <v>1759</v>
      </c>
      <c r="B85" s="58" t="s">
        <v>110</v>
      </c>
      <c r="C85" s="58" t="s">
        <v>3866</v>
      </c>
      <c r="D85" s="58" t="s">
        <v>3867</v>
      </c>
      <c r="E85" s="68">
        <v>45799.7740162037</v>
      </c>
      <c r="F85" s="58" t="s">
        <v>3342</v>
      </c>
      <c r="G85" s="58" t="s">
        <v>3342</v>
      </c>
      <c r="H85" s="58" t="s">
        <v>3342</v>
      </c>
      <c r="I85" s="58" t="s">
        <v>3877</v>
      </c>
      <c r="J85" s="58" t="s">
        <v>3342</v>
      </c>
      <c r="K85" s="58" t="s">
        <v>3868</v>
      </c>
      <c r="L85" s="58">
        <v>0.0</v>
      </c>
      <c r="M85" s="58" t="s">
        <v>3911</v>
      </c>
      <c r="N85" s="58">
        <v>3.0</v>
      </c>
      <c r="O85" s="58" t="b">
        <v>1</v>
      </c>
      <c r="P85" s="58"/>
      <c r="Q85" s="58"/>
      <c r="R85" s="59" t="str">
        <f>IF(COUNTIF('Active Employees'!B:B, B85)&gt;0,"Y","N")</f>
        <v>Y</v>
      </c>
      <c r="S85" s="58" t="s">
        <v>3874</v>
      </c>
      <c r="T85" s="58"/>
    </row>
    <row r="86">
      <c r="A86" s="58" t="s">
        <v>384</v>
      </c>
      <c r="B86" s="58" t="s">
        <v>602</v>
      </c>
      <c r="C86" s="58" t="s">
        <v>3866</v>
      </c>
      <c r="D86" s="58" t="s">
        <v>3867</v>
      </c>
      <c r="E86" s="68">
        <v>45799.77422453704</v>
      </c>
      <c r="F86" s="58" t="s">
        <v>3342</v>
      </c>
      <c r="G86" s="58" t="s">
        <v>3342</v>
      </c>
      <c r="H86" s="58" t="s">
        <v>3342</v>
      </c>
      <c r="I86" s="58" t="s">
        <v>3877</v>
      </c>
      <c r="J86" s="58" t="s">
        <v>3342</v>
      </c>
      <c r="K86" s="58" t="s">
        <v>3868</v>
      </c>
      <c r="L86" s="58">
        <v>0.0</v>
      </c>
      <c r="M86" s="58" t="s">
        <v>3918</v>
      </c>
      <c r="N86" s="58">
        <v>2.0</v>
      </c>
      <c r="O86" s="58" t="b">
        <v>1</v>
      </c>
      <c r="P86" s="58"/>
      <c r="Q86" s="58"/>
      <c r="R86" s="59" t="str">
        <f>IF(COUNTIF('Active Employees'!B:B, B86)&gt;0,"Y","N")</f>
        <v>Y</v>
      </c>
      <c r="S86" s="58" t="s">
        <v>3874</v>
      </c>
      <c r="T86" s="58"/>
    </row>
    <row r="87">
      <c r="A87" s="58" t="s">
        <v>3005</v>
      </c>
      <c r="B87" s="58" t="s">
        <v>952</v>
      </c>
      <c r="C87" s="58" t="s">
        <v>3866</v>
      </c>
      <c r="D87" s="58" t="s">
        <v>3867</v>
      </c>
      <c r="E87" s="68">
        <v>45447.6853587963</v>
      </c>
      <c r="F87" s="58" t="s">
        <v>3342</v>
      </c>
      <c r="G87" s="58" t="s">
        <v>3342</v>
      </c>
      <c r="H87" s="58" t="s">
        <v>771</v>
      </c>
      <c r="I87" s="58" t="s">
        <v>856</v>
      </c>
      <c r="J87" s="68">
        <v>45447.58966435185</v>
      </c>
      <c r="K87" s="58" t="s">
        <v>3868</v>
      </c>
      <c r="L87" s="58">
        <v>0.0</v>
      </c>
      <c r="M87" s="58" t="s">
        <v>3911</v>
      </c>
      <c r="N87" s="58">
        <v>3.0</v>
      </c>
      <c r="O87" s="58" t="b">
        <v>1</v>
      </c>
      <c r="P87" s="58"/>
      <c r="Q87" s="58"/>
      <c r="R87" s="59" t="str">
        <f>IF(COUNTIF('Active Employees'!B:B, B87)&gt;0,"Y","N")</f>
        <v>Y</v>
      </c>
      <c r="S87" s="58" t="s">
        <v>3874</v>
      </c>
      <c r="T87" s="58"/>
    </row>
    <row r="88">
      <c r="A88" s="58" t="s">
        <v>3983</v>
      </c>
      <c r="B88" s="58" t="s">
        <v>666</v>
      </c>
      <c r="C88" s="58" t="s">
        <v>3866</v>
      </c>
      <c r="D88" s="58" t="s">
        <v>3867</v>
      </c>
      <c r="E88" s="68">
        <v>45799.77421296296</v>
      </c>
      <c r="F88" s="58" t="s">
        <v>3342</v>
      </c>
      <c r="G88" s="58" t="s">
        <v>3342</v>
      </c>
      <c r="H88" s="58" t="s">
        <v>3342</v>
      </c>
      <c r="I88" s="58" t="s">
        <v>3877</v>
      </c>
      <c r="J88" s="58" t="s">
        <v>3342</v>
      </c>
      <c r="K88" s="58" t="s">
        <v>3868</v>
      </c>
      <c r="L88" s="58">
        <v>0.0</v>
      </c>
      <c r="M88" s="58" t="s">
        <v>3918</v>
      </c>
      <c r="N88" s="58">
        <v>2.0</v>
      </c>
      <c r="O88" s="58" t="b">
        <v>1</v>
      </c>
      <c r="P88" s="58"/>
      <c r="Q88" s="58"/>
      <c r="R88" s="59" t="str">
        <f>IF(COUNTIF('Active Employees'!B:B, B88)&gt;0,"Y","N")</f>
        <v>Y</v>
      </c>
      <c r="S88" s="58" t="s">
        <v>3874</v>
      </c>
      <c r="T88" s="58"/>
    </row>
    <row r="89">
      <c r="A89" s="58" t="s">
        <v>3984</v>
      </c>
      <c r="B89" s="58" t="s">
        <v>1121</v>
      </c>
      <c r="C89" s="58" t="s">
        <v>3866</v>
      </c>
      <c r="D89" s="58" t="s">
        <v>3867</v>
      </c>
      <c r="E89" s="68">
        <v>45840.69440972222</v>
      </c>
      <c r="F89" s="58" t="s">
        <v>3342</v>
      </c>
      <c r="G89" s="58" t="s">
        <v>3342</v>
      </c>
      <c r="H89" s="58" t="s">
        <v>3342</v>
      </c>
      <c r="I89" s="58" t="s">
        <v>3877</v>
      </c>
      <c r="J89" s="58" t="s">
        <v>3342</v>
      </c>
      <c r="K89" s="58" t="s">
        <v>3868</v>
      </c>
      <c r="L89" s="58">
        <v>0.0</v>
      </c>
      <c r="M89" s="58" t="s">
        <v>3918</v>
      </c>
      <c r="N89" s="58">
        <v>2.0</v>
      </c>
      <c r="O89" s="58" t="b">
        <v>1</v>
      </c>
      <c r="P89" s="58"/>
      <c r="Q89" s="58"/>
      <c r="R89" s="59" t="str">
        <f>IF(COUNTIF('Active Employees'!B:B, B89)&gt;0,"Y","N")</f>
        <v>Y</v>
      </c>
      <c r="S89" s="58" t="s">
        <v>3874</v>
      </c>
      <c r="T89" s="58"/>
    </row>
    <row r="90">
      <c r="A90" s="58" t="s">
        <v>94</v>
      </c>
      <c r="B90" s="58" t="s">
        <v>1088</v>
      </c>
      <c r="C90" s="58" t="s">
        <v>3866</v>
      </c>
      <c r="D90" s="58" t="s">
        <v>3867</v>
      </c>
      <c r="E90" s="68">
        <v>45799.77439814815</v>
      </c>
      <c r="F90" s="58" t="s">
        <v>3342</v>
      </c>
      <c r="G90" s="58" t="s">
        <v>3342</v>
      </c>
      <c r="H90" s="58" t="s">
        <v>3342</v>
      </c>
      <c r="I90" s="58" t="s">
        <v>3877</v>
      </c>
      <c r="J90" s="58" t="s">
        <v>3342</v>
      </c>
      <c r="K90" s="58" t="s">
        <v>3868</v>
      </c>
      <c r="L90" s="58">
        <v>0.0</v>
      </c>
      <c r="M90" s="58" t="s">
        <v>3974</v>
      </c>
      <c r="N90" s="58">
        <v>3.0</v>
      </c>
      <c r="O90" s="58" t="b">
        <v>1</v>
      </c>
      <c r="P90" s="58"/>
      <c r="Q90" s="58"/>
      <c r="R90" s="59" t="str">
        <f>IF(COUNTIF('Active Employees'!B:B, B90)&gt;0,"Y","N")</f>
        <v>Y</v>
      </c>
      <c r="S90" s="58" t="s">
        <v>3874</v>
      </c>
      <c r="T90" s="58"/>
    </row>
    <row r="91">
      <c r="A91" s="58" t="s">
        <v>3985</v>
      </c>
      <c r="B91" s="58" t="s">
        <v>1097</v>
      </c>
      <c r="C91" s="58" t="s">
        <v>3866</v>
      </c>
      <c r="D91" s="58" t="s">
        <v>3867</v>
      </c>
      <c r="E91" s="68">
        <v>45799.77438657408</v>
      </c>
      <c r="F91" s="58" t="s">
        <v>3342</v>
      </c>
      <c r="G91" s="58" t="s">
        <v>3342</v>
      </c>
      <c r="H91" s="58" t="s">
        <v>3342</v>
      </c>
      <c r="I91" s="58" t="s">
        <v>3877</v>
      </c>
      <c r="J91" s="58" t="s">
        <v>3342</v>
      </c>
      <c r="K91" s="58" t="s">
        <v>3868</v>
      </c>
      <c r="L91" s="58">
        <v>0.0</v>
      </c>
      <c r="M91" s="58" t="s">
        <v>3885</v>
      </c>
      <c r="N91" s="58">
        <v>2.0</v>
      </c>
      <c r="O91" s="58" t="b">
        <v>1</v>
      </c>
      <c r="P91" s="58"/>
      <c r="Q91" s="58"/>
      <c r="R91" s="59" t="str">
        <f>IF(COUNTIF('Active Employees'!B:B, B91)&gt;0,"Y","N")</f>
        <v>Y</v>
      </c>
      <c r="S91" s="58" t="s">
        <v>3874</v>
      </c>
      <c r="T91" s="58"/>
    </row>
    <row r="92">
      <c r="A92" s="58" t="s">
        <v>3241</v>
      </c>
      <c r="B92" s="58" t="s">
        <v>718</v>
      </c>
      <c r="C92" s="58" t="s">
        <v>3866</v>
      </c>
      <c r="D92" s="58" t="s">
        <v>3867</v>
      </c>
      <c r="E92" s="68">
        <v>45799.77525462963</v>
      </c>
      <c r="F92" s="58" t="s">
        <v>3342</v>
      </c>
      <c r="G92" s="58" t="s">
        <v>3342</v>
      </c>
      <c r="H92" s="58" t="s">
        <v>3342</v>
      </c>
      <c r="I92" s="58" t="s">
        <v>3877</v>
      </c>
      <c r="J92" s="58" t="s">
        <v>3342</v>
      </c>
      <c r="K92" s="58" t="s">
        <v>3868</v>
      </c>
      <c r="L92" s="58">
        <v>0.0</v>
      </c>
      <c r="M92" s="58" t="s">
        <v>3885</v>
      </c>
      <c r="N92" s="58">
        <v>2.0</v>
      </c>
      <c r="O92" s="58" t="b">
        <v>1</v>
      </c>
      <c r="P92" s="58"/>
      <c r="Q92" s="58"/>
      <c r="R92" s="59" t="str">
        <f>IF(COUNTIF('Active Employees'!B:B, B92)&gt;0,"Y","N")</f>
        <v>Y</v>
      </c>
      <c r="S92" s="58" t="s">
        <v>3874</v>
      </c>
      <c r="T92" s="58"/>
    </row>
    <row r="93">
      <c r="A93" s="58" t="s">
        <v>545</v>
      </c>
      <c r="B93" s="58" t="s">
        <v>909</v>
      </c>
      <c r="C93" s="58" t="s">
        <v>3866</v>
      </c>
      <c r="D93" s="58" t="s">
        <v>3867</v>
      </c>
      <c r="E93" s="68">
        <v>45799.774409722224</v>
      </c>
      <c r="F93" s="58" t="s">
        <v>3342</v>
      </c>
      <c r="G93" s="58" t="s">
        <v>3342</v>
      </c>
      <c r="H93" s="58" t="s">
        <v>3342</v>
      </c>
      <c r="I93" s="58" t="s">
        <v>3877</v>
      </c>
      <c r="J93" s="58" t="s">
        <v>3342</v>
      </c>
      <c r="K93" s="58" t="s">
        <v>3868</v>
      </c>
      <c r="L93" s="58">
        <v>0.0</v>
      </c>
      <c r="M93" s="58" t="s">
        <v>3974</v>
      </c>
      <c r="N93" s="58">
        <v>3.0</v>
      </c>
      <c r="O93" s="58" t="b">
        <v>1</v>
      </c>
      <c r="P93" s="58"/>
      <c r="Q93" s="58"/>
      <c r="R93" s="59" t="str">
        <f>IF(COUNTIF('Active Employees'!B:B, B93)&gt;0,"Y","N")</f>
        <v>Y</v>
      </c>
      <c r="S93" s="58" t="s">
        <v>3874</v>
      </c>
      <c r="T93" s="58"/>
    </row>
    <row r="94">
      <c r="A94" s="58" t="s">
        <v>3986</v>
      </c>
      <c r="B94" s="58" t="s">
        <v>1181</v>
      </c>
      <c r="C94" s="58" t="s">
        <v>3866</v>
      </c>
      <c r="D94" s="58" t="s">
        <v>3867</v>
      </c>
      <c r="E94" s="68">
        <v>45762.63287037037</v>
      </c>
      <c r="F94" s="58" t="s">
        <v>3342</v>
      </c>
      <c r="G94" s="58" t="s">
        <v>3342</v>
      </c>
      <c r="H94" s="58" t="s">
        <v>3213</v>
      </c>
      <c r="I94" s="58" t="s">
        <v>1416</v>
      </c>
      <c r="J94" s="68">
        <v>45762.63265046296</v>
      </c>
      <c r="K94" s="58" t="s">
        <v>3868</v>
      </c>
      <c r="L94" s="58">
        <v>0.0</v>
      </c>
      <c r="M94" s="58" t="s">
        <v>3918</v>
      </c>
      <c r="N94" s="58">
        <v>2.0</v>
      </c>
      <c r="O94" s="58" t="b">
        <v>1</v>
      </c>
      <c r="P94" s="58"/>
      <c r="Q94" s="58"/>
      <c r="R94" s="59" t="str">
        <f>IF(COUNTIF('Active Employees'!B:B, B94)&gt;0,"Y","N")</f>
        <v>Y</v>
      </c>
      <c r="S94" s="58" t="s">
        <v>3874</v>
      </c>
      <c r="T94" s="58"/>
    </row>
    <row r="95">
      <c r="A95" s="58" t="s">
        <v>3987</v>
      </c>
      <c r="B95" s="58" t="s">
        <v>944</v>
      </c>
      <c r="C95" s="58" t="s">
        <v>3866</v>
      </c>
      <c r="D95" s="58" t="s">
        <v>3867</v>
      </c>
      <c r="E95" s="68">
        <v>45799.77439814815</v>
      </c>
      <c r="F95" s="58" t="s">
        <v>3342</v>
      </c>
      <c r="G95" s="58" t="s">
        <v>3342</v>
      </c>
      <c r="H95" s="58" t="s">
        <v>3342</v>
      </c>
      <c r="I95" s="58" t="s">
        <v>3877</v>
      </c>
      <c r="J95" s="58" t="s">
        <v>3342</v>
      </c>
      <c r="K95" s="58" t="s">
        <v>3868</v>
      </c>
      <c r="L95" s="58">
        <v>0.0</v>
      </c>
      <c r="M95" s="58" t="s">
        <v>3974</v>
      </c>
      <c r="N95" s="58">
        <v>3.0</v>
      </c>
      <c r="O95" s="58" t="b">
        <v>1</v>
      </c>
      <c r="P95" s="58"/>
      <c r="Q95" s="58"/>
      <c r="R95" s="59" t="str">
        <f>IF(COUNTIF('Active Employees'!B:B, B95)&gt;0,"Y","N")</f>
        <v>Y</v>
      </c>
      <c r="S95" s="58" t="s">
        <v>3874</v>
      </c>
      <c r="T95" s="58"/>
    </row>
    <row r="96">
      <c r="A96" s="58" t="s">
        <v>3011</v>
      </c>
      <c r="B96" s="58" t="s">
        <v>1340</v>
      </c>
      <c r="C96" s="58" t="s">
        <v>3866</v>
      </c>
      <c r="D96" s="58" t="s">
        <v>3867</v>
      </c>
      <c r="E96" s="68">
        <v>45799.774201388886</v>
      </c>
      <c r="F96" s="58" t="s">
        <v>3342</v>
      </c>
      <c r="G96" s="58" t="s">
        <v>3342</v>
      </c>
      <c r="H96" s="58" t="s">
        <v>3342</v>
      </c>
      <c r="I96" s="58" t="s">
        <v>3877</v>
      </c>
      <c r="J96" s="58" t="s">
        <v>3342</v>
      </c>
      <c r="K96" s="58" t="s">
        <v>3868</v>
      </c>
      <c r="L96" s="58">
        <v>0.0</v>
      </c>
      <c r="M96" s="58" t="s">
        <v>3918</v>
      </c>
      <c r="N96" s="58">
        <v>2.0</v>
      </c>
      <c r="O96" s="58" t="b">
        <v>1</v>
      </c>
      <c r="P96" s="58"/>
      <c r="Q96" s="58"/>
      <c r="R96" s="59" t="str">
        <f>IF(COUNTIF('Active Employees'!B:B, B96)&gt;0,"Y","N")</f>
        <v>Y</v>
      </c>
      <c r="S96" s="58" t="s">
        <v>3874</v>
      </c>
      <c r="T96" s="58"/>
    </row>
    <row r="97">
      <c r="A97" s="58" t="s">
        <v>1058</v>
      </c>
      <c r="B97" s="58" t="s">
        <v>982</v>
      </c>
      <c r="C97" s="58" t="s">
        <v>3866</v>
      </c>
      <c r="D97" s="58" t="s">
        <v>3867</v>
      </c>
      <c r="E97" s="68">
        <v>45799.7743287037</v>
      </c>
      <c r="F97" s="58" t="s">
        <v>3342</v>
      </c>
      <c r="G97" s="58" t="s">
        <v>3342</v>
      </c>
      <c r="H97" s="58" t="s">
        <v>3342</v>
      </c>
      <c r="I97" s="58" t="s">
        <v>3877</v>
      </c>
      <c r="J97" s="58" t="s">
        <v>3342</v>
      </c>
      <c r="K97" s="58" t="s">
        <v>3868</v>
      </c>
      <c r="L97" s="58">
        <v>0.0</v>
      </c>
      <c r="M97" s="58" t="s">
        <v>3891</v>
      </c>
      <c r="N97" s="58">
        <v>3.0</v>
      </c>
      <c r="O97" s="58" t="b">
        <v>1</v>
      </c>
      <c r="P97" s="58"/>
      <c r="Q97" s="58"/>
      <c r="R97" s="59" t="str">
        <f>IF(COUNTIF('Active Employees'!B:B, B97)&gt;0,"Y","N")</f>
        <v>Y</v>
      </c>
      <c r="S97" s="58" t="s">
        <v>3874</v>
      </c>
      <c r="T97" s="58"/>
    </row>
    <row r="98">
      <c r="A98" s="58" t="s">
        <v>452</v>
      </c>
      <c r="B98" s="58" t="s">
        <v>1407</v>
      </c>
      <c r="C98" s="58" t="s">
        <v>3866</v>
      </c>
      <c r="D98" s="58" t="s">
        <v>3867</v>
      </c>
      <c r="E98" s="68">
        <v>45799.77525462963</v>
      </c>
      <c r="F98" s="58" t="s">
        <v>3342</v>
      </c>
      <c r="G98" s="58" t="s">
        <v>3342</v>
      </c>
      <c r="H98" s="58" t="s">
        <v>3342</v>
      </c>
      <c r="I98" s="58" t="s">
        <v>3877</v>
      </c>
      <c r="J98" s="58" t="s">
        <v>3342</v>
      </c>
      <c r="K98" s="58" t="s">
        <v>3868</v>
      </c>
      <c r="L98" s="58">
        <v>0.0</v>
      </c>
      <c r="M98" s="58" t="s">
        <v>3885</v>
      </c>
      <c r="N98" s="58">
        <v>2.0</v>
      </c>
      <c r="O98" s="58" t="b">
        <v>1</v>
      </c>
      <c r="P98" s="58"/>
      <c r="Q98" s="58"/>
      <c r="R98" s="59" t="str">
        <f>IF(COUNTIF('Active Employees'!B:B, B98)&gt;0,"Y","N")</f>
        <v>Y</v>
      </c>
      <c r="S98" s="58" t="s">
        <v>3874</v>
      </c>
      <c r="T98" s="58"/>
    </row>
    <row r="99">
      <c r="A99" s="58" t="s">
        <v>3064</v>
      </c>
      <c r="B99" s="58" t="s">
        <v>587</v>
      </c>
      <c r="C99" s="58" t="s">
        <v>3866</v>
      </c>
      <c r="D99" s="58" t="s">
        <v>3867</v>
      </c>
      <c r="E99" s="68">
        <v>45799.774247685185</v>
      </c>
      <c r="F99" s="58" t="s">
        <v>3342</v>
      </c>
      <c r="G99" s="58" t="s">
        <v>3342</v>
      </c>
      <c r="H99" s="58" t="s">
        <v>3342</v>
      </c>
      <c r="I99" s="58" t="s">
        <v>3877</v>
      </c>
      <c r="J99" s="58" t="s">
        <v>3342</v>
      </c>
      <c r="K99" s="58" t="s">
        <v>3868</v>
      </c>
      <c r="L99" s="58">
        <v>0.0</v>
      </c>
      <c r="M99" s="58" t="s">
        <v>3918</v>
      </c>
      <c r="N99" s="58">
        <v>2.0</v>
      </c>
      <c r="O99" s="58" t="b">
        <v>1</v>
      </c>
      <c r="P99" s="58"/>
      <c r="Q99" s="58"/>
      <c r="R99" s="59" t="str">
        <f>IF(COUNTIF('Active Employees'!B:B, B99)&gt;0,"Y","N")</f>
        <v>Y</v>
      </c>
      <c r="S99" s="58" t="s">
        <v>3874</v>
      </c>
      <c r="T99" s="58"/>
    </row>
    <row r="100">
      <c r="A100" s="58" t="s">
        <v>3290</v>
      </c>
      <c r="B100" s="58" t="s">
        <v>49</v>
      </c>
      <c r="C100" s="58" t="s">
        <v>3866</v>
      </c>
      <c r="D100" s="58" t="s">
        <v>3867</v>
      </c>
      <c r="E100" s="68">
        <v>45799.77417824074</v>
      </c>
      <c r="F100" s="58" t="s">
        <v>3342</v>
      </c>
      <c r="G100" s="58" t="s">
        <v>3342</v>
      </c>
      <c r="H100" s="58" t="s">
        <v>3342</v>
      </c>
      <c r="I100" s="58" t="s">
        <v>3877</v>
      </c>
      <c r="J100" s="58" t="s">
        <v>3342</v>
      </c>
      <c r="K100" s="58" t="s">
        <v>3868</v>
      </c>
      <c r="L100" s="58">
        <v>0.0</v>
      </c>
      <c r="M100" s="58" t="s">
        <v>3918</v>
      </c>
      <c r="N100" s="58">
        <v>2.0</v>
      </c>
      <c r="O100" s="58" t="b">
        <v>1</v>
      </c>
      <c r="P100" s="58"/>
      <c r="Q100" s="58"/>
      <c r="R100" s="59" t="str">
        <f>IF(COUNTIF('Active Employees'!B:B, B100)&gt;0,"Y","N")</f>
        <v>Y</v>
      </c>
      <c r="S100" s="58" t="s">
        <v>3874</v>
      </c>
      <c r="T100" s="58"/>
    </row>
    <row r="101">
      <c r="A101" s="58" t="s">
        <v>3013</v>
      </c>
      <c r="B101" s="58" t="s">
        <v>820</v>
      </c>
      <c r="C101" s="58" t="s">
        <v>3866</v>
      </c>
      <c r="D101" s="58" t="s">
        <v>3867</v>
      </c>
      <c r="E101" s="68">
        <v>45810.606354166666</v>
      </c>
      <c r="F101" s="58" t="s">
        <v>3342</v>
      </c>
      <c r="G101" s="58" t="s">
        <v>3342</v>
      </c>
      <c r="H101" s="58" t="s">
        <v>3342</v>
      </c>
      <c r="I101" s="58" t="s">
        <v>3877</v>
      </c>
      <c r="J101" s="58" t="s">
        <v>3342</v>
      </c>
      <c r="K101" s="58" t="s">
        <v>3868</v>
      </c>
      <c r="L101" s="58">
        <v>0.0</v>
      </c>
      <c r="M101" s="58" t="s">
        <v>3918</v>
      </c>
      <c r="N101" s="58">
        <v>2.0</v>
      </c>
      <c r="O101" s="58" t="b">
        <v>1</v>
      </c>
      <c r="P101" s="58"/>
      <c r="Q101" s="58"/>
      <c r="R101" s="59" t="str">
        <f>IF(COUNTIF('Active Employees'!B:B, B101)&gt;0,"Y","N")</f>
        <v>Y</v>
      </c>
      <c r="S101" s="58" t="s">
        <v>3874</v>
      </c>
      <c r="T101" s="58"/>
    </row>
    <row r="102">
      <c r="A102" s="58" t="s">
        <v>1485</v>
      </c>
      <c r="B102" s="58" t="s">
        <v>532</v>
      </c>
      <c r="C102" s="58" t="s">
        <v>3866</v>
      </c>
      <c r="D102" s="58" t="s">
        <v>3867</v>
      </c>
      <c r="E102" s="68">
        <v>45799.774201388886</v>
      </c>
      <c r="F102" s="58" t="s">
        <v>3342</v>
      </c>
      <c r="G102" s="58" t="s">
        <v>3342</v>
      </c>
      <c r="H102" s="58" t="s">
        <v>3342</v>
      </c>
      <c r="I102" s="58" t="s">
        <v>3877</v>
      </c>
      <c r="J102" s="58" t="s">
        <v>3342</v>
      </c>
      <c r="K102" s="58" t="s">
        <v>3868</v>
      </c>
      <c r="L102" s="58">
        <v>0.0</v>
      </c>
      <c r="M102" s="58" t="s">
        <v>3918</v>
      </c>
      <c r="N102" s="58">
        <v>2.0</v>
      </c>
      <c r="O102" s="58" t="b">
        <v>1</v>
      </c>
      <c r="P102" s="58"/>
      <c r="Q102" s="58"/>
      <c r="R102" s="59" t="str">
        <f>IF(COUNTIF('Active Employees'!B:B, B102)&gt;0,"Y","N")</f>
        <v>Y</v>
      </c>
      <c r="S102" s="58" t="s">
        <v>3874</v>
      </c>
      <c r="T102" s="58"/>
    </row>
    <row r="103">
      <c r="A103" s="58" t="s">
        <v>2972</v>
      </c>
      <c r="B103" s="58" t="s">
        <v>1447</v>
      </c>
      <c r="C103" s="58" t="s">
        <v>3866</v>
      </c>
      <c r="D103" s="58" t="s">
        <v>3867</v>
      </c>
      <c r="E103" s="68">
        <v>45799.81621527778</v>
      </c>
      <c r="F103" s="58" t="s">
        <v>3342</v>
      </c>
      <c r="G103" s="58" t="s">
        <v>3342</v>
      </c>
      <c r="H103" s="58" t="s">
        <v>3342</v>
      </c>
      <c r="I103" s="58" t="s">
        <v>3877</v>
      </c>
      <c r="J103" s="58" t="s">
        <v>3342</v>
      </c>
      <c r="K103" s="58" t="s">
        <v>3868</v>
      </c>
      <c r="L103" s="58">
        <v>0.0</v>
      </c>
      <c r="M103" s="58" t="s">
        <v>3878</v>
      </c>
      <c r="N103" s="58">
        <v>2.0</v>
      </c>
      <c r="O103" s="58" t="b">
        <v>1</v>
      </c>
      <c r="P103" s="58"/>
      <c r="Q103" s="58"/>
      <c r="R103" s="59" t="str">
        <f>IF(COUNTIF('Active Employees'!B:B, B103)&gt;0,"Y","N")</f>
        <v>Y</v>
      </c>
      <c r="S103" s="58" t="s">
        <v>3874</v>
      </c>
      <c r="T103" s="58"/>
    </row>
    <row r="104">
      <c r="A104" s="58" t="s">
        <v>3988</v>
      </c>
      <c r="B104" s="58" t="s">
        <v>476</v>
      </c>
      <c r="C104" s="58" t="s">
        <v>3866</v>
      </c>
      <c r="D104" s="58" t="s">
        <v>3867</v>
      </c>
      <c r="E104" s="68">
        <v>45799.7740162037</v>
      </c>
      <c r="F104" s="58" t="s">
        <v>3342</v>
      </c>
      <c r="G104" s="58" t="s">
        <v>3342</v>
      </c>
      <c r="H104" s="58" t="s">
        <v>3342</v>
      </c>
      <c r="I104" s="58" t="s">
        <v>3877</v>
      </c>
      <c r="J104" s="58" t="s">
        <v>3342</v>
      </c>
      <c r="K104" s="58" t="s">
        <v>3868</v>
      </c>
      <c r="L104" s="58">
        <v>0.0</v>
      </c>
      <c r="M104" s="58" t="s">
        <v>3911</v>
      </c>
      <c r="N104" s="58">
        <v>3.0</v>
      </c>
      <c r="O104" s="58" t="b">
        <v>1</v>
      </c>
      <c r="P104" s="58"/>
      <c r="Q104" s="58"/>
      <c r="R104" s="59" t="str">
        <f>IF(COUNTIF('Active Employees'!B:B, B104)&gt;0,"Y","N")</f>
        <v>Y</v>
      </c>
      <c r="S104" s="58" t="s">
        <v>3874</v>
      </c>
      <c r="T104" s="58"/>
    </row>
    <row r="105">
      <c r="A105" s="58" t="s">
        <v>3008</v>
      </c>
      <c r="B105" s="58" t="s">
        <v>846</v>
      </c>
      <c r="C105" s="58" t="s">
        <v>3866</v>
      </c>
      <c r="D105" s="58" t="s">
        <v>3867</v>
      </c>
      <c r="E105" s="68">
        <v>45799.77417824074</v>
      </c>
      <c r="F105" s="58" t="s">
        <v>3342</v>
      </c>
      <c r="G105" s="58" t="s">
        <v>3342</v>
      </c>
      <c r="H105" s="58" t="s">
        <v>3342</v>
      </c>
      <c r="I105" s="58" t="s">
        <v>3877</v>
      </c>
      <c r="J105" s="58" t="s">
        <v>3342</v>
      </c>
      <c r="K105" s="58" t="s">
        <v>3868</v>
      </c>
      <c r="L105" s="58">
        <v>0.0</v>
      </c>
      <c r="M105" s="58" t="s">
        <v>3918</v>
      </c>
      <c r="N105" s="58">
        <v>2.0</v>
      </c>
      <c r="O105" s="58" t="b">
        <v>1</v>
      </c>
      <c r="P105" s="58"/>
      <c r="Q105" s="58"/>
      <c r="R105" s="59" t="str">
        <f>IF(COUNTIF('Active Employees'!B:B, B105)&gt;0,"Y","N")</f>
        <v>Y</v>
      </c>
      <c r="S105" s="58" t="s">
        <v>3874</v>
      </c>
      <c r="T105" s="58"/>
    </row>
    <row r="106">
      <c r="A106" s="58" t="s">
        <v>3989</v>
      </c>
      <c r="B106" s="58" t="s">
        <v>1056</v>
      </c>
      <c r="C106" s="58" t="s">
        <v>3866</v>
      </c>
      <c r="D106" s="58" t="s">
        <v>3867</v>
      </c>
      <c r="E106" s="68">
        <v>45799.77431712963</v>
      </c>
      <c r="F106" s="58" t="s">
        <v>3342</v>
      </c>
      <c r="G106" s="58" t="s">
        <v>3342</v>
      </c>
      <c r="H106" s="58" t="s">
        <v>3342</v>
      </c>
      <c r="I106" s="58" t="s">
        <v>3877</v>
      </c>
      <c r="J106" s="58" t="s">
        <v>3342</v>
      </c>
      <c r="K106" s="58" t="s">
        <v>3868</v>
      </c>
      <c r="L106" s="58">
        <v>0.0</v>
      </c>
      <c r="M106" s="58" t="s">
        <v>3891</v>
      </c>
      <c r="N106" s="58">
        <v>3.0</v>
      </c>
      <c r="O106" s="58" t="b">
        <v>1</v>
      </c>
      <c r="P106" s="58"/>
      <c r="Q106" s="58"/>
      <c r="R106" s="59" t="str">
        <f>IF(COUNTIF('Active Employees'!B:B, B106)&gt;0,"Y","N")</f>
        <v>Y</v>
      </c>
      <c r="S106" s="58" t="s">
        <v>3874</v>
      </c>
      <c r="T106" s="58"/>
    </row>
    <row r="107">
      <c r="A107" s="58" t="s">
        <v>1488</v>
      </c>
      <c r="B107" s="58" t="s">
        <v>1232</v>
      </c>
      <c r="C107" s="58" t="s">
        <v>3866</v>
      </c>
      <c r="D107" s="58" t="s">
        <v>3867</v>
      </c>
      <c r="E107" s="68">
        <v>45799.7743287037</v>
      </c>
      <c r="F107" s="58" t="s">
        <v>3342</v>
      </c>
      <c r="G107" s="58" t="s">
        <v>3342</v>
      </c>
      <c r="H107" s="58" t="s">
        <v>3342</v>
      </c>
      <c r="I107" s="58" t="s">
        <v>3877</v>
      </c>
      <c r="J107" s="58" t="s">
        <v>3342</v>
      </c>
      <c r="K107" s="58" t="s">
        <v>3868</v>
      </c>
      <c r="L107" s="58">
        <v>0.0</v>
      </c>
      <c r="M107" s="58" t="s">
        <v>3891</v>
      </c>
      <c r="N107" s="58">
        <v>3.0</v>
      </c>
      <c r="O107" s="58" t="b">
        <v>1</v>
      </c>
      <c r="P107" s="58"/>
      <c r="Q107" s="58"/>
      <c r="R107" s="59" t="str">
        <f>IF(COUNTIF('Active Employees'!B:B, B107)&gt;0,"Y","N")</f>
        <v>Y</v>
      </c>
      <c r="S107" s="58" t="s">
        <v>3874</v>
      </c>
      <c r="T107" s="58"/>
    </row>
    <row r="108">
      <c r="A108" s="58" t="s">
        <v>3990</v>
      </c>
      <c r="B108" s="58" t="s">
        <v>1246</v>
      </c>
      <c r="C108" s="58" t="s">
        <v>3866</v>
      </c>
      <c r="D108" s="58" t="s">
        <v>3867</v>
      </c>
      <c r="E108" s="68">
        <v>45799.816203703704</v>
      </c>
      <c r="F108" s="58" t="s">
        <v>3342</v>
      </c>
      <c r="G108" s="58" t="s">
        <v>3342</v>
      </c>
      <c r="H108" s="58" t="s">
        <v>3342</v>
      </c>
      <c r="I108" s="58" t="s">
        <v>3877</v>
      </c>
      <c r="J108" s="58" t="s">
        <v>3342</v>
      </c>
      <c r="K108" s="58" t="s">
        <v>3868</v>
      </c>
      <c r="L108" s="58">
        <v>0.0</v>
      </c>
      <c r="M108" s="58" t="s">
        <v>3878</v>
      </c>
      <c r="N108" s="58">
        <v>2.0</v>
      </c>
      <c r="O108" s="58" t="b">
        <v>1</v>
      </c>
      <c r="P108" s="58"/>
      <c r="Q108" s="58"/>
      <c r="R108" s="59" t="str">
        <f>IF(COUNTIF('Active Employees'!B:B, B108)&gt;0,"Y","N")</f>
        <v>Y</v>
      </c>
      <c r="S108" s="58" t="s">
        <v>3874</v>
      </c>
      <c r="T108" s="58"/>
    </row>
    <row r="109">
      <c r="A109" s="58" t="s">
        <v>2965</v>
      </c>
      <c r="B109" s="58" t="s">
        <v>961</v>
      </c>
      <c r="C109" s="58" t="s">
        <v>3866</v>
      </c>
      <c r="D109" s="58" t="s">
        <v>3867</v>
      </c>
      <c r="E109" s="68">
        <v>45799.77415509259</v>
      </c>
      <c r="F109" s="58" t="s">
        <v>3342</v>
      </c>
      <c r="G109" s="58" t="s">
        <v>3342</v>
      </c>
      <c r="H109" s="58" t="s">
        <v>3342</v>
      </c>
      <c r="I109" s="58" t="s">
        <v>3877</v>
      </c>
      <c r="J109" s="58" t="s">
        <v>3342</v>
      </c>
      <c r="K109" s="58" t="s">
        <v>3868</v>
      </c>
      <c r="L109" s="58">
        <v>0.0</v>
      </c>
      <c r="M109" s="58" t="s">
        <v>3918</v>
      </c>
      <c r="N109" s="58">
        <v>2.0</v>
      </c>
      <c r="O109" s="58" t="b">
        <v>1</v>
      </c>
      <c r="P109" s="58"/>
      <c r="Q109" s="58"/>
      <c r="R109" s="59" t="str">
        <f>IF(COUNTIF('Active Employees'!B:B, B109)&gt;0,"Y","N")</f>
        <v>Y</v>
      </c>
      <c r="S109" s="58" t="s">
        <v>3874</v>
      </c>
      <c r="T109" s="58"/>
    </row>
    <row r="110">
      <c r="A110" s="58" t="s">
        <v>3247</v>
      </c>
      <c r="B110" s="58" t="s">
        <v>339</v>
      </c>
      <c r="C110" s="58" t="s">
        <v>3866</v>
      </c>
      <c r="D110" s="58" t="s">
        <v>3867</v>
      </c>
      <c r="E110" s="68">
        <v>45799.77425925926</v>
      </c>
      <c r="F110" s="58" t="s">
        <v>3342</v>
      </c>
      <c r="G110" s="58" t="s">
        <v>3342</v>
      </c>
      <c r="H110" s="58" t="s">
        <v>3342</v>
      </c>
      <c r="I110" s="58" t="s">
        <v>3877</v>
      </c>
      <c r="J110" s="58" t="s">
        <v>3342</v>
      </c>
      <c r="K110" s="58" t="s">
        <v>3868</v>
      </c>
      <c r="L110" s="58">
        <v>0.0</v>
      </c>
      <c r="M110" s="58" t="s">
        <v>3918</v>
      </c>
      <c r="N110" s="58">
        <v>2.0</v>
      </c>
      <c r="O110" s="58" t="b">
        <v>1</v>
      </c>
      <c r="P110" s="58"/>
      <c r="Q110" s="58"/>
      <c r="R110" s="59" t="str">
        <f>IF(COUNTIF('Active Employees'!B:B, B110)&gt;0,"Y","N")</f>
        <v>Y</v>
      </c>
      <c r="S110" s="58" t="s">
        <v>3874</v>
      </c>
      <c r="T110" s="58"/>
    </row>
    <row r="111">
      <c r="A111" s="58" t="s">
        <v>3991</v>
      </c>
      <c r="B111" s="58" t="s">
        <v>573</v>
      </c>
      <c r="C111" s="58" t="s">
        <v>3866</v>
      </c>
      <c r="D111" s="58" t="s">
        <v>3867</v>
      </c>
      <c r="E111" s="68">
        <v>45799.7740162037</v>
      </c>
      <c r="F111" s="58" t="s">
        <v>3342</v>
      </c>
      <c r="G111" s="58" t="s">
        <v>3342</v>
      </c>
      <c r="H111" s="58" t="s">
        <v>3342</v>
      </c>
      <c r="I111" s="58" t="s">
        <v>3877</v>
      </c>
      <c r="J111" s="58" t="s">
        <v>3342</v>
      </c>
      <c r="K111" s="58" t="s">
        <v>3868</v>
      </c>
      <c r="L111" s="58">
        <v>0.0</v>
      </c>
      <c r="M111" s="58" t="s">
        <v>3911</v>
      </c>
      <c r="N111" s="58">
        <v>3.0</v>
      </c>
      <c r="O111" s="58" t="b">
        <v>1</v>
      </c>
      <c r="P111" s="58"/>
      <c r="Q111" s="58"/>
      <c r="R111" s="59" t="str">
        <f>IF(COUNTIF('Active Employees'!B:B, B111)&gt;0,"Y","N")</f>
        <v>Y</v>
      </c>
      <c r="S111" s="58" t="s">
        <v>3874</v>
      </c>
      <c r="T111" s="58"/>
    </row>
    <row r="112">
      <c r="A112" s="58" t="s">
        <v>3313</v>
      </c>
      <c r="B112" s="58" t="s">
        <v>805</v>
      </c>
      <c r="C112" s="58" t="s">
        <v>3866</v>
      </c>
      <c r="D112" s="58" t="s">
        <v>3867</v>
      </c>
      <c r="E112" s="68">
        <v>45799.817025462966</v>
      </c>
      <c r="F112" s="58" t="s">
        <v>3342</v>
      </c>
      <c r="G112" s="58" t="s">
        <v>3342</v>
      </c>
      <c r="H112" s="58" t="s">
        <v>3342</v>
      </c>
      <c r="I112" s="58" t="s">
        <v>3877</v>
      </c>
      <c r="J112" s="58" t="s">
        <v>3342</v>
      </c>
      <c r="K112" s="58" t="s">
        <v>3868</v>
      </c>
      <c r="L112" s="58">
        <v>0.0</v>
      </c>
      <c r="M112" s="58" t="s">
        <v>3885</v>
      </c>
      <c r="N112" s="58">
        <v>2.0</v>
      </c>
      <c r="O112" s="58" t="b">
        <v>1</v>
      </c>
      <c r="P112" s="58"/>
      <c r="Q112" s="58"/>
      <c r="R112" s="59" t="str">
        <f>IF(COUNTIF('Active Employees'!B:B, B112)&gt;0,"Y","N")</f>
        <v>Y</v>
      </c>
      <c r="S112" s="58" t="s">
        <v>3874</v>
      </c>
      <c r="T112" s="58"/>
    </row>
    <row r="113">
      <c r="A113" s="58" t="s">
        <v>99</v>
      </c>
      <c r="B113" s="58" t="s">
        <v>322</v>
      </c>
      <c r="C113" s="58" t="s">
        <v>3866</v>
      </c>
      <c r="D113" s="58" t="s">
        <v>3867</v>
      </c>
      <c r="E113" s="68">
        <v>45799.795127314814</v>
      </c>
      <c r="F113" s="58" t="s">
        <v>3342</v>
      </c>
      <c r="G113" s="58" t="s">
        <v>3342</v>
      </c>
      <c r="H113" s="58" t="s">
        <v>3342</v>
      </c>
      <c r="I113" s="58" t="s">
        <v>3877</v>
      </c>
      <c r="J113" s="58" t="s">
        <v>3342</v>
      </c>
      <c r="K113" s="58" t="s">
        <v>3868</v>
      </c>
      <c r="L113" s="58">
        <v>0.0</v>
      </c>
      <c r="M113" s="58" t="s">
        <v>3869</v>
      </c>
      <c r="N113" s="58">
        <v>2.0</v>
      </c>
      <c r="O113" s="58" t="b">
        <v>1</v>
      </c>
      <c r="P113" s="58"/>
      <c r="Q113" s="58"/>
      <c r="R113" s="59" t="str">
        <f>IF(COUNTIF('Active Employees'!B:B, B113)&gt;0,"Y","N")</f>
        <v>Y</v>
      </c>
      <c r="S113" s="58" t="s">
        <v>3874</v>
      </c>
      <c r="T113" s="58"/>
    </row>
    <row r="114">
      <c r="A114" s="58" t="s">
        <v>3096</v>
      </c>
      <c r="B114" s="58" t="s">
        <v>971</v>
      </c>
      <c r="C114" s="58" t="s">
        <v>3866</v>
      </c>
      <c r="D114" s="58" t="s">
        <v>3867</v>
      </c>
      <c r="E114" s="68">
        <v>45799.77425925926</v>
      </c>
      <c r="F114" s="58" t="s">
        <v>3342</v>
      </c>
      <c r="G114" s="58" t="s">
        <v>3342</v>
      </c>
      <c r="H114" s="58" t="s">
        <v>3342</v>
      </c>
      <c r="I114" s="58" t="s">
        <v>3877</v>
      </c>
      <c r="J114" s="58" t="s">
        <v>3342</v>
      </c>
      <c r="K114" s="58" t="s">
        <v>3868</v>
      </c>
      <c r="L114" s="58">
        <v>0.0</v>
      </c>
      <c r="M114" s="58" t="s">
        <v>3918</v>
      </c>
      <c r="N114" s="58">
        <v>2.0</v>
      </c>
      <c r="O114" s="58" t="b">
        <v>1</v>
      </c>
      <c r="P114" s="58"/>
      <c r="Q114" s="58"/>
      <c r="R114" s="59" t="str">
        <f>IF(COUNTIF('Active Employees'!B:B, B114)&gt;0,"Y","N")</f>
        <v>Y</v>
      </c>
      <c r="S114" s="58" t="s">
        <v>3874</v>
      </c>
      <c r="T114" s="58"/>
    </row>
    <row r="115">
      <c r="A115" s="58" t="s">
        <v>3992</v>
      </c>
      <c r="B115" s="58" t="s">
        <v>641</v>
      </c>
      <c r="C115" s="58" t="s">
        <v>3866</v>
      </c>
      <c r="D115" s="58" t="s">
        <v>3867</v>
      </c>
      <c r="E115" s="68">
        <v>45799.77422453704</v>
      </c>
      <c r="F115" s="58" t="s">
        <v>3342</v>
      </c>
      <c r="G115" s="58" t="s">
        <v>3342</v>
      </c>
      <c r="H115" s="58" t="s">
        <v>3342</v>
      </c>
      <c r="I115" s="58" t="s">
        <v>3877</v>
      </c>
      <c r="J115" s="58" t="s">
        <v>3342</v>
      </c>
      <c r="K115" s="58" t="s">
        <v>3868</v>
      </c>
      <c r="L115" s="58">
        <v>0.0</v>
      </c>
      <c r="M115" s="58" t="s">
        <v>3918</v>
      </c>
      <c r="N115" s="58">
        <v>2.0</v>
      </c>
      <c r="O115" s="58" t="b">
        <v>1</v>
      </c>
      <c r="P115" s="58"/>
      <c r="Q115" s="58"/>
      <c r="R115" s="59" t="str">
        <f>IF(COUNTIF('Active Employees'!B:B, B115)&gt;0,"Y","N")</f>
        <v>Y</v>
      </c>
      <c r="S115" s="58" t="s">
        <v>3874</v>
      </c>
      <c r="T115" s="58"/>
    </row>
    <row r="116">
      <c r="A116" s="58" t="s">
        <v>3993</v>
      </c>
      <c r="B116" s="58" t="s">
        <v>1393</v>
      </c>
      <c r="C116" s="58" t="s">
        <v>3866</v>
      </c>
      <c r="D116" s="58" t="s">
        <v>3867</v>
      </c>
      <c r="E116" s="68">
        <v>45799.77415509259</v>
      </c>
      <c r="F116" s="58" t="s">
        <v>3342</v>
      </c>
      <c r="G116" s="58" t="s">
        <v>3342</v>
      </c>
      <c r="H116" s="58" t="s">
        <v>3342</v>
      </c>
      <c r="I116" s="58" t="s">
        <v>3877</v>
      </c>
      <c r="J116" s="58" t="s">
        <v>3342</v>
      </c>
      <c r="K116" s="58" t="s">
        <v>3868</v>
      </c>
      <c r="L116" s="58">
        <v>0.0</v>
      </c>
      <c r="M116" s="58" t="s">
        <v>3918</v>
      </c>
      <c r="N116" s="58">
        <v>2.0</v>
      </c>
      <c r="O116" s="58" t="b">
        <v>1</v>
      </c>
      <c r="P116" s="58"/>
      <c r="Q116" s="58"/>
      <c r="R116" s="59" t="str">
        <f>IF(COUNTIF('Active Employees'!B:B, B116)&gt;0,"Y","N")</f>
        <v>Y</v>
      </c>
      <c r="S116" s="58" t="s">
        <v>3874</v>
      </c>
      <c r="T116" s="58"/>
    </row>
    <row r="117">
      <c r="A117" s="58" t="s">
        <v>3994</v>
      </c>
      <c r="B117" s="58" t="s">
        <v>813</v>
      </c>
      <c r="C117" s="58" t="s">
        <v>3866</v>
      </c>
      <c r="D117" s="58" t="s">
        <v>3867</v>
      </c>
      <c r="E117" s="68">
        <v>45799.77425925926</v>
      </c>
      <c r="F117" s="58" t="s">
        <v>3342</v>
      </c>
      <c r="G117" s="58" t="s">
        <v>3342</v>
      </c>
      <c r="H117" s="58" t="s">
        <v>3342</v>
      </c>
      <c r="I117" s="58" t="s">
        <v>3877</v>
      </c>
      <c r="J117" s="58" t="s">
        <v>3342</v>
      </c>
      <c r="K117" s="58" t="s">
        <v>3868</v>
      </c>
      <c r="L117" s="58">
        <v>0.0</v>
      </c>
      <c r="M117" s="58" t="s">
        <v>3918</v>
      </c>
      <c r="N117" s="58">
        <v>2.0</v>
      </c>
      <c r="O117" s="58" t="b">
        <v>1</v>
      </c>
      <c r="P117" s="58"/>
      <c r="Q117" s="58"/>
      <c r="R117" s="59" t="str">
        <f>IF(COUNTIF('Active Employees'!B:B, B117)&gt;0,"Y","N")</f>
        <v>Y</v>
      </c>
      <c r="S117" s="58" t="s">
        <v>3874</v>
      </c>
      <c r="T117" s="58"/>
    </row>
    <row r="118">
      <c r="A118" s="58" t="s">
        <v>3995</v>
      </c>
      <c r="B118" s="58" t="s">
        <v>1015</v>
      </c>
      <c r="C118" s="58" t="s">
        <v>3866</v>
      </c>
      <c r="D118" s="58" t="s">
        <v>3867</v>
      </c>
      <c r="E118" s="68">
        <v>45799.77439814815</v>
      </c>
      <c r="F118" s="58" t="s">
        <v>3342</v>
      </c>
      <c r="G118" s="58" t="s">
        <v>3342</v>
      </c>
      <c r="H118" s="58" t="s">
        <v>3342</v>
      </c>
      <c r="I118" s="58" t="s">
        <v>3877</v>
      </c>
      <c r="J118" s="58" t="s">
        <v>3342</v>
      </c>
      <c r="K118" s="58" t="s">
        <v>3868</v>
      </c>
      <c r="L118" s="58">
        <v>0.0</v>
      </c>
      <c r="M118" s="58" t="s">
        <v>3885</v>
      </c>
      <c r="N118" s="58">
        <v>2.0</v>
      </c>
      <c r="O118" s="58" t="b">
        <v>1</v>
      </c>
      <c r="P118" s="58"/>
      <c r="Q118" s="58"/>
      <c r="R118" s="59" t="str">
        <f>IF(COUNTIF('Active Employees'!B:B, B118)&gt;0,"Y","N")</f>
        <v>Y</v>
      </c>
      <c r="S118" s="58" t="s">
        <v>3874</v>
      </c>
      <c r="T118" s="58"/>
    </row>
    <row r="119">
      <c r="A119" s="58" t="s">
        <v>3996</v>
      </c>
      <c r="B119" s="58" t="s">
        <v>1216</v>
      </c>
      <c r="C119" s="58" t="s">
        <v>3866</v>
      </c>
      <c r="D119" s="58" t="s">
        <v>3867</v>
      </c>
      <c r="E119" s="68">
        <v>45799.77431712963</v>
      </c>
      <c r="F119" s="58" t="s">
        <v>3342</v>
      </c>
      <c r="G119" s="58" t="s">
        <v>3342</v>
      </c>
      <c r="H119" s="58" t="s">
        <v>3342</v>
      </c>
      <c r="I119" s="58" t="s">
        <v>3877</v>
      </c>
      <c r="J119" s="58" t="s">
        <v>3342</v>
      </c>
      <c r="K119" s="58" t="s">
        <v>3868</v>
      </c>
      <c r="L119" s="58">
        <v>0.0</v>
      </c>
      <c r="M119" s="58" t="s">
        <v>3891</v>
      </c>
      <c r="N119" s="58">
        <v>3.0</v>
      </c>
      <c r="O119" s="58" t="b">
        <v>1</v>
      </c>
      <c r="P119" s="58"/>
      <c r="Q119" s="58"/>
      <c r="R119" s="59" t="str">
        <f>IF(COUNTIF('Active Employees'!B:B, B119)&gt;0,"Y","N")</f>
        <v>Y</v>
      </c>
      <c r="S119" s="58" t="s">
        <v>3874</v>
      </c>
      <c r="T119" s="58"/>
    </row>
    <row r="120">
      <c r="A120" s="58" t="s">
        <v>3997</v>
      </c>
      <c r="B120" s="58" t="s">
        <v>127</v>
      </c>
      <c r="C120" s="58" t="s">
        <v>3866</v>
      </c>
      <c r="D120" s="58" t="s">
        <v>3867</v>
      </c>
      <c r="E120" s="68">
        <v>45908.61767361111</v>
      </c>
      <c r="F120" s="58" t="s">
        <v>3342</v>
      </c>
      <c r="G120" s="58" t="s">
        <v>3342</v>
      </c>
      <c r="H120" s="58" t="s">
        <v>3342</v>
      </c>
      <c r="I120" s="58" t="s">
        <v>3877</v>
      </c>
      <c r="J120" s="58" t="s">
        <v>3342</v>
      </c>
      <c r="K120" s="58" t="s">
        <v>3868</v>
      </c>
      <c r="L120" s="58">
        <v>0.0</v>
      </c>
      <c r="M120" s="58" t="s">
        <v>3918</v>
      </c>
      <c r="N120" s="58">
        <v>2.0</v>
      </c>
      <c r="O120" s="58" t="b">
        <v>1</v>
      </c>
      <c r="P120" s="58"/>
      <c r="Q120" s="58"/>
      <c r="R120" s="59" t="str">
        <f>IF(COUNTIF('Active Employees'!B:B, B120)&gt;0,"Y","N")</f>
        <v>Y</v>
      </c>
      <c r="S120" s="58" t="s">
        <v>3874</v>
      </c>
      <c r="T120" s="58"/>
    </row>
    <row r="121">
      <c r="A121" s="58" t="s">
        <v>1824</v>
      </c>
      <c r="B121" s="58" t="s">
        <v>1039</v>
      </c>
      <c r="C121" s="58" t="s">
        <v>3866</v>
      </c>
      <c r="D121" s="58" t="s">
        <v>3867</v>
      </c>
      <c r="E121" s="68">
        <v>45799.775300925925</v>
      </c>
      <c r="F121" s="58" t="s">
        <v>3342</v>
      </c>
      <c r="G121" s="58" t="s">
        <v>3342</v>
      </c>
      <c r="H121" s="58" t="s">
        <v>3342</v>
      </c>
      <c r="I121" s="58" t="s">
        <v>3877</v>
      </c>
      <c r="J121" s="58" t="s">
        <v>3342</v>
      </c>
      <c r="K121" s="58" t="s">
        <v>3868</v>
      </c>
      <c r="L121" s="58">
        <v>0.0</v>
      </c>
      <c r="M121" s="58" t="s">
        <v>3885</v>
      </c>
      <c r="N121" s="58">
        <v>2.0</v>
      </c>
      <c r="O121" s="58" t="b">
        <v>1</v>
      </c>
      <c r="P121" s="58"/>
      <c r="Q121" s="58"/>
      <c r="R121" s="59" t="str">
        <f>IF(COUNTIF('Active Employees'!B:B, B121)&gt;0,"Y","N")</f>
        <v>Y</v>
      </c>
      <c r="S121" s="58" t="s">
        <v>3874</v>
      </c>
      <c r="T121" s="58"/>
    </row>
    <row r="122">
      <c r="A122" s="58" t="s">
        <v>1490</v>
      </c>
      <c r="B122" s="58" t="s">
        <v>967</v>
      </c>
      <c r="C122" s="58" t="s">
        <v>3866</v>
      </c>
      <c r="D122" s="58" t="s">
        <v>3867</v>
      </c>
      <c r="E122" s="68">
        <v>45168.42521990741</v>
      </c>
      <c r="F122" s="58" t="s">
        <v>3342</v>
      </c>
      <c r="G122" s="58" t="s">
        <v>3342</v>
      </c>
      <c r="H122" s="58" t="s">
        <v>3342</v>
      </c>
      <c r="I122" s="58" t="s">
        <v>3877</v>
      </c>
      <c r="J122" s="58" t="s">
        <v>3342</v>
      </c>
      <c r="K122" s="58" t="s">
        <v>3868</v>
      </c>
      <c r="L122" s="58">
        <v>0.0</v>
      </c>
      <c r="M122" s="58" t="s">
        <v>3891</v>
      </c>
      <c r="N122" s="58">
        <v>3.0</v>
      </c>
      <c r="O122" s="58" t="b">
        <v>1</v>
      </c>
      <c r="P122" s="58"/>
      <c r="Q122" s="58"/>
      <c r="R122" s="59" t="str">
        <f>IF(COUNTIF('Active Employees'!B:B, B122)&gt;0,"Y","N")</f>
        <v>Y</v>
      </c>
      <c r="S122" s="58" t="s">
        <v>3874</v>
      </c>
      <c r="T122" s="58"/>
    </row>
    <row r="123">
      <c r="A123" s="58" t="s">
        <v>3998</v>
      </c>
      <c r="B123" s="58" t="s">
        <v>540</v>
      </c>
      <c r="C123" s="58" t="s">
        <v>3866</v>
      </c>
      <c r="D123" s="58" t="s">
        <v>3867</v>
      </c>
      <c r="E123" s="68">
        <v>45859.46608796297</v>
      </c>
      <c r="F123" s="58" t="s">
        <v>3342</v>
      </c>
      <c r="G123" s="58" t="s">
        <v>3342</v>
      </c>
      <c r="H123" s="58" t="s">
        <v>3342</v>
      </c>
      <c r="I123" s="58" t="s">
        <v>3877</v>
      </c>
      <c r="J123" s="58" t="s">
        <v>3342</v>
      </c>
      <c r="K123" s="58" t="s">
        <v>3868</v>
      </c>
      <c r="L123" s="58">
        <v>0.0</v>
      </c>
      <c r="M123" s="58" t="s">
        <v>3918</v>
      </c>
      <c r="N123" s="58">
        <v>2.0</v>
      </c>
      <c r="O123" s="58" t="b">
        <v>1</v>
      </c>
      <c r="P123" s="58"/>
      <c r="Q123" s="58"/>
      <c r="R123" s="59" t="str">
        <f>IF(COUNTIF('Active Employees'!B:B, B123)&gt;0,"Y","N")</f>
        <v>Y</v>
      </c>
      <c r="S123" s="58" t="s">
        <v>3874</v>
      </c>
      <c r="T123" s="58"/>
    </row>
    <row r="124">
      <c r="A124" s="58" t="s">
        <v>3999</v>
      </c>
      <c r="B124" s="58" t="s">
        <v>895</v>
      </c>
      <c r="C124" s="58" t="s">
        <v>3866</v>
      </c>
      <c r="D124" s="58" t="s">
        <v>3867</v>
      </c>
      <c r="E124" s="68">
        <v>45799.774189814816</v>
      </c>
      <c r="F124" s="58" t="s">
        <v>3342</v>
      </c>
      <c r="G124" s="58" t="s">
        <v>3342</v>
      </c>
      <c r="H124" s="58" t="s">
        <v>3342</v>
      </c>
      <c r="I124" s="58" t="s">
        <v>3877</v>
      </c>
      <c r="J124" s="58" t="s">
        <v>3342</v>
      </c>
      <c r="K124" s="58" t="s">
        <v>3868</v>
      </c>
      <c r="L124" s="58">
        <v>0.0</v>
      </c>
      <c r="M124" s="58" t="s">
        <v>3918</v>
      </c>
      <c r="N124" s="58">
        <v>2.0</v>
      </c>
      <c r="O124" s="58" t="b">
        <v>1</v>
      </c>
      <c r="P124" s="58"/>
      <c r="Q124" s="58"/>
      <c r="R124" s="59" t="str">
        <f>IF(COUNTIF('Active Employees'!B:B, B124)&gt;0,"Y","N")</f>
        <v>Y</v>
      </c>
      <c r="S124" s="58" t="s">
        <v>3874</v>
      </c>
      <c r="T124" s="58"/>
    </row>
    <row r="125">
      <c r="A125" s="58" t="s">
        <v>4000</v>
      </c>
      <c r="B125" s="58" t="s">
        <v>1157</v>
      </c>
      <c r="C125" s="58" t="s">
        <v>3866</v>
      </c>
      <c r="D125" s="58" t="s">
        <v>3867</v>
      </c>
      <c r="E125" s="68">
        <v>45799.77439814815</v>
      </c>
      <c r="F125" s="58" t="s">
        <v>3342</v>
      </c>
      <c r="G125" s="58" t="s">
        <v>3342</v>
      </c>
      <c r="H125" s="58" t="s">
        <v>3342</v>
      </c>
      <c r="I125" s="58" t="s">
        <v>3877</v>
      </c>
      <c r="J125" s="58" t="s">
        <v>3342</v>
      </c>
      <c r="K125" s="58" t="s">
        <v>3868</v>
      </c>
      <c r="L125" s="58">
        <v>0.0</v>
      </c>
      <c r="M125" s="58" t="s">
        <v>3974</v>
      </c>
      <c r="N125" s="58">
        <v>3.0</v>
      </c>
      <c r="O125" s="58" t="b">
        <v>1</v>
      </c>
      <c r="P125" s="58"/>
      <c r="Q125" s="58"/>
      <c r="R125" s="59" t="str">
        <f>IF(COUNTIF('Active Employees'!B:B, B125)&gt;0,"Y","N")</f>
        <v>Y</v>
      </c>
      <c r="S125" s="58" t="s">
        <v>3874</v>
      </c>
      <c r="T125" s="58"/>
    </row>
    <row r="126">
      <c r="A126" s="58" t="s">
        <v>3068</v>
      </c>
      <c r="B126" s="58" t="s">
        <v>1369</v>
      </c>
      <c r="C126" s="58" t="s">
        <v>3866</v>
      </c>
      <c r="D126" s="58" t="s">
        <v>3867</v>
      </c>
      <c r="E126" s="68">
        <v>45799.774189814816</v>
      </c>
      <c r="F126" s="58" t="s">
        <v>3342</v>
      </c>
      <c r="G126" s="58" t="s">
        <v>3342</v>
      </c>
      <c r="H126" s="58" t="s">
        <v>3342</v>
      </c>
      <c r="I126" s="58" t="s">
        <v>3877</v>
      </c>
      <c r="J126" s="58" t="s">
        <v>3342</v>
      </c>
      <c r="K126" s="58" t="s">
        <v>3868</v>
      </c>
      <c r="L126" s="58">
        <v>0.0</v>
      </c>
      <c r="M126" s="58" t="s">
        <v>3918</v>
      </c>
      <c r="N126" s="58">
        <v>2.0</v>
      </c>
      <c r="O126" s="58" t="b">
        <v>1</v>
      </c>
      <c r="P126" s="58"/>
      <c r="Q126" s="58"/>
      <c r="R126" s="59" t="str">
        <f>IF(COUNTIF('Active Employees'!B:B, B126)&gt;0,"Y","N")</f>
        <v>Y</v>
      </c>
      <c r="S126" s="58" t="s">
        <v>3874</v>
      </c>
      <c r="T126" s="58"/>
    </row>
    <row r="127">
      <c r="A127" s="58" t="s">
        <v>831</v>
      </c>
      <c r="B127" s="58" t="s">
        <v>577</v>
      </c>
      <c r="C127" s="58" t="s">
        <v>3866</v>
      </c>
      <c r="D127" s="58" t="s">
        <v>3867</v>
      </c>
      <c r="E127" s="68">
        <v>45799.816203703704</v>
      </c>
      <c r="F127" s="58" t="s">
        <v>3342</v>
      </c>
      <c r="G127" s="58" t="s">
        <v>3342</v>
      </c>
      <c r="H127" s="58" t="s">
        <v>3342</v>
      </c>
      <c r="I127" s="58" t="s">
        <v>3877</v>
      </c>
      <c r="J127" s="58" t="s">
        <v>3342</v>
      </c>
      <c r="K127" s="58" t="s">
        <v>3868</v>
      </c>
      <c r="L127" s="58">
        <v>0.0</v>
      </c>
      <c r="M127" s="58" t="s">
        <v>3878</v>
      </c>
      <c r="N127" s="58">
        <v>2.0</v>
      </c>
      <c r="O127" s="58" t="b">
        <v>1</v>
      </c>
      <c r="P127" s="58"/>
      <c r="Q127" s="58"/>
      <c r="R127" s="59" t="str">
        <f>IF(COUNTIF('Active Employees'!B:B, B127)&gt;0,"Y","N")</f>
        <v>Y</v>
      </c>
      <c r="S127" s="58" t="s">
        <v>3874</v>
      </c>
      <c r="T127" s="58"/>
    </row>
    <row r="128">
      <c r="A128" s="58" t="s">
        <v>4001</v>
      </c>
      <c r="B128" s="58" t="s">
        <v>757</v>
      </c>
      <c r="C128" s="58" t="s">
        <v>3866</v>
      </c>
      <c r="D128" s="58" t="s">
        <v>3867</v>
      </c>
      <c r="E128" s="68">
        <v>45804.39258101852</v>
      </c>
      <c r="F128" s="58" t="s">
        <v>3342</v>
      </c>
      <c r="G128" s="58" t="s">
        <v>3342</v>
      </c>
      <c r="H128" s="58" t="s">
        <v>3342</v>
      </c>
      <c r="I128" s="58" t="s">
        <v>3877</v>
      </c>
      <c r="J128" s="58" t="s">
        <v>3342</v>
      </c>
      <c r="K128" s="58" t="s">
        <v>3868</v>
      </c>
      <c r="L128" s="58">
        <v>0.0</v>
      </c>
      <c r="M128" s="58" t="s">
        <v>3918</v>
      </c>
      <c r="N128" s="58">
        <v>2.0</v>
      </c>
      <c r="O128" s="58" t="b">
        <v>1</v>
      </c>
      <c r="P128" s="58"/>
      <c r="Q128" s="58"/>
      <c r="R128" s="59" t="str">
        <f>IF(COUNTIF('Active Employees'!B:B, B128)&gt;0,"Y","N")</f>
        <v>Y</v>
      </c>
      <c r="S128" s="58" t="s">
        <v>3874</v>
      </c>
      <c r="T128" s="58"/>
    </row>
    <row r="129">
      <c r="A129" s="58" t="s">
        <v>1831</v>
      </c>
      <c r="B129" s="58" t="s">
        <v>903</v>
      </c>
      <c r="C129" s="58" t="s">
        <v>3866</v>
      </c>
      <c r="D129" s="58" t="s">
        <v>3867</v>
      </c>
      <c r="E129" s="68">
        <v>45799.77417824074</v>
      </c>
      <c r="F129" s="58" t="s">
        <v>3342</v>
      </c>
      <c r="G129" s="58" t="s">
        <v>3342</v>
      </c>
      <c r="H129" s="58" t="s">
        <v>3342</v>
      </c>
      <c r="I129" s="58" t="s">
        <v>3877</v>
      </c>
      <c r="J129" s="58" t="s">
        <v>3342</v>
      </c>
      <c r="K129" s="58" t="s">
        <v>3868</v>
      </c>
      <c r="L129" s="58">
        <v>0.0</v>
      </c>
      <c r="M129" s="58" t="s">
        <v>3918</v>
      </c>
      <c r="N129" s="58">
        <v>2.0</v>
      </c>
      <c r="O129" s="58" t="b">
        <v>1</v>
      </c>
      <c r="P129" s="58"/>
      <c r="Q129" s="58"/>
      <c r="R129" s="59" t="str">
        <f>IF(COUNTIF('Active Employees'!B:B, B129)&gt;0,"Y","N")</f>
        <v>Y</v>
      </c>
      <c r="S129" s="58" t="s">
        <v>3874</v>
      </c>
      <c r="T129" s="58"/>
    </row>
    <row r="130">
      <c r="A130" s="58" t="s">
        <v>3035</v>
      </c>
      <c r="B130" s="58" t="s">
        <v>1299</v>
      </c>
      <c r="C130" s="58" t="s">
        <v>3866</v>
      </c>
      <c r="D130" s="58" t="s">
        <v>3867</v>
      </c>
      <c r="E130" s="68">
        <v>45799.77421296296</v>
      </c>
      <c r="F130" s="58" t="s">
        <v>3342</v>
      </c>
      <c r="G130" s="58" t="s">
        <v>3342</v>
      </c>
      <c r="H130" s="58" t="s">
        <v>3342</v>
      </c>
      <c r="I130" s="58" t="s">
        <v>3877</v>
      </c>
      <c r="J130" s="58" t="s">
        <v>3342</v>
      </c>
      <c r="K130" s="58" t="s">
        <v>3868</v>
      </c>
      <c r="L130" s="58">
        <v>0.0</v>
      </c>
      <c r="M130" s="58" t="s">
        <v>3918</v>
      </c>
      <c r="N130" s="58">
        <v>2.0</v>
      </c>
      <c r="O130" s="58" t="b">
        <v>1</v>
      </c>
      <c r="P130" s="58"/>
      <c r="Q130" s="58"/>
      <c r="R130" s="59" t="str">
        <f>IF(COUNTIF('Active Employees'!B:B, B130)&gt;0,"Y","N")</f>
        <v>Y</v>
      </c>
      <c r="S130" s="58" t="s">
        <v>3874</v>
      </c>
      <c r="T130" s="58"/>
    </row>
    <row r="131">
      <c r="A131" s="58" t="s">
        <v>2978</v>
      </c>
      <c r="B131" s="58" t="s">
        <v>1253</v>
      </c>
      <c r="C131" s="58" t="s">
        <v>3866</v>
      </c>
      <c r="D131" s="58" t="s">
        <v>3867</v>
      </c>
      <c r="E131" s="68">
        <v>45762.632418981484</v>
      </c>
      <c r="F131" s="58" t="s">
        <v>3342</v>
      </c>
      <c r="G131" s="58" t="s">
        <v>3342</v>
      </c>
      <c r="H131" s="58" t="s">
        <v>3342</v>
      </c>
      <c r="I131" s="58" t="s">
        <v>3877</v>
      </c>
      <c r="J131" s="58" t="s">
        <v>3342</v>
      </c>
      <c r="K131" s="58" t="s">
        <v>3868</v>
      </c>
      <c r="L131" s="58">
        <v>0.0</v>
      </c>
      <c r="M131" s="58" t="s">
        <v>3918</v>
      </c>
      <c r="N131" s="58">
        <v>2.0</v>
      </c>
      <c r="O131" s="58" t="b">
        <v>1</v>
      </c>
      <c r="P131" s="58"/>
      <c r="Q131" s="58"/>
      <c r="R131" s="59" t="str">
        <f>IF(COUNTIF('Active Employees'!B:B, B131)&gt;0,"Y","N")</f>
        <v>Y</v>
      </c>
      <c r="S131" s="58" t="s">
        <v>3874</v>
      </c>
      <c r="T131" s="58"/>
    </row>
    <row r="132">
      <c r="A132" s="58" t="s">
        <v>2986</v>
      </c>
      <c r="B132" s="58" t="s">
        <v>990</v>
      </c>
      <c r="C132" s="58" t="s">
        <v>3866</v>
      </c>
      <c r="D132" s="58" t="s">
        <v>3867</v>
      </c>
      <c r="E132" s="68">
        <v>45799.77521990741</v>
      </c>
      <c r="F132" s="58" t="s">
        <v>3342</v>
      </c>
      <c r="G132" s="58" t="s">
        <v>3342</v>
      </c>
      <c r="H132" s="58" t="s">
        <v>3342</v>
      </c>
      <c r="I132" s="58" t="s">
        <v>3877</v>
      </c>
      <c r="J132" s="58" t="s">
        <v>3342</v>
      </c>
      <c r="K132" s="58" t="s">
        <v>3868</v>
      </c>
      <c r="L132" s="58">
        <v>0.0</v>
      </c>
      <c r="M132" s="58" t="s">
        <v>3885</v>
      </c>
      <c r="N132" s="58">
        <v>2.0</v>
      </c>
      <c r="O132" s="58" t="b">
        <v>1</v>
      </c>
      <c r="P132" s="58"/>
      <c r="Q132" s="58"/>
      <c r="R132" s="59" t="str">
        <f>IF(COUNTIF('Active Employees'!B:B, B132)&gt;0,"Y","N")</f>
        <v>Y</v>
      </c>
      <c r="S132" s="58" t="s">
        <v>3874</v>
      </c>
      <c r="T132" s="58"/>
    </row>
    <row r="133">
      <c r="A133" s="58" t="s">
        <v>4002</v>
      </c>
      <c r="B133" s="58" t="s">
        <v>1424</v>
      </c>
      <c r="C133" s="58" t="s">
        <v>3866</v>
      </c>
      <c r="D133" s="58" t="s">
        <v>3867</v>
      </c>
      <c r="E133" s="68">
        <v>45831.64891203704</v>
      </c>
      <c r="F133" s="58" t="s">
        <v>3342</v>
      </c>
      <c r="G133" s="58" t="s">
        <v>3342</v>
      </c>
      <c r="H133" s="58" t="s">
        <v>3342</v>
      </c>
      <c r="I133" s="58" t="s">
        <v>3877</v>
      </c>
      <c r="J133" s="58" t="s">
        <v>3342</v>
      </c>
      <c r="K133" s="58" t="s">
        <v>3868</v>
      </c>
      <c r="L133" s="58">
        <v>0.0</v>
      </c>
      <c r="M133" s="58" t="s">
        <v>3918</v>
      </c>
      <c r="N133" s="58">
        <v>2.0</v>
      </c>
      <c r="O133" s="58" t="b">
        <v>1</v>
      </c>
      <c r="P133" s="58"/>
      <c r="Q133" s="58"/>
      <c r="R133" s="59" t="str">
        <f>IF(COUNTIF('Active Employees'!B:B, B133)&gt;0,"Y","N")</f>
        <v>Y</v>
      </c>
      <c r="S133" s="58" t="s">
        <v>3874</v>
      </c>
      <c r="T133" s="58"/>
    </row>
    <row r="134">
      <c r="A134" s="58" t="s">
        <v>4003</v>
      </c>
      <c r="B134" s="58" t="s">
        <v>32</v>
      </c>
      <c r="C134" s="58" t="s">
        <v>3866</v>
      </c>
      <c r="D134" s="58" t="s">
        <v>3867</v>
      </c>
      <c r="E134" s="68">
        <v>45799.77439814815</v>
      </c>
      <c r="F134" s="58" t="s">
        <v>3342</v>
      </c>
      <c r="G134" s="58" t="s">
        <v>3342</v>
      </c>
      <c r="H134" s="58" t="s">
        <v>3342</v>
      </c>
      <c r="I134" s="58" t="s">
        <v>3877</v>
      </c>
      <c r="J134" s="58" t="s">
        <v>3342</v>
      </c>
      <c r="K134" s="58" t="s">
        <v>3868</v>
      </c>
      <c r="L134" s="58">
        <v>0.0</v>
      </c>
      <c r="M134" s="58" t="s">
        <v>3974</v>
      </c>
      <c r="N134" s="58">
        <v>3.0</v>
      </c>
      <c r="O134" s="58" t="b">
        <v>1</v>
      </c>
      <c r="P134" s="58"/>
      <c r="Q134" s="58"/>
      <c r="R134" s="59" t="str">
        <f>IF(COUNTIF('Active Employees'!B:B, B134)&gt;0,"Y","N")</f>
        <v>Y</v>
      </c>
      <c r="S134" s="58" t="s">
        <v>3874</v>
      </c>
      <c r="T134" s="58"/>
    </row>
    <row r="135">
      <c r="A135" s="58" t="s">
        <v>3127</v>
      </c>
      <c r="B135" s="58" t="s">
        <v>306</v>
      </c>
      <c r="C135" s="58" t="s">
        <v>3866</v>
      </c>
      <c r="D135" s="58" t="s">
        <v>3867</v>
      </c>
      <c r="E135" s="68">
        <v>45762.632893518516</v>
      </c>
      <c r="F135" s="58" t="s">
        <v>3342</v>
      </c>
      <c r="G135" s="58" t="s">
        <v>3342</v>
      </c>
      <c r="H135" s="58" t="s">
        <v>3213</v>
      </c>
      <c r="I135" s="58" t="s">
        <v>1416</v>
      </c>
      <c r="J135" s="68">
        <v>45762.63265046296</v>
      </c>
      <c r="K135" s="58" t="s">
        <v>3868</v>
      </c>
      <c r="L135" s="58">
        <v>0.0</v>
      </c>
      <c r="M135" s="58" t="s">
        <v>3918</v>
      </c>
      <c r="N135" s="58">
        <v>2.0</v>
      </c>
      <c r="O135" s="58" t="b">
        <v>1</v>
      </c>
      <c r="P135" s="58"/>
      <c r="Q135" s="58"/>
      <c r="R135" s="59" t="str">
        <f>IF(COUNTIF('Active Employees'!B:B, B135)&gt;0,"Y","N")</f>
        <v>Y</v>
      </c>
      <c r="S135" s="58" t="s">
        <v>3874</v>
      </c>
      <c r="T135" s="58"/>
    </row>
    <row r="136">
      <c r="A136" s="58" t="s">
        <v>1492</v>
      </c>
      <c r="B136" s="58" t="s">
        <v>1100</v>
      </c>
      <c r="C136" s="58" t="s">
        <v>3866</v>
      </c>
      <c r="D136" s="58" t="s">
        <v>3867</v>
      </c>
      <c r="E136" s="68">
        <v>45799.774189814816</v>
      </c>
      <c r="F136" s="58" t="s">
        <v>3342</v>
      </c>
      <c r="G136" s="58" t="s">
        <v>3342</v>
      </c>
      <c r="H136" s="58" t="s">
        <v>3342</v>
      </c>
      <c r="I136" s="58" t="s">
        <v>3877</v>
      </c>
      <c r="J136" s="58" t="s">
        <v>3342</v>
      </c>
      <c r="K136" s="58" t="s">
        <v>3868</v>
      </c>
      <c r="L136" s="58">
        <v>0.0</v>
      </c>
      <c r="M136" s="58" t="s">
        <v>3918</v>
      </c>
      <c r="N136" s="58">
        <v>2.0</v>
      </c>
      <c r="O136" s="58" t="b">
        <v>1</v>
      </c>
      <c r="P136" s="58"/>
      <c r="Q136" s="58"/>
      <c r="R136" s="59" t="str">
        <f>IF(COUNTIF('Active Employees'!B:B, B136)&gt;0,"Y","N")</f>
        <v>Y</v>
      </c>
      <c r="S136" s="58" t="s">
        <v>3874</v>
      </c>
      <c r="T136" s="58"/>
    </row>
    <row r="137">
      <c r="A137" s="58" t="s">
        <v>3131</v>
      </c>
      <c r="B137" s="58" t="s">
        <v>1395</v>
      </c>
      <c r="C137" s="58" t="s">
        <v>3866</v>
      </c>
      <c r="D137" s="58" t="s">
        <v>3867</v>
      </c>
      <c r="E137" s="68">
        <v>45799.7740162037</v>
      </c>
      <c r="F137" s="58" t="s">
        <v>3342</v>
      </c>
      <c r="G137" s="58" t="s">
        <v>3342</v>
      </c>
      <c r="H137" s="58" t="s">
        <v>3342</v>
      </c>
      <c r="I137" s="58" t="s">
        <v>3877</v>
      </c>
      <c r="J137" s="58" t="s">
        <v>3342</v>
      </c>
      <c r="K137" s="58" t="s">
        <v>3868</v>
      </c>
      <c r="L137" s="58">
        <v>0.0</v>
      </c>
      <c r="M137" s="58" t="s">
        <v>3911</v>
      </c>
      <c r="N137" s="58">
        <v>3.0</v>
      </c>
      <c r="O137" s="58" t="b">
        <v>1</v>
      </c>
      <c r="P137" s="58"/>
      <c r="Q137" s="58"/>
      <c r="R137" s="59" t="str">
        <f>IF(COUNTIF('Active Employees'!B:B, B137)&gt;0,"Y","N")</f>
        <v>Y</v>
      </c>
      <c r="S137" s="58" t="s">
        <v>3874</v>
      </c>
      <c r="T137" s="58"/>
    </row>
    <row r="138">
      <c r="A138" s="58" t="s">
        <v>4004</v>
      </c>
      <c r="B138" s="58" t="s">
        <v>371</v>
      </c>
      <c r="C138" s="58" t="s">
        <v>3866</v>
      </c>
      <c r="D138" s="58" t="s">
        <v>3867</v>
      </c>
      <c r="E138" s="68">
        <v>45799.77422453704</v>
      </c>
      <c r="F138" s="58" t="s">
        <v>3342</v>
      </c>
      <c r="G138" s="58" t="s">
        <v>3342</v>
      </c>
      <c r="H138" s="58" t="s">
        <v>3342</v>
      </c>
      <c r="I138" s="58" t="s">
        <v>3877</v>
      </c>
      <c r="J138" s="58" t="s">
        <v>3342</v>
      </c>
      <c r="K138" s="58" t="s">
        <v>3868</v>
      </c>
      <c r="L138" s="58">
        <v>0.0</v>
      </c>
      <c r="M138" s="58" t="s">
        <v>3918</v>
      </c>
      <c r="N138" s="58">
        <v>2.0</v>
      </c>
      <c r="O138" s="58" t="b">
        <v>1</v>
      </c>
      <c r="P138" s="58"/>
      <c r="Q138" s="58"/>
      <c r="R138" s="59" t="str">
        <f>IF(COUNTIF('Active Employees'!B:B, B138)&gt;0,"Y","N")</f>
        <v>Y</v>
      </c>
      <c r="S138" s="58" t="s">
        <v>3874</v>
      </c>
      <c r="T138" s="58"/>
    </row>
    <row r="139">
      <c r="A139" s="58" t="s">
        <v>69</v>
      </c>
      <c r="B139" s="58" t="s">
        <v>690</v>
      </c>
      <c r="C139" s="58" t="s">
        <v>3866</v>
      </c>
      <c r="D139" s="58" t="s">
        <v>3867</v>
      </c>
      <c r="E139" s="68">
        <v>45799.81701388889</v>
      </c>
      <c r="F139" s="58" t="s">
        <v>3342</v>
      </c>
      <c r="G139" s="58" t="s">
        <v>3342</v>
      </c>
      <c r="H139" s="58" t="s">
        <v>3342</v>
      </c>
      <c r="I139" s="58" t="s">
        <v>3877</v>
      </c>
      <c r="J139" s="58" t="s">
        <v>3342</v>
      </c>
      <c r="K139" s="58" t="s">
        <v>3868</v>
      </c>
      <c r="L139" s="58">
        <v>0.0</v>
      </c>
      <c r="M139" s="58" t="s">
        <v>3885</v>
      </c>
      <c r="N139" s="58">
        <v>2.0</v>
      </c>
      <c r="O139" s="58" t="b">
        <v>1</v>
      </c>
      <c r="P139" s="58"/>
      <c r="Q139" s="58"/>
      <c r="R139" s="59" t="str">
        <f>IF(COUNTIF('Active Employees'!B:B, B139)&gt;0,"Y","N")</f>
        <v>Y</v>
      </c>
      <c r="S139" s="58" t="s">
        <v>3874</v>
      </c>
      <c r="T139" s="58"/>
    </row>
    <row r="140">
      <c r="A140" s="58" t="s">
        <v>4005</v>
      </c>
      <c r="B140" s="58" t="s">
        <v>244</v>
      </c>
      <c r="C140" s="58" t="s">
        <v>3866</v>
      </c>
      <c r="D140" s="58" t="s">
        <v>3867</v>
      </c>
      <c r="E140" s="68">
        <v>45799.77400462963</v>
      </c>
      <c r="F140" s="58" t="s">
        <v>3342</v>
      </c>
      <c r="G140" s="58" t="s">
        <v>3342</v>
      </c>
      <c r="H140" s="58" t="s">
        <v>3342</v>
      </c>
      <c r="I140" s="58" t="s">
        <v>3877</v>
      </c>
      <c r="J140" s="58" t="s">
        <v>3342</v>
      </c>
      <c r="K140" s="58" t="s">
        <v>3868</v>
      </c>
      <c r="L140" s="58">
        <v>0.0</v>
      </c>
      <c r="M140" s="58" t="s">
        <v>3911</v>
      </c>
      <c r="N140" s="58">
        <v>3.0</v>
      </c>
      <c r="O140" s="58" t="b">
        <v>1</v>
      </c>
      <c r="P140" s="58"/>
      <c r="Q140" s="58"/>
      <c r="R140" s="59" t="str">
        <f>IF(COUNTIF('Active Employees'!B:B, B140)&gt;0,"Y","N")</f>
        <v>Y</v>
      </c>
      <c r="S140" s="58" t="s">
        <v>3874</v>
      </c>
      <c r="T140" s="58"/>
    </row>
    <row r="141">
      <c r="A141" s="58" t="s">
        <v>3268</v>
      </c>
      <c r="B141" s="58" t="s">
        <v>374</v>
      </c>
      <c r="C141" s="58" t="s">
        <v>3866</v>
      </c>
      <c r="D141" s="58" t="s">
        <v>3867</v>
      </c>
      <c r="E141" s="68">
        <v>45799.77469907407</v>
      </c>
      <c r="F141" s="58" t="s">
        <v>3342</v>
      </c>
      <c r="G141" s="58" t="s">
        <v>3342</v>
      </c>
      <c r="H141" s="58" t="s">
        <v>3342</v>
      </c>
      <c r="I141" s="58" t="s">
        <v>3877</v>
      </c>
      <c r="J141" s="58" t="s">
        <v>3342</v>
      </c>
      <c r="K141" s="58" t="s">
        <v>3868</v>
      </c>
      <c r="L141" s="58">
        <v>0.0</v>
      </c>
      <c r="M141" s="58" t="s">
        <v>3869</v>
      </c>
      <c r="N141" s="58">
        <v>2.0</v>
      </c>
      <c r="O141" s="58" t="b">
        <v>1</v>
      </c>
      <c r="P141" s="58"/>
      <c r="Q141" s="58"/>
      <c r="R141" s="59" t="str">
        <f>IF(COUNTIF('Active Employees'!B:B, B141)&gt;0,"Y","N")</f>
        <v>Y</v>
      </c>
      <c r="S141" s="58" t="s">
        <v>3874</v>
      </c>
      <c r="T141" s="58"/>
    </row>
    <row r="142">
      <c r="A142" s="58" t="s">
        <v>1856</v>
      </c>
      <c r="B142" s="58" t="s">
        <v>619</v>
      </c>
      <c r="C142" s="58" t="s">
        <v>3866</v>
      </c>
      <c r="D142" s="58" t="s">
        <v>3867</v>
      </c>
      <c r="E142" s="68">
        <v>45799.77422453704</v>
      </c>
      <c r="F142" s="58" t="s">
        <v>3342</v>
      </c>
      <c r="G142" s="58" t="s">
        <v>3342</v>
      </c>
      <c r="H142" s="58" t="s">
        <v>3342</v>
      </c>
      <c r="I142" s="58" t="s">
        <v>3877</v>
      </c>
      <c r="J142" s="58" t="s">
        <v>3342</v>
      </c>
      <c r="K142" s="58" t="s">
        <v>3868</v>
      </c>
      <c r="L142" s="58">
        <v>0.0</v>
      </c>
      <c r="M142" s="58" t="s">
        <v>3918</v>
      </c>
      <c r="N142" s="58">
        <v>2.0</v>
      </c>
      <c r="O142" s="58" t="b">
        <v>1</v>
      </c>
      <c r="P142" s="58"/>
      <c r="Q142" s="58"/>
      <c r="R142" s="59" t="str">
        <f>IF(COUNTIF('Active Employees'!B:B, B142)&gt;0,"Y","N")</f>
        <v>Y</v>
      </c>
      <c r="S142" s="58" t="s">
        <v>3874</v>
      </c>
      <c r="T142" s="58"/>
    </row>
    <row r="143">
      <c r="A143" s="58" t="s">
        <v>238</v>
      </c>
      <c r="B143" s="58" t="s">
        <v>1317</v>
      </c>
      <c r="C143" s="58" t="s">
        <v>3866</v>
      </c>
      <c r="D143" s="58" t="s">
        <v>3867</v>
      </c>
      <c r="E143" s="68">
        <v>45799.77431712963</v>
      </c>
      <c r="F143" s="58" t="s">
        <v>3342</v>
      </c>
      <c r="G143" s="58" t="s">
        <v>3342</v>
      </c>
      <c r="H143" s="58" t="s">
        <v>3342</v>
      </c>
      <c r="I143" s="58" t="s">
        <v>3877</v>
      </c>
      <c r="J143" s="58" t="s">
        <v>3342</v>
      </c>
      <c r="K143" s="58" t="s">
        <v>3868</v>
      </c>
      <c r="L143" s="58">
        <v>0.0</v>
      </c>
      <c r="M143" s="58" t="s">
        <v>3891</v>
      </c>
      <c r="N143" s="58">
        <v>3.0</v>
      </c>
      <c r="O143" s="58" t="b">
        <v>1</v>
      </c>
      <c r="P143" s="58"/>
      <c r="Q143" s="58"/>
      <c r="R143" s="59" t="str">
        <f>IF(COUNTIF('Active Employees'!B:B, B143)&gt;0,"Y","N")</f>
        <v>Y</v>
      </c>
      <c r="S143" s="58" t="s">
        <v>3874</v>
      </c>
      <c r="T143" s="58"/>
    </row>
    <row r="144">
      <c r="A144" s="58" t="s">
        <v>3300</v>
      </c>
      <c r="B144" s="58" t="s">
        <v>580</v>
      </c>
      <c r="C144" s="58" t="s">
        <v>3866</v>
      </c>
      <c r="D144" s="58" t="s">
        <v>3867</v>
      </c>
      <c r="E144" s="68">
        <v>45799.77453703704</v>
      </c>
      <c r="F144" s="58" t="s">
        <v>3342</v>
      </c>
      <c r="G144" s="58" t="s">
        <v>3342</v>
      </c>
      <c r="H144" s="58" t="s">
        <v>3342</v>
      </c>
      <c r="I144" s="58" t="s">
        <v>3877</v>
      </c>
      <c r="J144" s="58" t="s">
        <v>3342</v>
      </c>
      <c r="K144" s="58" t="s">
        <v>3868</v>
      </c>
      <c r="L144" s="58">
        <v>0.0</v>
      </c>
      <c r="M144" s="58" t="s">
        <v>3878</v>
      </c>
      <c r="N144" s="58">
        <v>2.0</v>
      </c>
      <c r="O144" s="58" t="b">
        <v>1</v>
      </c>
      <c r="P144" s="58"/>
      <c r="Q144" s="58"/>
      <c r="R144" s="59" t="str">
        <f>IF(COUNTIF('Active Employees'!B:B, B144)&gt;0,"Y","N")</f>
        <v>Y</v>
      </c>
      <c r="S144" s="58" t="s">
        <v>3874</v>
      </c>
      <c r="T144" s="58"/>
    </row>
    <row r="145">
      <c r="A145" s="58" t="s">
        <v>1324</v>
      </c>
      <c r="B145" s="58" t="s">
        <v>839</v>
      </c>
      <c r="C145" s="58" t="s">
        <v>3866</v>
      </c>
      <c r="D145" s="58" t="s">
        <v>3867</v>
      </c>
      <c r="E145" s="68">
        <v>45799.81621527778</v>
      </c>
      <c r="F145" s="58" t="s">
        <v>3342</v>
      </c>
      <c r="G145" s="58" t="s">
        <v>3342</v>
      </c>
      <c r="H145" s="58" t="s">
        <v>3342</v>
      </c>
      <c r="I145" s="58" t="s">
        <v>3877</v>
      </c>
      <c r="J145" s="58" t="s">
        <v>3342</v>
      </c>
      <c r="K145" s="58" t="s">
        <v>3868</v>
      </c>
      <c r="L145" s="58">
        <v>0.0</v>
      </c>
      <c r="M145" s="58" t="s">
        <v>3878</v>
      </c>
      <c r="N145" s="58">
        <v>2.0</v>
      </c>
      <c r="O145" s="58" t="b">
        <v>1</v>
      </c>
      <c r="P145" s="58"/>
      <c r="Q145" s="58"/>
      <c r="R145" s="59" t="str">
        <f>IF(COUNTIF('Active Employees'!B:B, B145)&gt;0,"Y","N")</f>
        <v>Y</v>
      </c>
      <c r="S145" s="58" t="s">
        <v>3874</v>
      </c>
      <c r="T145" s="58"/>
    </row>
    <row r="146">
      <c r="A146" s="58" t="s">
        <v>720</v>
      </c>
      <c r="B146" s="58" t="s">
        <v>760</v>
      </c>
      <c r="C146" s="58" t="s">
        <v>3866</v>
      </c>
      <c r="D146" s="58" t="s">
        <v>3867</v>
      </c>
      <c r="E146" s="68">
        <v>45799.77525462963</v>
      </c>
      <c r="F146" s="58" t="s">
        <v>3342</v>
      </c>
      <c r="G146" s="58" t="s">
        <v>3342</v>
      </c>
      <c r="H146" s="58" t="s">
        <v>3342</v>
      </c>
      <c r="I146" s="58" t="s">
        <v>3877</v>
      </c>
      <c r="J146" s="58" t="s">
        <v>3342</v>
      </c>
      <c r="K146" s="58" t="s">
        <v>3868</v>
      </c>
      <c r="L146" s="58">
        <v>0.0</v>
      </c>
      <c r="M146" s="58" t="s">
        <v>3885</v>
      </c>
      <c r="N146" s="58">
        <v>2.0</v>
      </c>
      <c r="O146" s="58" t="b">
        <v>1</v>
      </c>
      <c r="P146" s="58"/>
      <c r="Q146" s="58"/>
      <c r="R146" s="59" t="str">
        <f>IF(COUNTIF('Active Employees'!B:B, B146)&gt;0,"Y","N")</f>
        <v>Y</v>
      </c>
      <c r="S146" s="58" t="s">
        <v>3874</v>
      </c>
      <c r="T146" s="58"/>
    </row>
    <row r="147">
      <c r="A147" s="58" t="s">
        <v>4006</v>
      </c>
      <c r="B147" s="58" t="s">
        <v>829</v>
      </c>
      <c r="C147" s="58" t="s">
        <v>3866</v>
      </c>
      <c r="D147" s="58" t="s">
        <v>3867</v>
      </c>
      <c r="E147" s="68">
        <v>45799.77454861111</v>
      </c>
      <c r="F147" s="58" t="s">
        <v>3342</v>
      </c>
      <c r="G147" s="58" t="s">
        <v>3342</v>
      </c>
      <c r="H147" s="58" t="s">
        <v>3342</v>
      </c>
      <c r="I147" s="58" t="s">
        <v>3877</v>
      </c>
      <c r="J147" s="58" t="s">
        <v>3342</v>
      </c>
      <c r="K147" s="58" t="s">
        <v>3868</v>
      </c>
      <c r="L147" s="58">
        <v>0.0</v>
      </c>
      <c r="M147" s="58" t="s">
        <v>3878</v>
      </c>
      <c r="N147" s="58">
        <v>2.0</v>
      </c>
      <c r="O147" s="58" t="b">
        <v>1</v>
      </c>
      <c r="P147" s="58"/>
      <c r="Q147" s="58"/>
      <c r="R147" s="59" t="str">
        <f>IF(COUNTIF('Active Employees'!B:B, B147)&gt;0,"Y","N")</f>
        <v>Y</v>
      </c>
      <c r="S147" s="58" t="s">
        <v>3874</v>
      </c>
      <c r="T147" s="58"/>
    </row>
    <row r="148">
      <c r="A148" s="58" t="s">
        <v>1284</v>
      </c>
      <c r="B148" s="58" t="s">
        <v>210</v>
      </c>
      <c r="C148" s="58" t="s">
        <v>3866</v>
      </c>
      <c r="D148" s="58" t="s">
        <v>3867</v>
      </c>
      <c r="E148" s="68">
        <v>45799.77431712963</v>
      </c>
      <c r="F148" s="58" t="s">
        <v>3342</v>
      </c>
      <c r="G148" s="58" t="s">
        <v>3342</v>
      </c>
      <c r="H148" s="58" t="s">
        <v>3342</v>
      </c>
      <c r="I148" s="58" t="s">
        <v>3877</v>
      </c>
      <c r="J148" s="58" t="s">
        <v>3342</v>
      </c>
      <c r="K148" s="58" t="s">
        <v>3868</v>
      </c>
      <c r="L148" s="58">
        <v>0.0</v>
      </c>
      <c r="M148" s="58" t="s">
        <v>3891</v>
      </c>
      <c r="N148" s="58">
        <v>3.0</v>
      </c>
      <c r="O148" s="58" t="b">
        <v>1</v>
      </c>
      <c r="P148" s="58"/>
      <c r="Q148" s="58"/>
      <c r="R148" s="59" t="str">
        <f>IF(COUNTIF('Active Employees'!B:B, B148)&gt;0,"Y","N")</f>
        <v>Y</v>
      </c>
      <c r="S148" s="58" t="s">
        <v>3874</v>
      </c>
      <c r="T148" s="58"/>
    </row>
    <row r="149">
      <c r="A149" s="58" t="s">
        <v>1865</v>
      </c>
      <c r="B149" s="58" t="s">
        <v>632</v>
      </c>
      <c r="C149" s="58" t="s">
        <v>3866</v>
      </c>
      <c r="D149" s="58" t="s">
        <v>3867</v>
      </c>
      <c r="E149" s="68">
        <v>45519.606469907405</v>
      </c>
      <c r="F149" s="58" t="s">
        <v>3342</v>
      </c>
      <c r="G149" s="58" t="s">
        <v>3342</v>
      </c>
      <c r="H149" s="58" t="s">
        <v>771</v>
      </c>
      <c r="I149" s="58" t="s">
        <v>856</v>
      </c>
      <c r="J149" s="68">
        <v>45519.59731481481</v>
      </c>
      <c r="K149" s="58" t="s">
        <v>3868</v>
      </c>
      <c r="L149" s="58">
        <v>0.0</v>
      </c>
      <c r="M149" s="58" t="s">
        <v>3911</v>
      </c>
      <c r="N149" s="58">
        <v>3.0</v>
      </c>
      <c r="O149" s="58" t="b">
        <v>1</v>
      </c>
      <c r="P149" s="58"/>
      <c r="Q149" s="58"/>
      <c r="R149" s="59" t="str">
        <f>IF(COUNTIF('Active Employees'!B:B, B149)&gt;0,"Y","N")</f>
        <v>Y</v>
      </c>
      <c r="S149" s="58" t="s">
        <v>3874</v>
      </c>
      <c r="T149" s="58"/>
    </row>
    <row r="150">
      <c r="A150" s="58" t="s">
        <v>2973</v>
      </c>
      <c r="B150" s="58" t="s">
        <v>495</v>
      </c>
      <c r="C150" s="58" t="s">
        <v>3866</v>
      </c>
      <c r="D150" s="58" t="s">
        <v>3867</v>
      </c>
      <c r="E150" s="68">
        <v>45799.774201388886</v>
      </c>
      <c r="F150" s="58" t="s">
        <v>3342</v>
      </c>
      <c r="G150" s="58" t="s">
        <v>3342</v>
      </c>
      <c r="H150" s="58" t="s">
        <v>3342</v>
      </c>
      <c r="I150" s="58" t="s">
        <v>3877</v>
      </c>
      <c r="J150" s="58" t="s">
        <v>3342</v>
      </c>
      <c r="K150" s="58" t="s">
        <v>3868</v>
      </c>
      <c r="L150" s="58">
        <v>0.0</v>
      </c>
      <c r="M150" s="58" t="s">
        <v>3918</v>
      </c>
      <c r="N150" s="58">
        <v>2.0</v>
      </c>
      <c r="O150" s="58" t="b">
        <v>1</v>
      </c>
      <c r="P150" s="58"/>
      <c r="Q150" s="58"/>
      <c r="R150" s="59" t="str">
        <f>IF(COUNTIF('Active Employees'!B:B, B150)&gt;0,"Y","N")</f>
        <v>Y</v>
      </c>
      <c r="S150" s="58" t="s">
        <v>3874</v>
      </c>
      <c r="T150" s="58"/>
    </row>
    <row r="151">
      <c r="A151" s="58" t="s">
        <v>554</v>
      </c>
      <c r="B151" s="58" t="s">
        <v>873</v>
      </c>
      <c r="C151" s="58" t="s">
        <v>3866</v>
      </c>
      <c r="D151" s="58" t="s">
        <v>3867</v>
      </c>
      <c r="E151" s="68">
        <v>45799.77431712963</v>
      </c>
      <c r="F151" s="58" t="s">
        <v>3342</v>
      </c>
      <c r="G151" s="58" t="s">
        <v>3342</v>
      </c>
      <c r="H151" s="58" t="s">
        <v>3342</v>
      </c>
      <c r="I151" s="58" t="s">
        <v>3877</v>
      </c>
      <c r="J151" s="58" t="s">
        <v>3342</v>
      </c>
      <c r="K151" s="58" t="s">
        <v>3868</v>
      </c>
      <c r="L151" s="58">
        <v>0.0</v>
      </c>
      <c r="M151" s="58" t="s">
        <v>3891</v>
      </c>
      <c r="N151" s="58">
        <v>3.0</v>
      </c>
      <c r="O151" s="58" t="b">
        <v>1</v>
      </c>
      <c r="P151" s="58"/>
      <c r="Q151" s="58"/>
      <c r="R151" s="59" t="str">
        <f>IF(COUNTIF('Active Employees'!B:B, B151)&gt;0,"Y","N")</f>
        <v>Y</v>
      </c>
      <c r="S151" s="58" t="s">
        <v>3874</v>
      </c>
      <c r="T151" s="58"/>
    </row>
    <row r="152">
      <c r="A152" s="58" t="s">
        <v>3229</v>
      </c>
      <c r="B152" s="58" t="s">
        <v>1308</v>
      </c>
      <c r="C152" s="58" t="s">
        <v>3866</v>
      </c>
      <c r="D152" s="58" t="s">
        <v>3867</v>
      </c>
      <c r="E152" s="68">
        <v>45799.77423611111</v>
      </c>
      <c r="F152" s="58" t="s">
        <v>3342</v>
      </c>
      <c r="G152" s="58" t="s">
        <v>3342</v>
      </c>
      <c r="H152" s="58" t="s">
        <v>3342</v>
      </c>
      <c r="I152" s="58" t="s">
        <v>3877</v>
      </c>
      <c r="J152" s="58" t="s">
        <v>3342</v>
      </c>
      <c r="K152" s="58" t="s">
        <v>3868</v>
      </c>
      <c r="L152" s="58">
        <v>0.0</v>
      </c>
      <c r="M152" s="58" t="s">
        <v>3918</v>
      </c>
      <c r="N152" s="58">
        <v>2.0</v>
      </c>
      <c r="O152" s="58" t="b">
        <v>1</v>
      </c>
      <c r="P152" s="58"/>
      <c r="Q152" s="58"/>
      <c r="R152" s="59" t="str">
        <f>IF(COUNTIF('Active Employees'!B:B, B152)&gt;0,"Y","N")</f>
        <v>Y</v>
      </c>
      <c r="S152" s="58" t="s">
        <v>3874</v>
      </c>
      <c r="T152" s="58"/>
    </row>
    <row r="153">
      <c r="A153" s="58" t="s">
        <v>3317</v>
      </c>
      <c r="B153" s="58" t="s">
        <v>571</v>
      </c>
      <c r="C153" s="58" t="s">
        <v>3866</v>
      </c>
      <c r="D153" s="58" t="s">
        <v>3867</v>
      </c>
      <c r="E153" s="68">
        <v>45799.775300925925</v>
      </c>
      <c r="F153" s="58" t="s">
        <v>3342</v>
      </c>
      <c r="G153" s="58" t="s">
        <v>3342</v>
      </c>
      <c r="H153" s="58" t="s">
        <v>3342</v>
      </c>
      <c r="I153" s="58" t="s">
        <v>3877</v>
      </c>
      <c r="J153" s="58" t="s">
        <v>3342</v>
      </c>
      <c r="K153" s="58" t="s">
        <v>3868</v>
      </c>
      <c r="L153" s="58">
        <v>0.0</v>
      </c>
      <c r="M153" s="58" t="s">
        <v>3885</v>
      </c>
      <c r="N153" s="58">
        <v>2.0</v>
      </c>
      <c r="O153" s="58" t="b">
        <v>1</v>
      </c>
      <c r="P153" s="58"/>
      <c r="Q153" s="58"/>
      <c r="R153" s="59" t="str">
        <f>IF(COUNTIF('Active Employees'!B:B, B153)&gt;0,"Y","N")</f>
        <v>Y</v>
      </c>
      <c r="S153" s="58" t="s">
        <v>3874</v>
      </c>
      <c r="T153" s="58"/>
    </row>
    <row r="154">
      <c r="A154" s="58" t="s">
        <v>3060</v>
      </c>
      <c r="B154" s="58" t="s">
        <v>567</v>
      </c>
      <c r="C154" s="58" t="s">
        <v>3866</v>
      </c>
      <c r="D154" s="58" t="s">
        <v>3867</v>
      </c>
      <c r="E154" s="68">
        <v>45799.774189814816</v>
      </c>
      <c r="F154" s="58" t="s">
        <v>3342</v>
      </c>
      <c r="G154" s="58" t="s">
        <v>3342</v>
      </c>
      <c r="H154" s="58" t="s">
        <v>3342</v>
      </c>
      <c r="I154" s="58" t="s">
        <v>3877</v>
      </c>
      <c r="J154" s="58" t="s">
        <v>3342</v>
      </c>
      <c r="K154" s="58" t="s">
        <v>3868</v>
      </c>
      <c r="L154" s="58">
        <v>0.0</v>
      </c>
      <c r="M154" s="58" t="s">
        <v>3918</v>
      </c>
      <c r="N154" s="58">
        <v>2.0</v>
      </c>
      <c r="O154" s="58" t="b">
        <v>1</v>
      </c>
      <c r="P154" s="58"/>
      <c r="Q154" s="58"/>
      <c r="R154" s="59" t="str">
        <f>IF(COUNTIF('Active Employees'!B:B, B154)&gt;0,"Y","N")</f>
        <v>Y</v>
      </c>
      <c r="S154" s="58" t="s">
        <v>3874</v>
      </c>
      <c r="T154" s="58"/>
    </row>
    <row r="155">
      <c r="A155" s="58" t="s">
        <v>4007</v>
      </c>
      <c r="B155" s="58" t="s">
        <v>314</v>
      </c>
      <c r="C155" s="58" t="s">
        <v>3866</v>
      </c>
      <c r="D155" s="58" t="s">
        <v>3867</v>
      </c>
      <c r="E155" s="68">
        <v>45799.774409722224</v>
      </c>
      <c r="F155" s="58" t="s">
        <v>3342</v>
      </c>
      <c r="G155" s="58" t="s">
        <v>3342</v>
      </c>
      <c r="H155" s="58" t="s">
        <v>3342</v>
      </c>
      <c r="I155" s="58" t="s">
        <v>3877</v>
      </c>
      <c r="J155" s="58" t="s">
        <v>3342</v>
      </c>
      <c r="K155" s="58" t="s">
        <v>3868</v>
      </c>
      <c r="L155" s="58">
        <v>0.0</v>
      </c>
      <c r="M155" s="58" t="s">
        <v>3888</v>
      </c>
      <c r="N155" s="58">
        <v>2.0</v>
      </c>
      <c r="O155" s="58" t="b">
        <v>1</v>
      </c>
      <c r="P155" s="58"/>
      <c r="Q155" s="58"/>
      <c r="R155" s="59" t="str">
        <f>IF(COUNTIF('Active Employees'!B:B, B155)&gt;0,"Y","N")</f>
        <v>Y</v>
      </c>
      <c r="S155" s="58" t="s">
        <v>3874</v>
      </c>
      <c r="T155" s="58"/>
    </row>
    <row r="156">
      <c r="A156" s="58" t="s">
        <v>2975</v>
      </c>
      <c r="B156" s="58" t="s">
        <v>1337</v>
      </c>
      <c r="C156" s="58" t="s">
        <v>3866</v>
      </c>
      <c r="D156" s="58" t="s">
        <v>3867</v>
      </c>
      <c r="E156" s="68">
        <v>45799.77427083333</v>
      </c>
      <c r="F156" s="58" t="s">
        <v>3342</v>
      </c>
      <c r="G156" s="58" t="s">
        <v>3342</v>
      </c>
      <c r="H156" s="58" t="s">
        <v>3342</v>
      </c>
      <c r="I156" s="58" t="s">
        <v>3877</v>
      </c>
      <c r="J156" s="58" t="s">
        <v>3342</v>
      </c>
      <c r="K156" s="58" t="s">
        <v>3868</v>
      </c>
      <c r="L156" s="58">
        <v>0.0</v>
      </c>
      <c r="M156" s="58" t="s">
        <v>3974</v>
      </c>
      <c r="N156" s="58">
        <v>3.0</v>
      </c>
      <c r="O156" s="58" t="b">
        <v>1</v>
      </c>
      <c r="P156" s="58"/>
      <c r="Q156" s="58"/>
      <c r="R156" s="59" t="str">
        <f>IF(COUNTIF('Active Employees'!B:B, B156)&gt;0,"Y","N")</f>
        <v>Y</v>
      </c>
      <c r="S156" s="58" t="s">
        <v>3874</v>
      </c>
      <c r="T156" s="58"/>
    </row>
    <row r="157">
      <c r="A157" s="58" t="s">
        <v>4008</v>
      </c>
      <c r="B157" s="58" t="s">
        <v>679</v>
      </c>
      <c r="C157" s="58" t="s">
        <v>3866</v>
      </c>
      <c r="D157" s="58" t="s">
        <v>3867</v>
      </c>
      <c r="E157" s="68">
        <v>45845.344826388886</v>
      </c>
      <c r="F157" s="58" t="s">
        <v>3342</v>
      </c>
      <c r="G157" s="58" t="s">
        <v>3342</v>
      </c>
      <c r="H157" s="58" t="s">
        <v>3342</v>
      </c>
      <c r="I157" s="58" t="s">
        <v>3877</v>
      </c>
      <c r="J157" s="58" t="s">
        <v>3342</v>
      </c>
      <c r="K157" s="58" t="s">
        <v>3868</v>
      </c>
      <c r="L157" s="58">
        <v>0.0</v>
      </c>
      <c r="M157" s="58" t="s">
        <v>3888</v>
      </c>
      <c r="N157" s="58">
        <v>2.0</v>
      </c>
      <c r="O157" s="58" t="b">
        <v>1</v>
      </c>
      <c r="P157" s="58"/>
      <c r="Q157" s="58"/>
      <c r="R157" s="59" t="str">
        <f>IF(COUNTIF('Active Employees'!B:B, B157)&gt;0,"Y","N")</f>
        <v>Y</v>
      </c>
      <c r="S157" s="58" t="s">
        <v>3874</v>
      </c>
      <c r="T157" s="58"/>
    </row>
    <row r="158">
      <c r="A158" s="58" t="s">
        <v>3093</v>
      </c>
      <c r="B158" s="58" t="s">
        <v>117</v>
      </c>
      <c r="C158" s="58" t="s">
        <v>4009</v>
      </c>
      <c r="D158" s="58" t="s">
        <v>4010</v>
      </c>
      <c r="E158" s="68">
        <v>45687.783842592595</v>
      </c>
      <c r="F158" s="58" t="s">
        <v>3342</v>
      </c>
      <c r="G158" s="58" t="s">
        <v>3342</v>
      </c>
      <c r="H158" s="58" t="s">
        <v>3342</v>
      </c>
      <c r="I158" s="58" t="s">
        <v>3877</v>
      </c>
      <c r="J158" s="58" t="s">
        <v>3342</v>
      </c>
      <c r="K158" s="58" t="s">
        <v>4011</v>
      </c>
      <c r="L158" s="58">
        <v>0.0</v>
      </c>
      <c r="M158" s="58" t="s">
        <v>3873</v>
      </c>
      <c r="N158" s="58">
        <v>2.0</v>
      </c>
      <c r="O158" s="58" t="b">
        <v>1</v>
      </c>
      <c r="P158" s="58" t="s">
        <v>3343</v>
      </c>
      <c r="Q158" s="58"/>
      <c r="R158" s="59" t="str">
        <f>IF(COUNTIF('Active Employees'!B:B, B158)&gt;0,"Y","N")</f>
        <v>Y</v>
      </c>
      <c r="S158" s="58" t="s">
        <v>3874</v>
      </c>
      <c r="T158" s="58"/>
    </row>
    <row r="159">
      <c r="A159" s="58" t="s">
        <v>3105</v>
      </c>
      <c r="B159" s="58" t="s">
        <v>471</v>
      </c>
      <c r="C159" s="58" t="s">
        <v>3866</v>
      </c>
      <c r="D159" s="58" t="s">
        <v>3867</v>
      </c>
      <c r="E159" s="68">
        <v>45799.816203703704</v>
      </c>
      <c r="F159" s="58" t="s">
        <v>3342</v>
      </c>
      <c r="G159" s="58" t="s">
        <v>3342</v>
      </c>
      <c r="H159" s="58" t="s">
        <v>3342</v>
      </c>
      <c r="I159" s="58" t="s">
        <v>3877</v>
      </c>
      <c r="J159" s="58" t="s">
        <v>3342</v>
      </c>
      <c r="K159" s="58" t="s">
        <v>3868</v>
      </c>
      <c r="L159" s="58">
        <v>0.0</v>
      </c>
      <c r="M159" s="58" t="s">
        <v>3878</v>
      </c>
      <c r="N159" s="58">
        <v>2.0</v>
      </c>
      <c r="O159" s="58" t="b">
        <v>1</v>
      </c>
      <c r="P159" s="58"/>
      <c r="Q159" s="58"/>
      <c r="R159" s="59" t="str">
        <f>IF(COUNTIF('Active Employees'!B:B, B159)&gt;0,"Y","N")</f>
        <v>Y</v>
      </c>
      <c r="S159" s="58" t="s">
        <v>3874</v>
      </c>
      <c r="T159" s="58"/>
    </row>
    <row r="160">
      <c r="A160" s="58" t="s">
        <v>4012</v>
      </c>
      <c r="B160" s="58" t="s">
        <v>592</v>
      </c>
      <c r="C160" s="58" t="s">
        <v>3866</v>
      </c>
      <c r="D160" s="58" t="s">
        <v>3867</v>
      </c>
      <c r="E160" s="68">
        <v>45799.774189814816</v>
      </c>
      <c r="F160" s="58" t="s">
        <v>3342</v>
      </c>
      <c r="G160" s="58" t="s">
        <v>3342</v>
      </c>
      <c r="H160" s="58" t="s">
        <v>3342</v>
      </c>
      <c r="I160" s="58" t="s">
        <v>3877</v>
      </c>
      <c r="J160" s="58" t="s">
        <v>3342</v>
      </c>
      <c r="K160" s="58" t="s">
        <v>3868</v>
      </c>
      <c r="L160" s="58">
        <v>0.0</v>
      </c>
      <c r="M160" s="58" t="s">
        <v>3918</v>
      </c>
      <c r="N160" s="58">
        <v>2.0</v>
      </c>
      <c r="O160" s="58" t="b">
        <v>1</v>
      </c>
      <c r="P160" s="58"/>
      <c r="Q160" s="58"/>
      <c r="R160" s="59" t="str">
        <f>IF(COUNTIF('Active Employees'!B:B, B160)&gt;0,"Y","N")</f>
        <v>Y</v>
      </c>
      <c r="S160" s="58" t="s">
        <v>3874</v>
      </c>
      <c r="T160" s="58"/>
    </row>
    <row r="161">
      <c r="A161" s="58" t="s">
        <v>755</v>
      </c>
      <c r="B161" s="58" t="s">
        <v>1205</v>
      </c>
      <c r="C161" s="58" t="s">
        <v>4009</v>
      </c>
      <c r="D161" s="58" t="s">
        <v>4010</v>
      </c>
      <c r="E161" s="68">
        <v>45799.77427083333</v>
      </c>
      <c r="F161" s="58" t="s">
        <v>3342</v>
      </c>
      <c r="G161" s="58" t="s">
        <v>3342</v>
      </c>
      <c r="H161" s="58" t="s">
        <v>3342</v>
      </c>
      <c r="I161" s="58" t="s">
        <v>3877</v>
      </c>
      <c r="J161" s="58" t="s">
        <v>3342</v>
      </c>
      <c r="K161" s="58" t="s">
        <v>4011</v>
      </c>
      <c r="L161" s="58">
        <v>0.0</v>
      </c>
      <c r="M161" s="58" t="s">
        <v>4013</v>
      </c>
      <c r="N161" s="58">
        <v>3.0</v>
      </c>
      <c r="O161" s="58" t="b">
        <v>1</v>
      </c>
      <c r="P161" s="58" t="s">
        <v>3343</v>
      </c>
      <c r="Q161" s="58"/>
      <c r="R161" s="59" t="str">
        <f>IF(COUNTIF('Active Employees'!B:B, B161)&gt;0,"Y","N")</f>
        <v>Y</v>
      </c>
      <c r="S161" s="58" t="s">
        <v>3874</v>
      </c>
      <c r="T161" s="58"/>
    </row>
    <row r="162">
      <c r="A162" s="58" t="s">
        <v>4014</v>
      </c>
      <c r="B162" s="58" t="s">
        <v>937</v>
      </c>
      <c r="C162" s="58" t="s">
        <v>3866</v>
      </c>
      <c r="D162" s="58" t="s">
        <v>3867</v>
      </c>
      <c r="E162" s="68">
        <v>45799.774409722224</v>
      </c>
      <c r="F162" s="58" t="s">
        <v>3342</v>
      </c>
      <c r="G162" s="58" t="s">
        <v>3342</v>
      </c>
      <c r="H162" s="58" t="s">
        <v>3342</v>
      </c>
      <c r="I162" s="58" t="s">
        <v>3877</v>
      </c>
      <c r="J162" s="58" t="s">
        <v>3342</v>
      </c>
      <c r="K162" s="58" t="s">
        <v>3868</v>
      </c>
      <c r="L162" s="58">
        <v>0.0</v>
      </c>
      <c r="M162" s="58" t="s">
        <v>3974</v>
      </c>
      <c r="N162" s="58">
        <v>3.0</v>
      </c>
      <c r="O162" s="58" t="b">
        <v>1</v>
      </c>
      <c r="P162" s="58"/>
      <c r="Q162" s="58"/>
      <c r="R162" s="59" t="str">
        <f>IF(COUNTIF('Active Employees'!B:B, B162)&gt;0,"Y","N")</f>
        <v>Y</v>
      </c>
      <c r="S162" s="58" t="s">
        <v>3874</v>
      </c>
      <c r="T162" s="58"/>
    </row>
    <row r="163">
      <c r="A163" s="58" t="s">
        <v>4015</v>
      </c>
      <c r="B163" s="58" t="s">
        <v>1249</v>
      </c>
      <c r="C163" s="58" t="s">
        <v>3866</v>
      </c>
      <c r="D163" s="58" t="s">
        <v>3867</v>
      </c>
      <c r="E163" s="68">
        <v>45799.77423611111</v>
      </c>
      <c r="F163" s="58" t="s">
        <v>3342</v>
      </c>
      <c r="G163" s="58" t="s">
        <v>3342</v>
      </c>
      <c r="H163" s="58" t="s">
        <v>3342</v>
      </c>
      <c r="I163" s="58" t="s">
        <v>3877</v>
      </c>
      <c r="J163" s="58" t="s">
        <v>3342</v>
      </c>
      <c r="K163" s="58" t="s">
        <v>3868</v>
      </c>
      <c r="L163" s="58">
        <v>0.0</v>
      </c>
      <c r="M163" s="58" t="s">
        <v>3918</v>
      </c>
      <c r="N163" s="58">
        <v>2.0</v>
      </c>
      <c r="O163" s="58" t="b">
        <v>1</v>
      </c>
      <c r="P163" s="58"/>
      <c r="Q163" s="58"/>
      <c r="R163" s="59" t="str">
        <f>IF(COUNTIF('Active Employees'!B:B, B163)&gt;0,"Y","N")</f>
        <v>Y</v>
      </c>
      <c r="S163" s="58" t="s">
        <v>3874</v>
      </c>
      <c r="T163" s="58"/>
    </row>
    <row r="164">
      <c r="A164" s="58" t="s">
        <v>4016</v>
      </c>
      <c r="B164" s="58" t="s">
        <v>1380</v>
      </c>
      <c r="C164" s="58" t="s">
        <v>3866</v>
      </c>
      <c r="D164" s="58" t="s">
        <v>3867</v>
      </c>
      <c r="E164" s="68">
        <v>45845.34501157407</v>
      </c>
      <c r="F164" s="58" t="s">
        <v>3342</v>
      </c>
      <c r="G164" s="58" t="s">
        <v>3342</v>
      </c>
      <c r="H164" s="58" t="s">
        <v>3342</v>
      </c>
      <c r="I164" s="58" t="s">
        <v>3877</v>
      </c>
      <c r="J164" s="58" t="s">
        <v>3342</v>
      </c>
      <c r="K164" s="58" t="s">
        <v>3868</v>
      </c>
      <c r="L164" s="58">
        <v>0.0</v>
      </c>
      <c r="M164" s="58" t="s">
        <v>3918</v>
      </c>
      <c r="N164" s="58">
        <v>2.0</v>
      </c>
      <c r="O164" s="58" t="b">
        <v>1</v>
      </c>
      <c r="P164" s="58"/>
      <c r="Q164" s="58"/>
      <c r="R164" s="59" t="str">
        <f>IF(COUNTIF('Active Employees'!B:B, B164)&gt;0,"Y","N")</f>
        <v>Y</v>
      </c>
      <c r="S164" s="58" t="s">
        <v>3874</v>
      </c>
      <c r="T164" s="58"/>
    </row>
    <row r="165">
      <c r="A165" s="58" t="s">
        <v>4017</v>
      </c>
      <c r="B165" s="58" t="s">
        <v>11</v>
      </c>
      <c r="C165" s="58" t="s">
        <v>3866</v>
      </c>
      <c r="D165" s="58" t="s">
        <v>3867</v>
      </c>
      <c r="E165" s="68">
        <v>45708.75263888889</v>
      </c>
      <c r="F165" s="58" t="s">
        <v>3342</v>
      </c>
      <c r="G165" s="58" t="s">
        <v>3342</v>
      </c>
      <c r="H165" s="58" t="s">
        <v>771</v>
      </c>
      <c r="I165" s="58" t="s">
        <v>856</v>
      </c>
      <c r="J165" s="68">
        <v>45708.528599537036</v>
      </c>
      <c r="K165" s="58" t="s">
        <v>3868</v>
      </c>
      <c r="L165" s="58">
        <v>0.0</v>
      </c>
      <c r="M165" s="58" t="s">
        <v>3869</v>
      </c>
      <c r="N165" s="58">
        <v>2.0</v>
      </c>
      <c r="O165" s="58" t="b">
        <v>1</v>
      </c>
      <c r="P165" s="58"/>
      <c r="Q165" s="58"/>
      <c r="R165" s="59" t="str">
        <f>IF(COUNTIF('Active Employees'!B:B, B165)&gt;0,"Y","N")</f>
        <v>Y</v>
      </c>
      <c r="S165" s="58" t="s">
        <v>3874</v>
      </c>
      <c r="T165" s="58"/>
    </row>
    <row r="166">
      <c r="A166" s="58" t="s">
        <v>2964</v>
      </c>
      <c r="B166" s="58" t="s">
        <v>630</v>
      </c>
      <c r="C166" s="58" t="s">
        <v>3866</v>
      </c>
      <c r="D166" s="58" t="s">
        <v>3867</v>
      </c>
      <c r="E166" s="68">
        <v>45799.77423611111</v>
      </c>
      <c r="F166" s="58" t="s">
        <v>3342</v>
      </c>
      <c r="G166" s="58" t="s">
        <v>3342</v>
      </c>
      <c r="H166" s="58" t="s">
        <v>3342</v>
      </c>
      <c r="I166" s="58" t="s">
        <v>3877</v>
      </c>
      <c r="J166" s="58" t="s">
        <v>3342</v>
      </c>
      <c r="K166" s="58" t="s">
        <v>3868</v>
      </c>
      <c r="L166" s="58">
        <v>0.0</v>
      </c>
      <c r="M166" s="58" t="s">
        <v>3918</v>
      </c>
      <c r="N166" s="58">
        <v>2.0</v>
      </c>
      <c r="O166" s="58" t="b">
        <v>1</v>
      </c>
      <c r="P166" s="58"/>
      <c r="Q166" s="58"/>
      <c r="R166" s="59" t="str">
        <f>IF(COUNTIF('Active Employees'!B:B, B166)&gt;0,"Y","N")</f>
        <v>Y</v>
      </c>
      <c r="S166" s="58" t="s">
        <v>3874</v>
      </c>
      <c r="T166" s="58"/>
    </row>
    <row r="167">
      <c r="A167" s="58" t="s">
        <v>2990</v>
      </c>
      <c r="B167" s="58" t="s">
        <v>726</v>
      </c>
      <c r="C167" s="58" t="s">
        <v>4009</v>
      </c>
      <c r="D167" s="58" t="s">
        <v>4010</v>
      </c>
      <c r="E167" s="68">
        <v>45799.77428240741</v>
      </c>
      <c r="F167" s="58" t="s">
        <v>3342</v>
      </c>
      <c r="G167" s="58" t="s">
        <v>3342</v>
      </c>
      <c r="H167" s="58" t="s">
        <v>3342</v>
      </c>
      <c r="I167" s="58" t="s">
        <v>3877</v>
      </c>
      <c r="J167" s="58" t="s">
        <v>3342</v>
      </c>
      <c r="K167" s="58" t="s">
        <v>4011</v>
      </c>
      <c r="L167" s="58">
        <v>0.0</v>
      </c>
      <c r="M167" s="58" t="s">
        <v>3982</v>
      </c>
      <c r="N167" s="58">
        <v>4.0</v>
      </c>
      <c r="O167" s="58" t="b">
        <v>1</v>
      </c>
      <c r="P167" s="58" t="s">
        <v>3343</v>
      </c>
      <c r="Q167" s="58"/>
      <c r="R167" s="59" t="str">
        <f>IF(COUNTIF('Active Employees'!B:B, B167)&gt;0,"Y","N")</f>
        <v>Y</v>
      </c>
      <c r="S167" s="58" t="s">
        <v>3874</v>
      </c>
      <c r="T167" s="58"/>
    </row>
    <row r="168">
      <c r="A168" s="58" t="s">
        <v>36</v>
      </c>
      <c r="B168" s="58" t="s">
        <v>1342</v>
      </c>
      <c r="C168" s="58" t="s">
        <v>3866</v>
      </c>
      <c r="D168" s="58" t="s">
        <v>3867</v>
      </c>
      <c r="E168" s="68">
        <v>45799.77439814815</v>
      </c>
      <c r="F168" s="58" t="s">
        <v>3342</v>
      </c>
      <c r="G168" s="58" t="s">
        <v>3342</v>
      </c>
      <c r="H168" s="58" t="s">
        <v>3342</v>
      </c>
      <c r="I168" s="58" t="s">
        <v>3877</v>
      </c>
      <c r="J168" s="58" t="s">
        <v>3342</v>
      </c>
      <c r="K168" s="58" t="s">
        <v>3868</v>
      </c>
      <c r="L168" s="58">
        <v>0.0</v>
      </c>
      <c r="M168" s="58" t="s">
        <v>3974</v>
      </c>
      <c r="N168" s="58">
        <v>3.0</v>
      </c>
      <c r="O168" s="58" t="b">
        <v>1</v>
      </c>
      <c r="P168" s="58"/>
      <c r="Q168" s="58"/>
      <c r="R168" s="59" t="str">
        <f>IF(COUNTIF('Active Employees'!B:B, B168)&gt;0,"Y","N")</f>
        <v>Y</v>
      </c>
      <c r="S168" s="58" t="s">
        <v>3874</v>
      </c>
      <c r="T168" s="58"/>
    </row>
    <row r="169">
      <c r="A169" s="58" t="s">
        <v>1886</v>
      </c>
      <c r="B169" s="58" t="s">
        <v>1351</v>
      </c>
      <c r="C169" s="58" t="s">
        <v>3866</v>
      </c>
      <c r="D169" s="58" t="s">
        <v>3867</v>
      </c>
      <c r="E169" s="68">
        <v>45799.77421296296</v>
      </c>
      <c r="F169" s="58" t="s">
        <v>3342</v>
      </c>
      <c r="G169" s="58" t="s">
        <v>3342</v>
      </c>
      <c r="H169" s="58" t="s">
        <v>3342</v>
      </c>
      <c r="I169" s="58" t="s">
        <v>3877</v>
      </c>
      <c r="J169" s="58" t="s">
        <v>3342</v>
      </c>
      <c r="K169" s="58" t="s">
        <v>3868</v>
      </c>
      <c r="L169" s="58">
        <v>0.0</v>
      </c>
      <c r="M169" s="58" t="s">
        <v>3918</v>
      </c>
      <c r="N169" s="58">
        <v>2.0</v>
      </c>
      <c r="O169" s="58" t="b">
        <v>1</v>
      </c>
      <c r="P169" s="58"/>
      <c r="Q169" s="58"/>
      <c r="R169" s="59" t="str">
        <f>IF(COUNTIF('Active Employees'!B:B, B169)&gt;0,"Y","N")</f>
        <v>Y</v>
      </c>
      <c r="S169" s="58" t="s">
        <v>3874</v>
      </c>
      <c r="T169" s="58"/>
    </row>
    <row r="170">
      <c r="A170" s="58" t="s">
        <v>1887</v>
      </c>
      <c r="B170" s="58" t="s">
        <v>1153</v>
      </c>
      <c r="C170" s="58" t="s">
        <v>3866</v>
      </c>
      <c r="D170" s="58" t="s">
        <v>3867</v>
      </c>
      <c r="E170" s="68">
        <v>45799.77416666667</v>
      </c>
      <c r="F170" s="58" t="s">
        <v>3342</v>
      </c>
      <c r="G170" s="58" t="s">
        <v>3342</v>
      </c>
      <c r="H170" s="58" t="s">
        <v>3342</v>
      </c>
      <c r="I170" s="58" t="s">
        <v>3877</v>
      </c>
      <c r="J170" s="58" t="s">
        <v>3342</v>
      </c>
      <c r="K170" s="58" t="s">
        <v>3868</v>
      </c>
      <c r="L170" s="58">
        <v>0.0</v>
      </c>
      <c r="M170" s="58" t="s">
        <v>3918</v>
      </c>
      <c r="N170" s="58">
        <v>2.0</v>
      </c>
      <c r="O170" s="58" t="b">
        <v>1</v>
      </c>
      <c r="P170" s="58"/>
      <c r="Q170" s="58"/>
      <c r="R170" s="59" t="str">
        <f>IF(COUNTIF('Active Employees'!B:B, B170)&gt;0,"Y","N")</f>
        <v>Y</v>
      </c>
      <c r="S170" s="58" t="s">
        <v>3874</v>
      </c>
      <c r="T170" s="58"/>
    </row>
    <row r="171">
      <c r="A171" s="58" t="s">
        <v>3021</v>
      </c>
      <c r="B171" s="58" t="s">
        <v>522</v>
      </c>
      <c r="C171" s="58" t="s">
        <v>3866</v>
      </c>
      <c r="D171" s="58" t="s">
        <v>3867</v>
      </c>
      <c r="E171" s="68">
        <v>45799.77423611111</v>
      </c>
      <c r="F171" s="58" t="s">
        <v>3342</v>
      </c>
      <c r="G171" s="58" t="s">
        <v>3342</v>
      </c>
      <c r="H171" s="58" t="s">
        <v>3342</v>
      </c>
      <c r="I171" s="58" t="s">
        <v>3877</v>
      </c>
      <c r="J171" s="58" t="s">
        <v>3342</v>
      </c>
      <c r="K171" s="58" t="s">
        <v>3868</v>
      </c>
      <c r="L171" s="58">
        <v>0.0</v>
      </c>
      <c r="M171" s="58" t="s">
        <v>3918</v>
      </c>
      <c r="N171" s="58">
        <v>2.0</v>
      </c>
      <c r="O171" s="58" t="b">
        <v>1</v>
      </c>
      <c r="P171" s="58"/>
      <c r="Q171" s="58"/>
      <c r="R171" s="59" t="str">
        <f>IF(COUNTIF('Active Employees'!B:B, B171)&gt;0,"Y","N")</f>
        <v>Y</v>
      </c>
      <c r="S171" s="58" t="s">
        <v>3874</v>
      </c>
      <c r="T171" s="58"/>
    </row>
    <row r="172">
      <c r="A172" s="58" t="s">
        <v>4018</v>
      </c>
      <c r="B172" s="58" t="s">
        <v>673</v>
      </c>
      <c r="C172" s="58" t="s">
        <v>3866</v>
      </c>
      <c r="D172" s="58" t="s">
        <v>3867</v>
      </c>
      <c r="E172" s="68">
        <v>45831.64908564815</v>
      </c>
      <c r="F172" s="58" t="s">
        <v>3342</v>
      </c>
      <c r="G172" s="58" t="s">
        <v>3342</v>
      </c>
      <c r="H172" s="58" t="s">
        <v>3342</v>
      </c>
      <c r="I172" s="58" t="s">
        <v>3877</v>
      </c>
      <c r="J172" s="58" t="s">
        <v>3342</v>
      </c>
      <c r="K172" s="58" t="s">
        <v>3868</v>
      </c>
      <c r="L172" s="58">
        <v>0.0</v>
      </c>
      <c r="M172" s="58" t="s">
        <v>3918</v>
      </c>
      <c r="N172" s="58">
        <v>2.0</v>
      </c>
      <c r="O172" s="58" t="b">
        <v>1</v>
      </c>
      <c r="P172" s="58"/>
      <c r="Q172" s="58"/>
      <c r="R172" s="59" t="str">
        <f>IF(COUNTIF('Active Employees'!B:B, B172)&gt;0,"Y","N")</f>
        <v>Y</v>
      </c>
      <c r="S172" s="58" t="s">
        <v>3874</v>
      </c>
      <c r="T172" s="58"/>
    </row>
    <row r="173">
      <c r="A173" s="58" t="s">
        <v>3051</v>
      </c>
      <c r="B173" s="58" t="s">
        <v>230</v>
      </c>
      <c r="C173" s="58" t="s">
        <v>3866</v>
      </c>
      <c r="D173" s="58" t="s">
        <v>3867</v>
      </c>
      <c r="E173" s="68">
        <v>45799.774201388886</v>
      </c>
      <c r="F173" s="58" t="s">
        <v>3342</v>
      </c>
      <c r="G173" s="58" t="s">
        <v>3342</v>
      </c>
      <c r="H173" s="58" t="s">
        <v>3342</v>
      </c>
      <c r="I173" s="58" t="s">
        <v>3877</v>
      </c>
      <c r="J173" s="58" t="s">
        <v>3342</v>
      </c>
      <c r="K173" s="58" t="s">
        <v>3868</v>
      </c>
      <c r="L173" s="58">
        <v>0.0</v>
      </c>
      <c r="M173" s="58" t="s">
        <v>3918</v>
      </c>
      <c r="N173" s="58">
        <v>2.0</v>
      </c>
      <c r="O173" s="58" t="b">
        <v>1</v>
      </c>
      <c r="P173" s="58"/>
      <c r="Q173" s="58"/>
      <c r="R173" s="59" t="str">
        <f>IF(COUNTIF('Active Employees'!B:B, B173)&gt;0,"Y","N")</f>
        <v>Y</v>
      </c>
      <c r="S173" s="58" t="s">
        <v>3874</v>
      </c>
      <c r="T173" s="58"/>
    </row>
    <row r="174">
      <c r="A174" s="58" t="s">
        <v>2960</v>
      </c>
      <c r="B174" s="58" t="s">
        <v>1289</v>
      </c>
      <c r="C174" s="58" t="s">
        <v>3866</v>
      </c>
      <c r="D174" s="58" t="s">
        <v>3867</v>
      </c>
      <c r="E174" s="68">
        <v>45799.77422453704</v>
      </c>
      <c r="F174" s="58" t="s">
        <v>3342</v>
      </c>
      <c r="G174" s="58" t="s">
        <v>3342</v>
      </c>
      <c r="H174" s="58" t="s">
        <v>3342</v>
      </c>
      <c r="I174" s="58" t="s">
        <v>3877</v>
      </c>
      <c r="J174" s="58" t="s">
        <v>3342</v>
      </c>
      <c r="K174" s="58" t="s">
        <v>3868</v>
      </c>
      <c r="L174" s="58">
        <v>0.0</v>
      </c>
      <c r="M174" s="58" t="s">
        <v>3918</v>
      </c>
      <c r="N174" s="58">
        <v>2.0</v>
      </c>
      <c r="O174" s="58" t="b">
        <v>1</v>
      </c>
      <c r="P174" s="58"/>
      <c r="Q174" s="58"/>
      <c r="R174" s="59" t="str">
        <f>IF(COUNTIF('Active Employees'!B:B, B174)&gt;0,"Y","N")</f>
        <v>Y</v>
      </c>
      <c r="S174" s="58" t="s">
        <v>3874</v>
      </c>
      <c r="T174" s="58"/>
    </row>
    <row r="175">
      <c r="A175" s="58" t="s">
        <v>4019</v>
      </c>
      <c r="B175" s="58" t="s">
        <v>923</v>
      </c>
      <c r="C175" s="58" t="s">
        <v>3866</v>
      </c>
      <c r="D175" s="58" t="s">
        <v>3867</v>
      </c>
      <c r="E175" s="68">
        <v>45799.77439814815</v>
      </c>
      <c r="F175" s="58" t="s">
        <v>3342</v>
      </c>
      <c r="G175" s="58" t="s">
        <v>3342</v>
      </c>
      <c r="H175" s="58" t="s">
        <v>3342</v>
      </c>
      <c r="I175" s="58" t="s">
        <v>3877</v>
      </c>
      <c r="J175" s="58" t="s">
        <v>3342</v>
      </c>
      <c r="K175" s="58" t="s">
        <v>3868</v>
      </c>
      <c r="L175" s="58">
        <v>0.0</v>
      </c>
      <c r="M175" s="58" t="s">
        <v>3885</v>
      </c>
      <c r="N175" s="58">
        <v>2.0</v>
      </c>
      <c r="O175" s="58" t="b">
        <v>1</v>
      </c>
      <c r="P175" s="58"/>
      <c r="Q175" s="58"/>
      <c r="R175" s="59" t="str">
        <f>IF(COUNTIF('Active Employees'!B:B, B175)&gt;0,"Y","N")</f>
        <v>Y</v>
      </c>
      <c r="S175" s="58" t="s">
        <v>3874</v>
      </c>
      <c r="T175" s="58"/>
    </row>
    <row r="176">
      <c r="A176" s="58" t="s">
        <v>4020</v>
      </c>
      <c r="B176" s="58" t="s">
        <v>102</v>
      </c>
      <c r="C176" s="58" t="s">
        <v>3866</v>
      </c>
      <c r="D176" s="58" t="s">
        <v>3867</v>
      </c>
      <c r="E176" s="68">
        <v>45799.77481481482</v>
      </c>
      <c r="F176" s="58" t="s">
        <v>3342</v>
      </c>
      <c r="G176" s="58" t="s">
        <v>3342</v>
      </c>
      <c r="H176" s="58" t="s">
        <v>3342</v>
      </c>
      <c r="I176" s="58" t="s">
        <v>3877</v>
      </c>
      <c r="J176" s="58" t="s">
        <v>3342</v>
      </c>
      <c r="K176" s="58" t="s">
        <v>3868</v>
      </c>
      <c r="L176" s="58">
        <v>0.0</v>
      </c>
      <c r="M176" s="58" t="s">
        <v>3869</v>
      </c>
      <c r="N176" s="58">
        <v>2.0</v>
      </c>
      <c r="O176" s="58" t="b">
        <v>1</v>
      </c>
      <c r="P176" s="58"/>
      <c r="Q176" s="58"/>
      <c r="R176" s="59" t="str">
        <f>IF(COUNTIF('Active Employees'!B:B, B176)&gt;0,"Y","N")</f>
        <v>Y</v>
      </c>
      <c r="S176" s="58" t="s">
        <v>3874</v>
      </c>
      <c r="T176" s="58"/>
    </row>
    <row r="177">
      <c r="A177" s="58" t="s">
        <v>1898</v>
      </c>
      <c r="B177" s="58" t="s">
        <v>457</v>
      </c>
      <c r="C177" s="58" t="s">
        <v>3866</v>
      </c>
      <c r="D177" s="58" t="s">
        <v>3867</v>
      </c>
      <c r="E177" s="68">
        <v>45799.774247685185</v>
      </c>
      <c r="F177" s="58" t="s">
        <v>3342</v>
      </c>
      <c r="G177" s="58" t="s">
        <v>3342</v>
      </c>
      <c r="H177" s="58" t="s">
        <v>3342</v>
      </c>
      <c r="I177" s="58" t="s">
        <v>3877</v>
      </c>
      <c r="J177" s="58" t="s">
        <v>3342</v>
      </c>
      <c r="K177" s="58" t="s">
        <v>3868</v>
      </c>
      <c r="L177" s="58">
        <v>0.0</v>
      </c>
      <c r="M177" s="58" t="s">
        <v>3918</v>
      </c>
      <c r="N177" s="58">
        <v>2.0</v>
      </c>
      <c r="O177" s="58" t="b">
        <v>1</v>
      </c>
      <c r="P177" s="58"/>
      <c r="Q177" s="58"/>
      <c r="R177" s="59" t="str">
        <f>IF(COUNTIF('Active Employees'!B:B, B177)&gt;0,"Y","N")</f>
        <v>Y</v>
      </c>
      <c r="S177" s="58" t="s">
        <v>3874</v>
      </c>
      <c r="T177" s="58"/>
    </row>
    <row r="178">
      <c r="A178" s="58" t="s">
        <v>2984</v>
      </c>
      <c r="B178" s="58" t="s">
        <v>1064</v>
      </c>
      <c r="C178" s="58" t="s">
        <v>3866</v>
      </c>
      <c r="D178" s="58" t="s">
        <v>3867</v>
      </c>
      <c r="E178" s="68">
        <v>45799.81607638889</v>
      </c>
      <c r="F178" s="58" t="s">
        <v>3342</v>
      </c>
      <c r="G178" s="58" t="s">
        <v>3342</v>
      </c>
      <c r="H178" s="58" t="s">
        <v>3342</v>
      </c>
      <c r="I178" s="58" t="s">
        <v>3877</v>
      </c>
      <c r="J178" s="58" t="s">
        <v>3342</v>
      </c>
      <c r="K178" s="58" t="s">
        <v>3868</v>
      </c>
      <c r="L178" s="58">
        <v>0.0</v>
      </c>
      <c r="M178" s="58" t="s">
        <v>3885</v>
      </c>
      <c r="N178" s="58">
        <v>2.0</v>
      </c>
      <c r="O178" s="58" t="b">
        <v>1</v>
      </c>
      <c r="P178" s="58"/>
      <c r="Q178" s="58"/>
      <c r="R178" s="59" t="str">
        <f>IF(COUNTIF('Active Employees'!B:B, B178)&gt;0,"Y","N")</f>
        <v>Y</v>
      </c>
      <c r="S178" s="58" t="s">
        <v>3874</v>
      </c>
      <c r="T178" s="58"/>
    </row>
    <row r="179">
      <c r="A179" s="58" t="s">
        <v>1900</v>
      </c>
      <c r="B179" s="58" t="s">
        <v>1036</v>
      </c>
      <c r="C179" s="58" t="s">
        <v>3866</v>
      </c>
      <c r="D179" s="58" t="s">
        <v>3867</v>
      </c>
      <c r="E179" s="68">
        <v>45799.77431712963</v>
      </c>
      <c r="F179" s="58" t="s">
        <v>3342</v>
      </c>
      <c r="G179" s="58" t="s">
        <v>3342</v>
      </c>
      <c r="H179" s="58" t="s">
        <v>3342</v>
      </c>
      <c r="I179" s="58" t="s">
        <v>3877</v>
      </c>
      <c r="J179" s="58" t="s">
        <v>3342</v>
      </c>
      <c r="K179" s="58" t="s">
        <v>3868</v>
      </c>
      <c r="L179" s="58">
        <v>0.0</v>
      </c>
      <c r="M179" s="58" t="s">
        <v>3891</v>
      </c>
      <c r="N179" s="58">
        <v>3.0</v>
      </c>
      <c r="O179" s="58" t="b">
        <v>1</v>
      </c>
      <c r="P179" s="58"/>
      <c r="Q179" s="58"/>
      <c r="R179" s="59" t="str">
        <f>IF(COUNTIF('Active Employees'!B:B, B179)&gt;0,"Y","N")</f>
        <v>Y</v>
      </c>
      <c r="S179" s="58" t="s">
        <v>3874</v>
      </c>
      <c r="T179" s="58"/>
    </row>
    <row r="180">
      <c r="A180" s="58" t="s">
        <v>4021</v>
      </c>
      <c r="B180" s="58" t="s">
        <v>606</v>
      </c>
      <c r="C180" s="58" t="s">
        <v>3866</v>
      </c>
      <c r="D180" s="58" t="s">
        <v>3867</v>
      </c>
      <c r="E180" s="68">
        <v>45799.77425925926</v>
      </c>
      <c r="F180" s="58" t="s">
        <v>3342</v>
      </c>
      <c r="G180" s="58" t="s">
        <v>3342</v>
      </c>
      <c r="H180" s="58" t="s">
        <v>3342</v>
      </c>
      <c r="I180" s="58" t="s">
        <v>3877</v>
      </c>
      <c r="J180" s="58" t="s">
        <v>3342</v>
      </c>
      <c r="K180" s="58" t="s">
        <v>3868</v>
      </c>
      <c r="L180" s="58">
        <v>0.0</v>
      </c>
      <c r="M180" s="58" t="s">
        <v>3918</v>
      </c>
      <c r="N180" s="58">
        <v>2.0</v>
      </c>
      <c r="O180" s="58" t="b">
        <v>1</v>
      </c>
      <c r="P180" s="58"/>
      <c r="Q180" s="58"/>
      <c r="R180" s="59" t="str">
        <f>IF(COUNTIF('Active Employees'!B:B, B180)&gt;0,"Y","N")</f>
        <v>Y</v>
      </c>
      <c r="S180" s="58" t="s">
        <v>3874</v>
      </c>
      <c r="T180" s="58"/>
    </row>
    <row r="181">
      <c r="A181" s="58" t="s">
        <v>2974</v>
      </c>
      <c r="B181" s="58" t="s">
        <v>714</v>
      </c>
      <c r="C181" s="58" t="s">
        <v>3866</v>
      </c>
      <c r="D181" s="58" t="s">
        <v>3867</v>
      </c>
      <c r="E181" s="68">
        <v>45799.77417824074</v>
      </c>
      <c r="F181" s="58" t="s">
        <v>3342</v>
      </c>
      <c r="G181" s="58" t="s">
        <v>3342</v>
      </c>
      <c r="H181" s="58" t="s">
        <v>3342</v>
      </c>
      <c r="I181" s="58" t="s">
        <v>3877</v>
      </c>
      <c r="J181" s="58" t="s">
        <v>3342</v>
      </c>
      <c r="K181" s="58" t="s">
        <v>3868</v>
      </c>
      <c r="L181" s="58">
        <v>0.0</v>
      </c>
      <c r="M181" s="58" t="s">
        <v>3918</v>
      </c>
      <c r="N181" s="58">
        <v>2.0</v>
      </c>
      <c r="O181" s="58" t="b">
        <v>1</v>
      </c>
      <c r="P181" s="58"/>
      <c r="Q181" s="58"/>
      <c r="R181" s="59" t="str">
        <f>IF(COUNTIF('Active Employees'!B:B, B181)&gt;0,"Y","N")</f>
        <v>Y</v>
      </c>
      <c r="S181" s="58" t="s">
        <v>3874</v>
      </c>
      <c r="T181" s="58"/>
    </row>
    <row r="182">
      <c r="A182" s="58" t="s">
        <v>3079</v>
      </c>
      <c r="B182" s="58" t="s">
        <v>350</v>
      </c>
      <c r="C182" s="58" t="s">
        <v>3866</v>
      </c>
      <c r="D182" s="58" t="s">
        <v>3867</v>
      </c>
      <c r="E182" s="68">
        <v>45799.77402777778</v>
      </c>
      <c r="F182" s="58" t="s">
        <v>3342</v>
      </c>
      <c r="G182" s="58" t="s">
        <v>3342</v>
      </c>
      <c r="H182" s="58" t="s">
        <v>3342</v>
      </c>
      <c r="I182" s="58" t="s">
        <v>3877</v>
      </c>
      <c r="J182" s="58" t="s">
        <v>3342</v>
      </c>
      <c r="K182" s="58" t="s">
        <v>3868</v>
      </c>
      <c r="L182" s="58">
        <v>0.0</v>
      </c>
      <c r="M182" s="58" t="s">
        <v>3911</v>
      </c>
      <c r="N182" s="58">
        <v>3.0</v>
      </c>
      <c r="O182" s="58" t="b">
        <v>1</v>
      </c>
      <c r="P182" s="58"/>
      <c r="Q182" s="58"/>
      <c r="R182" s="59" t="str">
        <f>IF(COUNTIF('Active Employees'!B:B, B182)&gt;0,"Y","N")</f>
        <v>Y</v>
      </c>
      <c r="S182" s="58" t="s">
        <v>3874</v>
      </c>
      <c r="T182" s="58"/>
    </row>
    <row r="183">
      <c r="A183" s="58" t="s">
        <v>250</v>
      </c>
      <c r="B183" s="58" t="s">
        <v>750</v>
      </c>
      <c r="C183" s="58" t="s">
        <v>4009</v>
      </c>
      <c r="D183" s="58" t="s">
        <v>4010</v>
      </c>
      <c r="E183" s="68">
        <v>45866.61032407408</v>
      </c>
      <c r="F183" s="58" t="s">
        <v>3342</v>
      </c>
      <c r="G183" s="58" t="s">
        <v>3342</v>
      </c>
      <c r="H183" s="58" t="s">
        <v>3342</v>
      </c>
      <c r="I183" s="58" t="s">
        <v>3877</v>
      </c>
      <c r="J183" s="58" t="s">
        <v>3342</v>
      </c>
      <c r="K183" s="58" t="s">
        <v>4011</v>
      </c>
      <c r="L183" s="58">
        <v>0.0</v>
      </c>
      <c r="M183" s="58" t="s">
        <v>4022</v>
      </c>
      <c r="N183" s="58">
        <v>3.0</v>
      </c>
      <c r="O183" s="58" t="b">
        <v>1</v>
      </c>
      <c r="P183" s="58" t="s">
        <v>3343</v>
      </c>
      <c r="Q183" s="58"/>
      <c r="R183" s="59" t="str">
        <f>IF(COUNTIF('Active Employees'!B:B, B183)&gt;0,"Y","N")</f>
        <v>Y</v>
      </c>
      <c r="S183" s="58" t="s">
        <v>3874</v>
      </c>
      <c r="T183" s="58"/>
    </row>
    <row r="184">
      <c r="A184" s="58" t="s">
        <v>3026</v>
      </c>
      <c r="B184" s="58" t="s">
        <v>1452</v>
      </c>
      <c r="C184" s="58" t="s">
        <v>3866</v>
      </c>
      <c r="D184" s="58" t="s">
        <v>3867</v>
      </c>
      <c r="E184" s="68">
        <v>45799.775243055556</v>
      </c>
      <c r="F184" s="58" t="s">
        <v>3342</v>
      </c>
      <c r="G184" s="58" t="s">
        <v>3342</v>
      </c>
      <c r="H184" s="58" t="s">
        <v>3342</v>
      </c>
      <c r="I184" s="58" t="s">
        <v>3877</v>
      </c>
      <c r="J184" s="58" t="s">
        <v>3342</v>
      </c>
      <c r="K184" s="58" t="s">
        <v>3868</v>
      </c>
      <c r="L184" s="58">
        <v>0.0</v>
      </c>
      <c r="M184" s="58" t="s">
        <v>3885</v>
      </c>
      <c r="N184" s="58">
        <v>2.0</v>
      </c>
      <c r="O184" s="58" t="b">
        <v>1</v>
      </c>
      <c r="P184" s="58"/>
      <c r="Q184" s="58"/>
      <c r="R184" s="59" t="str">
        <f>IF(COUNTIF('Active Employees'!B:B, B184)&gt;0,"Y","N")</f>
        <v>Y</v>
      </c>
      <c r="S184" s="58" t="s">
        <v>3874</v>
      </c>
      <c r="T184" s="58"/>
    </row>
    <row r="185">
      <c r="A185" s="58" t="s">
        <v>4023</v>
      </c>
      <c r="B185" s="58" t="s">
        <v>309</v>
      </c>
      <c r="C185" s="58" t="s">
        <v>3866</v>
      </c>
      <c r="D185" s="58" t="s">
        <v>3867</v>
      </c>
      <c r="E185" s="68">
        <v>45799.77479166666</v>
      </c>
      <c r="F185" s="58" t="s">
        <v>3342</v>
      </c>
      <c r="G185" s="58" t="s">
        <v>3342</v>
      </c>
      <c r="H185" s="58" t="s">
        <v>3342</v>
      </c>
      <c r="I185" s="58" t="s">
        <v>3877</v>
      </c>
      <c r="J185" s="58" t="s">
        <v>3342</v>
      </c>
      <c r="K185" s="58" t="s">
        <v>3868</v>
      </c>
      <c r="L185" s="58">
        <v>0.0</v>
      </c>
      <c r="M185" s="58" t="s">
        <v>3869</v>
      </c>
      <c r="N185" s="58">
        <v>2.0</v>
      </c>
      <c r="O185" s="58" t="b">
        <v>1</v>
      </c>
      <c r="P185" s="58"/>
      <c r="Q185" s="58"/>
      <c r="R185" s="59" t="str">
        <f>IF(COUNTIF('Active Employees'!B:B, B185)&gt;0,"Y","N")</f>
        <v>Y</v>
      </c>
      <c r="S185" s="58" t="s">
        <v>3874</v>
      </c>
      <c r="T185" s="58"/>
    </row>
    <row r="186">
      <c r="A186" s="58" t="s">
        <v>789</v>
      </c>
      <c r="B186" s="58" t="s">
        <v>791</v>
      </c>
      <c r="C186" s="58" t="s">
        <v>3866</v>
      </c>
      <c r="D186" s="58" t="s">
        <v>3867</v>
      </c>
      <c r="E186" s="68">
        <v>45799.77439814815</v>
      </c>
      <c r="F186" s="58" t="s">
        <v>3342</v>
      </c>
      <c r="G186" s="58" t="s">
        <v>3342</v>
      </c>
      <c r="H186" s="58" t="s">
        <v>3342</v>
      </c>
      <c r="I186" s="58" t="s">
        <v>3877</v>
      </c>
      <c r="J186" s="58" t="s">
        <v>3342</v>
      </c>
      <c r="K186" s="58" t="s">
        <v>3868</v>
      </c>
      <c r="L186" s="58">
        <v>0.0</v>
      </c>
      <c r="M186" s="58" t="s">
        <v>3974</v>
      </c>
      <c r="N186" s="58">
        <v>3.0</v>
      </c>
      <c r="O186" s="58" t="b">
        <v>1</v>
      </c>
      <c r="P186" s="58"/>
      <c r="Q186" s="58"/>
      <c r="R186" s="59" t="str">
        <f>IF(COUNTIF('Active Employees'!B:B, B186)&gt;0,"Y","N")</f>
        <v>Y</v>
      </c>
      <c r="S186" s="58" t="s">
        <v>3874</v>
      </c>
      <c r="T186" s="58"/>
    </row>
    <row r="187">
      <c r="A187" s="58" t="s">
        <v>4024</v>
      </c>
      <c r="B187" s="58" t="s">
        <v>552</v>
      </c>
      <c r="C187" s="58" t="s">
        <v>3866</v>
      </c>
      <c r="D187" s="58" t="s">
        <v>3867</v>
      </c>
      <c r="E187" s="68">
        <v>45799.77431712963</v>
      </c>
      <c r="F187" s="58" t="s">
        <v>3342</v>
      </c>
      <c r="G187" s="58" t="s">
        <v>3342</v>
      </c>
      <c r="H187" s="58" t="s">
        <v>3342</v>
      </c>
      <c r="I187" s="58" t="s">
        <v>3877</v>
      </c>
      <c r="J187" s="58" t="s">
        <v>3342</v>
      </c>
      <c r="K187" s="58" t="s">
        <v>3868</v>
      </c>
      <c r="L187" s="58">
        <v>0.0</v>
      </c>
      <c r="M187" s="58" t="s">
        <v>3891</v>
      </c>
      <c r="N187" s="58">
        <v>3.0</v>
      </c>
      <c r="O187" s="58" t="b">
        <v>1</v>
      </c>
      <c r="P187" s="58"/>
      <c r="Q187" s="58"/>
      <c r="R187" s="59" t="str">
        <f>IF(COUNTIF('Active Employees'!B:B, B187)&gt;0,"Y","N")</f>
        <v>Y</v>
      </c>
      <c r="S187" s="58" t="s">
        <v>3874</v>
      </c>
      <c r="T187" s="58"/>
    </row>
    <row r="188">
      <c r="A188" s="58" t="s">
        <v>4025</v>
      </c>
      <c r="B188" s="58" t="s">
        <v>401</v>
      </c>
      <c r="C188" s="58" t="s">
        <v>3866</v>
      </c>
      <c r="D188" s="58" t="s">
        <v>3867</v>
      </c>
      <c r="E188" s="68">
        <v>45898.8578125</v>
      </c>
      <c r="F188" s="58" t="s">
        <v>3342</v>
      </c>
      <c r="G188" s="58" t="s">
        <v>3342</v>
      </c>
      <c r="H188" s="58" t="s">
        <v>3342</v>
      </c>
      <c r="I188" s="58" t="s">
        <v>3877</v>
      </c>
      <c r="J188" s="58" t="s">
        <v>3342</v>
      </c>
      <c r="K188" s="58" t="s">
        <v>3868</v>
      </c>
      <c r="L188" s="58">
        <v>0.0</v>
      </c>
      <c r="M188" s="58" t="s">
        <v>4026</v>
      </c>
      <c r="N188" s="58">
        <v>1.0</v>
      </c>
      <c r="O188" s="58" t="b">
        <v>1</v>
      </c>
      <c r="P188" s="58"/>
      <c r="Q188" s="58"/>
      <c r="R188" s="59" t="str">
        <f>IF(COUNTIF('Active Employees'!B:B, B188)&gt;0,"Y","N")</f>
        <v>Y</v>
      </c>
      <c r="S188" s="58" t="s">
        <v>3874</v>
      </c>
      <c r="T188" s="58"/>
    </row>
    <row r="189">
      <c r="A189" s="58" t="s">
        <v>3171</v>
      </c>
      <c r="B189" s="58" t="s">
        <v>682</v>
      </c>
      <c r="C189" s="58" t="s">
        <v>3866</v>
      </c>
      <c r="D189" s="58" t="s">
        <v>3867</v>
      </c>
      <c r="E189" s="68">
        <v>45833.728472222225</v>
      </c>
      <c r="F189" s="58" t="s">
        <v>3342</v>
      </c>
      <c r="G189" s="58" t="s">
        <v>3342</v>
      </c>
      <c r="H189" s="58" t="s">
        <v>3342</v>
      </c>
      <c r="I189" s="58" t="s">
        <v>3877</v>
      </c>
      <c r="J189" s="58" t="s">
        <v>3342</v>
      </c>
      <c r="K189" s="58" t="s">
        <v>3868</v>
      </c>
      <c r="L189" s="58">
        <v>0.0</v>
      </c>
      <c r="M189" s="58" t="s">
        <v>3918</v>
      </c>
      <c r="N189" s="58">
        <v>2.0</v>
      </c>
      <c r="O189" s="58" t="b">
        <v>1</v>
      </c>
      <c r="P189" s="58"/>
      <c r="Q189" s="58"/>
      <c r="R189" s="59" t="str">
        <f>IF(COUNTIF('Active Employees'!B:B, B189)&gt;0,"Y","N")</f>
        <v>Y</v>
      </c>
      <c r="S189" s="58" t="s">
        <v>3874</v>
      </c>
      <c r="T189" s="58"/>
    </row>
    <row r="190">
      <c r="A190" s="58" t="s">
        <v>3069</v>
      </c>
      <c r="B190" s="58" t="s">
        <v>940</v>
      </c>
      <c r="C190" s="58" t="s">
        <v>3866</v>
      </c>
      <c r="D190" s="58" t="s">
        <v>3867</v>
      </c>
      <c r="E190" s="68">
        <v>45799.77523148148</v>
      </c>
      <c r="F190" s="58" t="s">
        <v>3342</v>
      </c>
      <c r="G190" s="58" t="s">
        <v>3342</v>
      </c>
      <c r="H190" s="58" t="s">
        <v>3342</v>
      </c>
      <c r="I190" s="58" t="s">
        <v>3877</v>
      </c>
      <c r="J190" s="58" t="s">
        <v>3342</v>
      </c>
      <c r="K190" s="58" t="s">
        <v>3868</v>
      </c>
      <c r="L190" s="58">
        <v>0.0</v>
      </c>
      <c r="M190" s="58" t="s">
        <v>3885</v>
      </c>
      <c r="N190" s="58">
        <v>2.0</v>
      </c>
      <c r="O190" s="58" t="b">
        <v>1</v>
      </c>
      <c r="P190" s="58"/>
      <c r="Q190" s="58"/>
      <c r="R190" s="59" t="str">
        <f>IF(COUNTIF('Active Employees'!B:B, B190)&gt;0,"Y","N")</f>
        <v>Y</v>
      </c>
      <c r="S190" s="58" t="s">
        <v>3874</v>
      </c>
      <c r="T190" s="58"/>
    </row>
    <row r="191">
      <c r="A191" s="58" t="s">
        <v>1499</v>
      </c>
      <c r="B191" s="58" t="s">
        <v>1141</v>
      </c>
      <c r="C191" s="58" t="s">
        <v>3866</v>
      </c>
      <c r="D191" s="58" t="s">
        <v>3867</v>
      </c>
      <c r="E191" s="68">
        <v>45799.77421296296</v>
      </c>
      <c r="F191" s="58" t="s">
        <v>3342</v>
      </c>
      <c r="G191" s="58" t="s">
        <v>3342</v>
      </c>
      <c r="H191" s="58" t="s">
        <v>3342</v>
      </c>
      <c r="I191" s="58" t="s">
        <v>3877</v>
      </c>
      <c r="J191" s="58" t="s">
        <v>3342</v>
      </c>
      <c r="K191" s="58" t="s">
        <v>3868</v>
      </c>
      <c r="L191" s="58">
        <v>0.0</v>
      </c>
      <c r="M191" s="58" t="s">
        <v>3918</v>
      </c>
      <c r="N191" s="58">
        <v>2.0</v>
      </c>
      <c r="O191" s="58" t="b">
        <v>1</v>
      </c>
      <c r="P191" s="58"/>
      <c r="Q191" s="58"/>
      <c r="R191" s="59" t="str">
        <f>IF(COUNTIF('Active Employees'!B:B, B191)&gt;0,"Y","N")</f>
        <v>Y</v>
      </c>
      <c r="S191" s="58" t="s">
        <v>3874</v>
      </c>
      <c r="T191" s="58"/>
    </row>
    <row r="192">
      <c r="A192" s="58" t="s">
        <v>1917</v>
      </c>
      <c r="B192" s="58" t="s">
        <v>698</v>
      </c>
      <c r="C192" s="58" t="s">
        <v>3866</v>
      </c>
      <c r="D192" s="58" t="s">
        <v>3867</v>
      </c>
      <c r="E192" s="68">
        <v>45799.77400462963</v>
      </c>
      <c r="F192" s="58" t="s">
        <v>3342</v>
      </c>
      <c r="G192" s="58" t="s">
        <v>3342</v>
      </c>
      <c r="H192" s="58" t="s">
        <v>3342</v>
      </c>
      <c r="I192" s="58" t="s">
        <v>3877</v>
      </c>
      <c r="J192" s="58" t="s">
        <v>3342</v>
      </c>
      <c r="K192" s="58" t="s">
        <v>3868</v>
      </c>
      <c r="L192" s="58">
        <v>0.0</v>
      </c>
      <c r="M192" s="58" t="s">
        <v>3911</v>
      </c>
      <c r="N192" s="58">
        <v>3.0</v>
      </c>
      <c r="O192" s="58" t="b">
        <v>1</v>
      </c>
      <c r="P192" s="58"/>
      <c r="Q192" s="58"/>
      <c r="R192" s="59" t="str">
        <f>IF(COUNTIF('Active Employees'!B:B, B192)&gt;0,"Y","N")</f>
        <v>Y</v>
      </c>
      <c r="S192" s="58" t="s">
        <v>3874</v>
      </c>
      <c r="T192" s="58"/>
    </row>
    <row r="193">
      <c r="A193" s="58" t="s">
        <v>882</v>
      </c>
      <c r="B193" s="58" t="s">
        <v>1220</v>
      </c>
      <c r="C193" s="58" t="s">
        <v>3866</v>
      </c>
      <c r="D193" s="58" t="s">
        <v>3867</v>
      </c>
      <c r="E193" s="68">
        <v>45799.81704861111</v>
      </c>
      <c r="F193" s="58" t="s">
        <v>3342</v>
      </c>
      <c r="G193" s="58" t="s">
        <v>3342</v>
      </c>
      <c r="H193" s="58" t="s">
        <v>3342</v>
      </c>
      <c r="I193" s="58" t="s">
        <v>3877</v>
      </c>
      <c r="J193" s="58" t="s">
        <v>3342</v>
      </c>
      <c r="K193" s="58" t="s">
        <v>3868</v>
      </c>
      <c r="L193" s="58">
        <v>0.0</v>
      </c>
      <c r="M193" s="58" t="s">
        <v>3885</v>
      </c>
      <c r="N193" s="58">
        <v>2.0</v>
      </c>
      <c r="O193" s="58" t="b">
        <v>1</v>
      </c>
      <c r="P193" s="58"/>
      <c r="Q193" s="58"/>
      <c r="R193" s="59" t="str">
        <f>IF(COUNTIF('Active Employees'!B:B, B193)&gt;0,"Y","N")</f>
        <v>Y</v>
      </c>
      <c r="S193" s="58" t="s">
        <v>3874</v>
      </c>
      <c r="T193" s="58"/>
    </row>
    <row r="194">
      <c r="A194" s="58" t="s">
        <v>1919</v>
      </c>
      <c r="B194" s="58" t="s">
        <v>469</v>
      </c>
      <c r="C194" s="58" t="s">
        <v>3866</v>
      </c>
      <c r="D194" s="58" t="s">
        <v>3867</v>
      </c>
      <c r="E194" s="68">
        <v>45799.77417824074</v>
      </c>
      <c r="F194" s="58" t="s">
        <v>3342</v>
      </c>
      <c r="G194" s="58" t="s">
        <v>3342</v>
      </c>
      <c r="H194" s="58" t="s">
        <v>3342</v>
      </c>
      <c r="I194" s="58" t="s">
        <v>3877</v>
      </c>
      <c r="J194" s="58" t="s">
        <v>3342</v>
      </c>
      <c r="K194" s="58" t="s">
        <v>3868</v>
      </c>
      <c r="L194" s="58">
        <v>0.0</v>
      </c>
      <c r="M194" s="58" t="s">
        <v>3918</v>
      </c>
      <c r="N194" s="58">
        <v>2.0</v>
      </c>
      <c r="O194" s="58" t="b">
        <v>1</v>
      </c>
      <c r="P194" s="58"/>
      <c r="Q194" s="58"/>
      <c r="R194" s="59" t="str">
        <f>IF(COUNTIF('Active Employees'!B:B, B194)&gt;0,"Y","N")</f>
        <v>Y</v>
      </c>
      <c r="S194" s="58" t="s">
        <v>3874</v>
      </c>
      <c r="T194" s="58"/>
    </row>
    <row r="195">
      <c r="A195" s="58" t="s">
        <v>3010</v>
      </c>
      <c r="B195" s="58" t="s">
        <v>901</v>
      </c>
      <c r="C195" s="58" t="s">
        <v>3866</v>
      </c>
      <c r="D195" s="58" t="s">
        <v>3867</v>
      </c>
      <c r="E195" s="68">
        <v>45799.81701388889</v>
      </c>
      <c r="F195" s="58" t="s">
        <v>3342</v>
      </c>
      <c r="G195" s="58" t="s">
        <v>3342</v>
      </c>
      <c r="H195" s="58" t="s">
        <v>3342</v>
      </c>
      <c r="I195" s="58" t="s">
        <v>3877</v>
      </c>
      <c r="J195" s="58" t="s">
        <v>3342</v>
      </c>
      <c r="K195" s="58" t="s">
        <v>3868</v>
      </c>
      <c r="L195" s="58">
        <v>0.0</v>
      </c>
      <c r="M195" s="58" t="s">
        <v>3885</v>
      </c>
      <c r="N195" s="58">
        <v>2.0</v>
      </c>
      <c r="O195" s="58" t="b">
        <v>1</v>
      </c>
      <c r="P195" s="58"/>
      <c r="Q195" s="58"/>
      <c r="R195" s="59" t="str">
        <f>IF(COUNTIF('Active Employees'!B:B, B195)&gt;0,"Y","N")</f>
        <v>Y</v>
      </c>
      <c r="S195" s="58" t="s">
        <v>3874</v>
      </c>
      <c r="T195" s="58"/>
    </row>
    <row r="196">
      <c r="A196" s="58" t="s">
        <v>2979</v>
      </c>
      <c r="B196" s="58" t="s">
        <v>1251</v>
      </c>
      <c r="C196" s="58" t="s">
        <v>3866</v>
      </c>
      <c r="D196" s="58" t="s">
        <v>3867</v>
      </c>
      <c r="E196" s="68">
        <v>45799.81621527778</v>
      </c>
      <c r="F196" s="58" t="s">
        <v>3342</v>
      </c>
      <c r="G196" s="58" t="s">
        <v>3342</v>
      </c>
      <c r="H196" s="58" t="s">
        <v>3342</v>
      </c>
      <c r="I196" s="58" t="s">
        <v>3877</v>
      </c>
      <c r="J196" s="58" t="s">
        <v>3342</v>
      </c>
      <c r="K196" s="58" t="s">
        <v>3868</v>
      </c>
      <c r="L196" s="58">
        <v>0.0</v>
      </c>
      <c r="M196" s="58" t="s">
        <v>3878</v>
      </c>
      <c r="N196" s="58">
        <v>2.0</v>
      </c>
      <c r="O196" s="58" t="b">
        <v>1</v>
      </c>
      <c r="P196" s="58"/>
      <c r="Q196" s="58"/>
      <c r="R196" s="59" t="str">
        <f>IF(COUNTIF('Active Employees'!B:B, B196)&gt;0,"Y","N")</f>
        <v>Y</v>
      </c>
      <c r="S196" s="58" t="s">
        <v>3874</v>
      </c>
      <c r="T196" s="58"/>
    </row>
    <row r="197">
      <c r="A197" s="58" t="s">
        <v>2998</v>
      </c>
      <c r="B197" s="58" t="s">
        <v>1139</v>
      </c>
      <c r="C197" s="58" t="s">
        <v>3961</v>
      </c>
      <c r="D197" s="58" t="s">
        <v>1440</v>
      </c>
      <c r="E197" s="68">
        <v>45799.77408564815</v>
      </c>
      <c r="F197" s="58" t="s">
        <v>3342</v>
      </c>
      <c r="G197" s="58" t="s">
        <v>3342</v>
      </c>
      <c r="H197" s="58" t="s">
        <v>3342</v>
      </c>
      <c r="I197" s="58" t="s">
        <v>3877</v>
      </c>
      <c r="J197" s="58" t="s">
        <v>3342</v>
      </c>
      <c r="K197" s="58" t="s">
        <v>3972</v>
      </c>
      <c r="L197" s="58">
        <v>0.0</v>
      </c>
      <c r="M197" s="58" t="s">
        <v>3918</v>
      </c>
      <c r="N197" s="58">
        <v>2.0</v>
      </c>
      <c r="O197" s="58" t="b">
        <v>1</v>
      </c>
      <c r="P197" s="58"/>
      <c r="Q197" s="58"/>
      <c r="R197" s="59" t="str">
        <f>IF(COUNTIF('Active Employees'!B:B, B197)&gt;0,"Y","N")</f>
        <v>Y</v>
      </c>
      <c r="S197" s="58" t="s">
        <v>3874</v>
      </c>
      <c r="T197" s="58"/>
    </row>
    <row r="198">
      <c r="A198" s="58" t="s">
        <v>4027</v>
      </c>
      <c r="B198" s="58" t="s">
        <v>1108</v>
      </c>
      <c r="C198" s="58" t="s">
        <v>3866</v>
      </c>
      <c r="D198" s="58" t="s">
        <v>3867</v>
      </c>
      <c r="E198" s="68">
        <v>45880.61644675926</v>
      </c>
      <c r="F198" s="58" t="s">
        <v>3342</v>
      </c>
      <c r="G198" s="58" t="s">
        <v>3342</v>
      </c>
      <c r="H198" s="58" t="s">
        <v>3342</v>
      </c>
      <c r="I198" s="58" t="s">
        <v>3877</v>
      </c>
      <c r="J198" s="58" t="s">
        <v>3342</v>
      </c>
      <c r="K198" s="58" t="s">
        <v>3868</v>
      </c>
      <c r="L198" s="58">
        <v>0.0</v>
      </c>
      <c r="M198" s="58" t="s">
        <v>3891</v>
      </c>
      <c r="N198" s="58">
        <v>3.0</v>
      </c>
      <c r="O198" s="58" t="b">
        <v>1</v>
      </c>
      <c r="P198" s="58"/>
      <c r="Q198" s="58"/>
      <c r="R198" s="59" t="str">
        <f>IF(COUNTIF('Active Employees'!B:B, B198)&gt;0,"Y","N")</f>
        <v>Y</v>
      </c>
      <c r="S198" s="58" t="s">
        <v>3874</v>
      </c>
      <c r="T198" s="58"/>
    </row>
    <row r="199">
      <c r="A199" s="58" t="s">
        <v>3045</v>
      </c>
      <c r="B199" s="58" t="s">
        <v>139</v>
      </c>
      <c r="C199" s="58" t="s">
        <v>3866</v>
      </c>
      <c r="D199" s="58" t="s">
        <v>3867</v>
      </c>
      <c r="E199" s="68">
        <v>45799.77423611111</v>
      </c>
      <c r="F199" s="58" t="s">
        <v>3342</v>
      </c>
      <c r="G199" s="58" t="s">
        <v>3342</v>
      </c>
      <c r="H199" s="58" t="s">
        <v>3342</v>
      </c>
      <c r="I199" s="58" t="s">
        <v>3877</v>
      </c>
      <c r="J199" s="58" t="s">
        <v>3342</v>
      </c>
      <c r="K199" s="58" t="s">
        <v>3868</v>
      </c>
      <c r="L199" s="58">
        <v>0.0</v>
      </c>
      <c r="M199" s="58" t="s">
        <v>3918</v>
      </c>
      <c r="N199" s="58">
        <v>2.0</v>
      </c>
      <c r="O199" s="58" t="b">
        <v>1</v>
      </c>
      <c r="P199" s="58"/>
      <c r="Q199" s="58"/>
      <c r="R199" s="59" t="str">
        <f>IF(COUNTIF('Active Employees'!B:B, B199)&gt;0,"Y","N")</f>
        <v>Y</v>
      </c>
      <c r="S199" s="58" t="s">
        <v>3874</v>
      </c>
      <c r="T199" s="58"/>
    </row>
    <row r="200">
      <c r="A200" s="58" t="s">
        <v>875</v>
      </c>
      <c r="B200" s="58" t="s">
        <v>1031</v>
      </c>
      <c r="C200" s="58" t="s">
        <v>3866</v>
      </c>
      <c r="D200" s="58" t="s">
        <v>3867</v>
      </c>
      <c r="E200" s="68">
        <v>45799.77431712963</v>
      </c>
      <c r="F200" s="58" t="s">
        <v>3342</v>
      </c>
      <c r="G200" s="58" t="s">
        <v>3342</v>
      </c>
      <c r="H200" s="58" t="s">
        <v>3342</v>
      </c>
      <c r="I200" s="58" t="s">
        <v>3877</v>
      </c>
      <c r="J200" s="58" t="s">
        <v>3342</v>
      </c>
      <c r="K200" s="58" t="s">
        <v>3868</v>
      </c>
      <c r="L200" s="58">
        <v>0.0</v>
      </c>
      <c r="M200" s="58" t="s">
        <v>3891</v>
      </c>
      <c r="N200" s="58">
        <v>3.0</v>
      </c>
      <c r="O200" s="58" t="b">
        <v>1</v>
      </c>
      <c r="P200" s="58"/>
      <c r="Q200" s="58"/>
      <c r="R200" s="59" t="str">
        <f>IF(COUNTIF('Active Employees'!B:B, B200)&gt;0,"Y","N")</f>
        <v>Y</v>
      </c>
      <c r="S200" s="58" t="s">
        <v>3874</v>
      </c>
      <c r="T200" s="58"/>
    </row>
    <row r="201">
      <c r="A201" s="58" t="s">
        <v>4028</v>
      </c>
      <c r="B201" s="58" t="s">
        <v>1333</v>
      </c>
      <c r="C201" s="58" t="s">
        <v>3866</v>
      </c>
      <c r="D201" s="58" t="s">
        <v>3867</v>
      </c>
      <c r="E201" s="68">
        <v>45799.816203703704</v>
      </c>
      <c r="F201" s="58" t="s">
        <v>3342</v>
      </c>
      <c r="G201" s="58" t="s">
        <v>3342</v>
      </c>
      <c r="H201" s="58" t="s">
        <v>3342</v>
      </c>
      <c r="I201" s="58" t="s">
        <v>3877</v>
      </c>
      <c r="J201" s="58" t="s">
        <v>3342</v>
      </c>
      <c r="K201" s="58" t="s">
        <v>3868</v>
      </c>
      <c r="L201" s="58">
        <v>0.0</v>
      </c>
      <c r="M201" s="58" t="s">
        <v>3878</v>
      </c>
      <c r="N201" s="58">
        <v>2.0</v>
      </c>
      <c r="O201" s="58" t="b">
        <v>1</v>
      </c>
      <c r="P201" s="58"/>
      <c r="Q201" s="58"/>
      <c r="R201" s="59" t="str">
        <f>IF(COUNTIF('Active Employees'!B:B, B201)&gt;0,"Y","N")</f>
        <v>Y</v>
      </c>
      <c r="S201" s="58" t="s">
        <v>3874</v>
      </c>
      <c r="T201" s="58"/>
    </row>
    <row r="202">
      <c r="A202" s="58" t="s">
        <v>4029</v>
      </c>
      <c r="B202" s="58" t="s">
        <v>1102</v>
      </c>
      <c r="C202" s="58" t="s">
        <v>3866</v>
      </c>
      <c r="D202" s="58" t="s">
        <v>3867</v>
      </c>
      <c r="E202" s="68">
        <v>45799.774201388886</v>
      </c>
      <c r="F202" s="58" t="s">
        <v>3342</v>
      </c>
      <c r="G202" s="58" t="s">
        <v>3342</v>
      </c>
      <c r="H202" s="58" t="s">
        <v>3342</v>
      </c>
      <c r="I202" s="58" t="s">
        <v>3877</v>
      </c>
      <c r="J202" s="58" t="s">
        <v>3342</v>
      </c>
      <c r="K202" s="58" t="s">
        <v>3868</v>
      </c>
      <c r="L202" s="58">
        <v>0.0</v>
      </c>
      <c r="M202" s="58" t="s">
        <v>3918</v>
      </c>
      <c r="N202" s="58">
        <v>2.0</v>
      </c>
      <c r="O202" s="58" t="b">
        <v>1</v>
      </c>
      <c r="P202" s="58"/>
      <c r="Q202" s="58"/>
      <c r="R202" s="59" t="str">
        <f>IF(COUNTIF('Active Employees'!B:B, B202)&gt;0,"Y","N")</f>
        <v>Y</v>
      </c>
      <c r="S202" s="58" t="s">
        <v>3874</v>
      </c>
      <c r="T202" s="58"/>
    </row>
    <row r="203">
      <c r="A203" s="58" t="s">
        <v>3046</v>
      </c>
      <c r="B203" s="58" t="s">
        <v>1282</v>
      </c>
      <c r="C203" s="58" t="s">
        <v>3866</v>
      </c>
      <c r="D203" s="58" t="s">
        <v>3867</v>
      </c>
      <c r="E203" s="68">
        <v>45799.7743287037</v>
      </c>
      <c r="F203" s="58" t="s">
        <v>3342</v>
      </c>
      <c r="G203" s="58" t="s">
        <v>3342</v>
      </c>
      <c r="H203" s="58" t="s">
        <v>3342</v>
      </c>
      <c r="I203" s="58" t="s">
        <v>3877</v>
      </c>
      <c r="J203" s="58" t="s">
        <v>3342</v>
      </c>
      <c r="K203" s="58" t="s">
        <v>3868</v>
      </c>
      <c r="L203" s="58">
        <v>0.0</v>
      </c>
      <c r="M203" s="58" t="s">
        <v>3891</v>
      </c>
      <c r="N203" s="58">
        <v>3.0</v>
      </c>
      <c r="O203" s="58" t="b">
        <v>1</v>
      </c>
      <c r="P203" s="58"/>
      <c r="Q203" s="58"/>
      <c r="R203" s="59" t="str">
        <f>IF(COUNTIF('Active Employees'!B:B, B203)&gt;0,"Y","N")</f>
        <v>Y</v>
      </c>
      <c r="S203" s="58" t="s">
        <v>3874</v>
      </c>
      <c r="T203" s="58"/>
    </row>
    <row r="204">
      <c r="A204" s="58" t="s">
        <v>4030</v>
      </c>
      <c r="B204" s="58" t="s">
        <v>998</v>
      </c>
      <c r="C204" s="58" t="s">
        <v>3866</v>
      </c>
      <c r="D204" s="58" t="s">
        <v>3867</v>
      </c>
      <c r="E204" s="68">
        <v>45799.774201388886</v>
      </c>
      <c r="F204" s="58" t="s">
        <v>3342</v>
      </c>
      <c r="G204" s="58" t="s">
        <v>3342</v>
      </c>
      <c r="H204" s="58" t="s">
        <v>3342</v>
      </c>
      <c r="I204" s="58" t="s">
        <v>3877</v>
      </c>
      <c r="J204" s="58" t="s">
        <v>3342</v>
      </c>
      <c r="K204" s="58" t="s">
        <v>3868</v>
      </c>
      <c r="L204" s="58">
        <v>0.0</v>
      </c>
      <c r="M204" s="58" t="s">
        <v>3918</v>
      </c>
      <c r="N204" s="58">
        <v>2.0</v>
      </c>
      <c r="O204" s="58" t="b">
        <v>1</v>
      </c>
      <c r="P204" s="58"/>
      <c r="Q204" s="58"/>
      <c r="R204" s="59" t="str">
        <f>IF(COUNTIF('Active Employees'!B:B, B204)&gt;0,"Y","N")</f>
        <v>Y</v>
      </c>
      <c r="S204" s="58" t="s">
        <v>3874</v>
      </c>
      <c r="T204" s="58"/>
    </row>
    <row r="205">
      <c r="A205" s="58" t="s">
        <v>1938</v>
      </c>
      <c r="B205" s="58" t="s">
        <v>206</v>
      </c>
      <c r="C205" s="58" t="s">
        <v>3866</v>
      </c>
      <c r="D205" s="58" t="s">
        <v>3867</v>
      </c>
      <c r="E205" s="68">
        <v>45799.77416666667</v>
      </c>
      <c r="F205" s="58" t="s">
        <v>3342</v>
      </c>
      <c r="G205" s="58" t="s">
        <v>3342</v>
      </c>
      <c r="H205" s="58" t="s">
        <v>3342</v>
      </c>
      <c r="I205" s="58" t="s">
        <v>3877</v>
      </c>
      <c r="J205" s="58" t="s">
        <v>3342</v>
      </c>
      <c r="K205" s="58" t="s">
        <v>3868</v>
      </c>
      <c r="L205" s="58">
        <v>0.0</v>
      </c>
      <c r="M205" s="58" t="s">
        <v>3918</v>
      </c>
      <c r="N205" s="58">
        <v>2.0</v>
      </c>
      <c r="O205" s="58" t="b">
        <v>1</v>
      </c>
      <c r="P205" s="58"/>
      <c r="Q205" s="58"/>
      <c r="R205" s="59" t="str">
        <f>IF(COUNTIF('Active Employees'!B:B, B205)&gt;0,"Y","N")</f>
        <v>Y</v>
      </c>
      <c r="S205" s="58" t="s">
        <v>3874</v>
      </c>
      <c r="T205" s="58"/>
    </row>
    <row r="206">
      <c r="A206" s="58" t="s">
        <v>4031</v>
      </c>
      <c r="B206" s="58" t="s">
        <v>1197</v>
      </c>
      <c r="C206" s="58" t="s">
        <v>3866</v>
      </c>
      <c r="D206" s="58" t="s">
        <v>3867</v>
      </c>
      <c r="E206" s="68">
        <v>45859.4662962963</v>
      </c>
      <c r="F206" s="58" t="s">
        <v>3342</v>
      </c>
      <c r="G206" s="58" t="s">
        <v>3342</v>
      </c>
      <c r="H206" s="58" t="s">
        <v>3342</v>
      </c>
      <c r="I206" s="58" t="s">
        <v>3877</v>
      </c>
      <c r="J206" s="58" t="s">
        <v>3342</v>
      </c>
      <c r="K206" s="58" t="s">
        <v>3868</v>
      </c>
      <c r="L206" s="58">
        <v>0.0</v>
      </c>
      <c r="M206" s="58" t="s">
        <v>3918</v>
      </c>
      <c r="N206" s="58">
        <v>2.0</v>
      </c>
      <c r="O206" s="58" t="b">
        <v>1</v>
      </c>
      <c r="P206" s="58"/>
      <c r="Q206" s="58"/>
      <c r="R206" s="59" t="str">
        <f>IF(COUNTIF('Active Employees'!B:B, B206)&gt;0,"Y","N")</f>
        <v>Y</v>
      </c>
      <c r="S206" s="58" t="s">
        <v>3874</v>
      </c>
      <c r="T206" s="58"/>
    </row>
    <row r="207">
      <c r="A207" s="58" t="s">
        <v>3138</v>
      </c>
      <c r="B207" s="58" t="s">
        <v>1123</v>
      </c>
      <c r="C207" s="58" t="s">
        <v>3866</v>
      </c>
      <c r="D207" s="58" t="s">
        <v>3867</v>
      </c>
      <c r="E207" s="68">
        <v>45799.77421296296</v>
      </c>
      <c r="F207" s="58" t="s">
        <v>3342</v>
      </c>
      <c r="G207" s="58" t="s">
        <v>3342</v>
      </c>
      <c r="H207" s="58" t="s">
        <v>3342</v>
      </c>
      <c r="I207" s="58" t="s">
        <v>3877</v>
      </c>
      <c r="J207" s="58" t="s">
        <v>3342</v>
      </c>
      <c r="K207" s="58" t="s">
        <v>3868</v>
      </c>
      <c r="L207" s="58">
        <v>0.0</v>
      </c>
      <c r="M207" s="58" t="s">
        <v>3918</v>
      </c>
      <c r="N207" s="58">
        <v>2.0</v>
      </c>
      <c r="O207" s="58" t="b">
        <v>1</v>
      </c>
      <c r="P207" s="58"/>
      <c r="Q207" s="58"/>
      <c r="R207" s="59" t="str">
        <f>IF(COUNTIF('Active Employees'!B:B, B207)&gt;0,"Y","N")</f>
        <v>Y</v>
      </c>
      <c r="S207" s="58" t="s">
        <v>3874</v>
      </c>
      <c r="T207" s="58"/>
    </row>
    <row r="208">
      <c r="A208" s="58" t="s">
        <v>3022</v>
      </c>
      <c r="B208" s="58" t="s">
        <v>1211</v>
      </c>
      <c r="C208" s="58" t="s">
        <v>3866</v>
      </c>
      <c r="D208" s="58" t="s">
        <v>3867</v>
      </c>
      <c r="E208" s="68">
        <v>45623.68377314815</v>
      </c>
      <c r="F208" s="58" t="s">
        <v>3342</v>
      </c>
      <c r="G208" s="58" t="s">
        <v>3342</v>
      </c>
      <c r="H208" s="58" t="s">
        <v>3342</v>
      </c>
      <c r="I208" s="58" t="s">
        <v>3877</v>
      </c>
      <c r="J208" s="58" t="s">
        <v>3342</v>
      </c>
      <c r="K208" s="58" t="s">
        <v>3868</v>
      </c>
      <c r="L208" s="58">
        <v>0.0</v>
      </c>
      <c r="M208" s="58" t="s">
        <v>3869</v>
      </c>
      <c r="N208" s="58">
        <v>2.0</v>
      </c>
      <c r="O208" s="58" t="b">
        <v>1</v>
      </c>
      <c r="P208" s="58"/>
      <c r="Q208" s="58"/>
      <c r="R208" s="59" t="str">
        <f>IF(COUNTIF('Active Employees'!B:B, B208)&gt;0,"Y","N")</f>
        <v>Y</v>
      </c>
      <c r="S208" s="58" t="s">
        <v>3874</v>
      </c>
      <c r="T208" s="58"/>
    </row>
    <row r="209">
      <c r="A209" s="58" t="s">
        <v>4032</v>
      </c>
      <c r="B209" s="58" t="s">
        <v>454</v>
      </c>
      <c r="C209" s="58" t="s">
        <v>3866</v>
      </c>
      <c r="D209" s="58" t="s">
        <v>3867</v>
      </c>
      <c r="E209" s="68">
        <v>45859.46618055556</v>
      </c>
      <c r="F209" s="58" t="s">
        <v>3342</v>
      </c>
      <c r="G209" s="58" t="s">
        <v>3342</v>
      </c>
      <c r="H209" s="58" t="s">
        <v>3342</v>
      </c>
      <c r="I209" s="58" t="s">
        <v>3877</v>
      </c>
      <c r="J209" s="58" t="s">
        <v>3342</v>
      </c>
      <c r="K209" s="58" t="s">
        <v>3868</v>
      </c>
      <c r="L209" s="58">
        <v>0.0</v>
      </c>
      <c r="M209" s="58" t="s">
        <v>3918</v>
      </c>
      <c r="N209" s="58">
        <v>2.0</v>
      </c>
      <c r="O209" s="58" t="b">
        <v>1</v>
      </c>
      <c r="P209" s="58"/>
      <c r="Q209" s="58"/>
      <c r="R209" s="59" t="str">
        <f>IF(COUNTIF('Active Employees'!B:B, B209)&gt;0,"Y","N")</f>
        <v>Y</v>
      </c>
      <c r="S209" s="58" t="s">
        <v>3874</v>
      </c>
      <c r="T209" s="58"/>
    </row>
    <row r="210">
      <c r="A210" s="58" t="s">
        <v>192</v>
      </c>
      <c r="B210" s="58" t="s">
        <v>186</v>
      </c>
      <c r="C210" s="58" t="s">
        <v>4009</v>
      </c>
      <c r="D210" s="58" t="s">
        <v>4010</v>
      </c>
      <c r="E210" s="68">
        <v>45799.77427083333</v>
      </c>
      <c r="F210" s="58" t="s">
        <v>3342</v>
      </c>
      <c r="G210" s="58" t="s">
        <v>3342</v>
      </c>
      <c r="H210" s="58" t="s">
        <v>3342</v>
      </c>
      <c r="I210" s="58" t="s">
        <v>3877</v>
      </c>
      <c r="J210" s="58" t="s">
        <v>3342</v>
      </c>
      <c r="K210" s="58" t="s">
        <v>4011</v>
      </c>
      <c r="L210" s="58">
        <v>0.0</v>
      </c>
      <c r="M210" s="58" t="s">
        <v>4033</v>
      </c>
      <c r="N210" s="58">
        <v>5.0</v>
      </c>
      <c r="O210" s="58" t="b">
        <v>1</v>
      </c>
      <c r="P210" s="58" t="s">
        <v>3343</v>
      </c>
      <c r="Q210" s="58"/>
      <c r="R210" s="59" t="str">
        <f>IF(COUNTIF('Active Employees'!B:B, B210)&gt;0,"Y","N")</f>
        <v>Y</v>
      </c>
      <c r="S210" s="58" t="s">
        <v>3874</v>
      </c>
      <c r="T210" s="58"/>
    </row>
    <row r="211">
      <c r="A211" s="58" t="s">
        <v>3055</v>
      </c>
      <c r="B211" s="58" t="s">
        <v>1028</v>
      </c>
      <c r="C211" s="58" t="s">
        <v>3866</v>
      </c>
      <c r="D211" s="58" t="s">
        <v>3867</v>
      </c>
      <c r="E211" s="68">
        <v>45799.77521990741</v>
      </c>
      <c r="F211" s="58" t="s">
        <v>3342</v>
      </c>
      <c r="G211" s="58" t="s">
        <v>3342</v>
      </c>
      <c r="H211" s="58" t="s">
        <v>3342</v>
      </c>
      <c r="I211" s="58" t="s">
        <v>3877</v>
      </c>
      <c r="J211" s="58" t="s">
        <v>3342</v>
      </c>
      <c r="K211" s="58" t="s">
        <v>3868</v>
      </c>
      <c r="L211" s="58">
        <v>0.0</v>
      </c>
      <c r="M211" s="58" t="s">
        <v>3885</v>
      </c>
      <c r="N211" s="58">
        <v>2.0</v>
      </c>
      <c r="O211" s="58" t="b">
        <v>1</v>
      </c>
      <c r="P211" s="58"/>
      <c r="Q211" s="58"/>
      <c r="R211" s="59" t="str">
        <f>IF(COUNTIF('Active Employees'!B:B, B211)&gt;0,"Y","N")</f>
        <v>Y</v>
      </c>
      <c r="S211" s="58" t="s">
        <v>3874</v>
      </c>
      <c r="T211" s="58"/>
    </row>
    <row r="212">
      <c r="A212" s="58" t="s">
        <v>3023</v>
      </c>
      <c r="B212" s="58" t="s">
        <v>1401</v>
      </c>
      <c r="C212" s="58" t="s">
        <v>3866</v>
      </c>
      <c r="D212" s="58" t="s">
        <v>3867</v>
      </c>
      <c r="E212" s="68">
        <v>45799.77415509259</v>
      </c>
      <c r="F212" s="58" t="s">
        <v>3342</v>
      </c>
      <c r="G212" s="58" t="s">
        <v>3342</v>
      </c>
      <c r="H212" s="58" t="s">
        <v>3342</v>
      </c>
      <c r="I212" s="58" t="s">
        <v>3877</v>
      </c>
      <c r="J212" s="58" t="s">
        <v>3342</v>
      </c>
      <c r="K212" s="58" t="s">
        <v>3868</v>
      </c>
      <c r="L212" s="58">
        <v>0.0</v>
      </c>
      <c r="M212" s="58" t="s">
        <v>3918</v>
      </c>
      <c r="N212" s="58">
        <v>2.0</v>
      </c>
      <c r="O212" s="58" t="b">
        <v>1</v>
      </c>
      <c r="P212" s="58"/>
      <c r="Q212" s="58"/>
      <c r="R212" s="59" t="str">
        <f>IF(COUNTIF('Active Employees'!B:B, B212)&gt;0,"Y","N")</f>
        <v>Y</v>
      </c>
      <c r="S212" s="58" t="s">
        <v>3874</v>
      </c>
      <c r="T212" s="58"/>
    </row>
    <row r="213">
      <c r="A213" s="58" t="s">
        <v>1218</v>
      </c>
      <c r="B213" s="58" t="s">
        <v>235</v>
      </c>
      <c r="C213" s="58" t="s">
        <v>3866</v>
      </c>
      <c r="D213" s="58" t="s">
        <v>3867</v>
      </c>
      <c r="E213" s="68">
        <v>45799.77416666667</v>
      </c>
      <c r="F213" s="58" t="s">
        <v>3342</v>
      </c>
      <c r="G213" s="58" t="s">
        <v>3342</v>
      </c>
      <c r="H213" s="58" t="s">
        <v>3342</v>
      </c>
      <c r="I213" s="58" t="s">
        <v>3877</v>
      </c>
      <c r="J213" s="58" t="s">
        <v>3342</v>
      </c>
      <c r="K213" s="58" t="s">
        <v>3868</v>
      </c>
      <c r="L213" s="58">
        <v>0.0</v>
      </c>
      <c r="M213" s="58" t="s">
        <v>4034</v>
      </c>
      <c r="N213" s="58">
        <v>4.0</v>
      </c>
      <c r="O213" s="58" t="b">
        <v>1</v>
      </c>
      <c r="P213" s="58"/>
      <c r="Q213" s="58"/>
      <c r="R213" s="59" t="str">
        <f>IF(COUNTIF('Active Employees'!B:B, B213)&gt;0,"Y","N")</f>
        <v>Y</v>
      </c>
      <c r="S213" s="58" t="s">
        <v>3874</v>
      </c>
      <c r="T213" s="58"/>
    </row>
    <row r="214">
      <c r="A214" s="58" t="s">
        <v>1505</v>
      </c>
      <c r="B214" s="58" t="s">
        <v>1255</v>
      </c>
      <c r="C214" s="58" t="s">
        <v>3866</v>
      </c>
      <c r="D214" s="58" t="s">
        <v>3867</v>
      </c>
      <c r="E214" s="68">
        <v>45799.77431712963</v>
      </c>
      <c r="F214" s="58" t="s">
        <v>3342</v>
      </c>
      <c r="G214" s="58" t="s">
        <v>3342</v>
      </c>
      <c r="H214" s="58" t="s">
        <v>3342</v>
      </c>
      <c r="I214" s="58" t="s">
        <v>3877</v>
      </c>
      <c r="J214" s="58" t="s">
        <v>3342</v>
      </c>
      <c r="K214" s="58" t="s">
        <v>3868</v>
      </c>
      <c r="L214" s="58">
        <v>0.0</v>
      </c>
      <c r="M214" s="58" t="s">
        <v>3891</v>
      </c>
      <c r="N214" s="58">
        <v>3.0</v>
      </c>
      <c r="O214" s="58" t="b">
        <v>1</v>
      </c>
      <c r="P214" s="58"/>
      <c r="Q214" s="58"/>
      <c r="R214" s="59" t="str">
        <f>IF(COUNTIF('Active Employees'!B:B, B214)&gt;0,"Y","N")</f>
        <v>Y</v>
      </c>
      <c r="S214" s="58" t="s">
        <v>3874</v>
      </c>
      <c r="T214" s="58"/>
    </row>
    <row r="215">
      <c r="A215" s="58" t="s">
        <v>1953</v>
      </c>
      <c r="B215" s="58" t="s">
        <v>1225</v>
      </c>
      <c r="C215" s="58" t="s">
        <v>3866</v>
      </c>
      <c r="D215" s="58" t="s">
        <v>3867</v>
      </c>
      <c r="E215" s="68">
        <v>45799.77416666667</v>
      </c>
      <c r="F215" s="58" t="s">
        <v>3342</v>
      </c>
      <c r="G215" s="58" t="s">
        <v>3342</v>
      </c>
      <c r="H215" s="58" t="s">
        <v>3342</v>
      </c>
      <c r="I215" s="58" t="s">
        <v>3877</v>
      </c>
      <c r="J215" s="58" t="s">
        <v>3342</v>
      </c>
      <c r="K215" s="58" t="s">
        <v>3868</v>
      </c>
      <c r="L215" s="58">
        <v>0.0</v>
      </c>
      <c r="M215" s="58" t="s">
        <v>3918</v>
      </c>
      <c r="N215" s="58">
        <v>2.0</v>
      </c>
      <c r="O215" s="58" t="b">
        <v>1</v>
      </c>
      <c r="P215" s="58"/>
      <c r="Q215" s="58"/>
      <c r="R215" s="59" t="str">
        <f>IF(COUNTIF('Active Employees'!B:B, B215)&gt;0,"Y","N")</f>
        <v>Y</v>
      </c>
      <c r="S215" s="58" t="s">
        <v>3874</v>
      </c>
      <c r="T215" s="58"/>
    </row>
    <row r="216">
      <c r="A216" s="58" t="s">
        <v>52</v>
      </c>
      <c r="B216" s="58" t="s">
        <v>712</v>
      </c>
      <c r="C216" s="58" t="s">
        <v>3866</v>
      </c>
      <c r="D216" s="58" t="s">
        <v>3867</v>
      </c>
      <c r="E216" s="68">
        <v>45799.77423611111</v>
      </c>
      <c r="F216" s="58" t="s">
        <v>3342</v>
      </c>
      <c r="G216" s="58" t="s">
        <v>3342</v>
      </c>
      <c r="H216" s="58" t="s">
        <v>3342</v>
      </c>
      <c r="I216" s="58" t="s">
        <v>3877</v>
      </c>
      <c r="J216" s="58" t="s">
        <v>3342</v>
      </c>
      <c r="K216" s="58" t="s">
        <v>3868</v>
      </c>
      <c r="L216" s="58">
        <v>0.0</v>
      </c>
      <c r="M216" s="58" t="s">
        <v>3918</v>
      </c>
      <c r="N216" s="58">
        <v>2.0</v>
      </c>
      <c r="O216" s="58" t="b">
        <v>1</v>
      </c>
      <c r="P216" s="58"/>
      <c r="Q216" s="58"/>
      <c r="R216" s="59" t="str">
        <f>IF(COUNTIF('Active Employees'!B:B, B216)&gt;0,"Y","N")</f>
        <v>Y</v>
      </c>
      <c r="S216" s="58" t="s">
        <v>3874</v>
      </c>
      <c r="T216" s="58"/>
    </row>
    <row r="217">
      <c r="A217" s="58" t="s">
        <v>3153</v>
      </c>
      <c r="B217" s="58" t="s">
        <v>1410</v>
      </c>
      <c r="C217" s="58" t="s">
        <v>4009</v>
      </c>
      <c r="D217" s="58" t="s">
        <v>4010</v>
      </c>
      <c r="E217" s="68">
        <v>45671.86859953704</v>
      </c>
      <c r="F217" s="58" t="s">
        <v>3342</v>
      </c>
      <c r="G217" s="58" t="s">
        <v>3342</v>
      </c>
      <c r="H217" s="58" t="s">
        <v>771</v>
      </c>
      <c r="I217" s="58" t="s">
        <v>856</v>
      </c>
      <c r="J217" s="68">
        <v>45671.79357638889</v>
      </c>
      <c r="K217" s="58" t="s">
        <v>4011</v>
      </c>
      <c r="L217" s="58">
        <v>0.0</v>
      </c>
      <c r="M217" s="58" t="s">
        <v>3873</v>
      </c>
      <c r="N217" s="58">
        <v>2.0</v>
      </c>
      <c r="O217" s="58" t="b">
        <v>1</v>
      </c>
      <c r="P217" s="58" t="s">
        <v>3343</v>
      </c>
      <c r="Q217" s="58"/>
      <c r="R217" s="59" t="str">
        <f>IF(COUNTIF('Active Employees'!B:B, B217)&gt;0,"Y","N")</f>
        <v>Y</v>
      </c>
      <c r="S217" s="58" t="s">
        <v>3874</v>
      </c>
      <c r="T217" s="58"/>
    </row>
    <row r="218">
      <c r="A218" s="58" t="s">
        <v>4035</v>
      </c>
      <c r="B218" s="58" t="s">
        <v>1069</v>
      </c>
      <c r="C218" s="58" t="s">
        <v>3866</v>
      </c>
      <c r="D218" s="58" t="s">
        <v>3867</v>
      </c>
      <c r="E218" s="68">
        <v>45799.77415509259</v>
      </c>
      <c r="F218" s="58" t="s">
        <v>3342</v>
      </c>
      <c r="G218" s="58" t="s">
        <v>3342</v>
      </c>
      <c r="H218" s="58" t="s">
        <v>3342</v>
      </c>
      <c r="I218" s="58" t="s">
        <v>3877</v>
      </c>
      <c r="J218" s="58" t="s">
        <v>3342</v>
      </c>
      <c r="K218" s="58" t="s">
        <v>3868</v>
      </c>
      <c r="L218" s="58">
        <v>0.0</v>
      </c>
      <c r="M218" s="58" t="s">
        <v>3918</v>
      </c>
      <c r="N218" s="58">
        <v>2.0</v>
      </c>
      <c r="O218" s="58" t="b">
        <v>1</v>
      </c>
      <c r="P218" s="58"/>
      <c r="Q218" s="58"/>
      <c r="R218" s="59" t="str">
        <f>IF(COUNTIF('Active Employees'!B:B, B218)&gt;0,"Y","N")</f>
        <v>Y</v>
      </c>
      <c r="S218" s="58" t="s">
        <v>3874</v>
      </c>
      <c r="T218" s="58"/>
    </row>
    <row r="219">
      <c r="A219" s="58" t="s">
        <v>4036</v>
      </c>
      <c r="B219" s="58" t="s">
        <v>1243</v>
      </c>
      <c r="C219" s="58" t="s">
        <v>3866</v>
      </c>
      <c r="D219" s="58" t="s">
        <v>3867</v>
      </c>
      <c r="E219" s="68">
        <v>45799.774409722224</v>
      </c>
      <c r="F219" s="58" t="s">
        <v>3342</v>
      </c>
      <c r="G219" s="58" t="s">
        <v>3342</v>
      </c>
      <c r="H219" s="58" t="s">
        <v>3342</v>
      </c>
      <c r="I219" s="58" t="s">
        <v>3877</v>
      </c>
      <c r="J219" s="58" t="s">
        <v>3342</v>
      </c>
      <c r="K219" s="58" t="s">
        <v>3868</v>
      </c>
      <c r="L219" s="58">
        <v>0.0</v>
      </c>
      <c r="M219" s="58" t="s">
        <v>3974</v>
      </c>
      <c r="N219" s="58">
        <v>3.0</v>
      </c>
      <c r="O219" s="58" t="b">
        <v>1</v>
      </c>
      <c r="P219" s="58"/>
      <c r="Q219" s="58"/>
      <c r="R219" s="59" t="str">
        <f>IF(COUNTIF('Active Employees'!B:B, B219)&gt;0,"Y","N")</f>
        <v>Y</v>
      </c>
      <c r="S219" s="58" t="s">
        <v>3874</v>
      </c>
      <c r="T219" s="58"/>
    </row>
    <row r="220">
      <c r="A220" s="58" t="s">
        <v>2987</v>
      </c>
      <c r="B220" s="58" t="s">
        <v>1330</v>
      </c>
      <c r="C220" s="58" t="s">
        <v>3866</v>
      </c>
      <c r="D220" s="58" t="s">
        <v>3867</v>
      </c>
      <c r="E220" s="68">
        <v>45799.81607638889</v>
      </c>
      <c r="F220" s="58" t="s">
        <v>3342</v>
      </c>
      <c r="G220" s="58" t="s">
        <v>3342</v>
      </c>
      <c r="H220" s="58" t="s">
        <v>3342</v>
      </c>
      <c r="I220" s="58" t="s">
        <v>3877</v>
      </c>
      <c r="J220" s="58" t="s">
        <v>3342</v>
      </c>
      <c r="K220" s="58" t="s">
        <v>3868</v>
      </c>
      <c r="L220" s="58">
        <v>0.0</v>
      </c>
      <c r="M220" s="58" t="s">
        <v>3974</v>
      </c>
      <c r="N220" s="58">
        <v>3.0</v>
      </c>
      <c r="O220" s="58" t="b">
        <v>1</v>
      </c>
      <c r="P220" s="58"/>
      <c r="Q220" s="58"/>
      <c r="R220" s="59" t="str">
        <f>IF(COUNTIF('Active Employees'!B:B, B220)&gt;0,"Y","N")</f>
        <v>Y</v>
      </c>
      <c r="S220" s="58" t="s">
        <v>3874</v>
      </c>
      <c r="T220" s="58"/>
    </row>
    <row r="221">
      <c r="A221" s="58" t="s">
        <v>2982</v>
      </c>
      <c r="B221" s="58" t="s">
        <v>564</v>
      </c>
      <c r="C221" s="58" t="s">
        <v>3866</v>
      </c>
      <c r="D221" s="58" t="s">
        <v>3867</v>
      </c>
      <c r="E221" s="68">
        <v>45799.774201388886</v>
      </c>
      <c r="F221" s="58" t="s">
        <v>3342</v>
      </c>
      <c r="G221" s="58" t="s">
        <v>3342</v>
      </c>
      <c r="H221" s="58" t="s">
        <v>3342</v>
      </c>
      <c r="I221" s="58" t="s">
        <v>3877</v>
      </c>
      <c r="J221" s="58" t="s">
        <v>3342</v>
      </c>
      <c r="K221" s="58" t="s">
        <v>3868</v>
      </c>
      <c r="L221" s="58">
        <v>0.0</v>
      </c>
      <c r="M221" s="58" t="s">
        <v>3918</v>
      </c>
      <c r="N221" s="58">
        <v>2.0</v>
      </c>
      <c r="O221" s="58" t="b">
        <v>1</v>
      </c>
      <c r="P221" s="58"/>
      <c r="Q221" s="58"/>
      <c r="R221" s="59" t="str">
        <f>IF(COUNTIF('Active Employees'!B:B, B221)&gt;0,"Y","N")</f>
        <v>Y</v>
      </c>
      <c r="S221" s="58" t="s">
        <v>3874</v>
      </c>
      <c r="T221" s="58"/>
    </row>
    <row r="222">
      <c r="A222" s="58" t="s">
        <v>474</v>
      </c>
      <c r="B222" s="58" t="s">
        <v>799</v>
      </c>
      <c r="C222" s="58" t="s">
        <v>4009</v>
      </c>
      <c r="D222" s="58" t="s">
        <v>4010</v>
      </c>
      <c r="E222" s="68">
        <v>45799.77427083333</v>
      </c>
      <c r="F222" s="58" t="s">
        <v>3342</v>
      </c>
      <c r="G222" s="58" t="s">
        <v>3342</v>
      </c>
      <c r="H222" s="58" t="s">
        <v>3342</v>
      </c>
      <c r="I222" s="58" t="s">
        <v>3877</v>
      </c>
      <c r="J222" s="58" t="s">
        <v>3342</v>
      </c>
      <c r="K222" s="58" t="s">
        <v>4011</v>
      </c>
      <c r="L222" s="58">
        <v>0.0</v>
      </c>
      <c r="M222" s="58" t="s">
        <v>4013</v>
      </c>
      <c r="N222" s="58">
        <v>3.0</v>
      </c>
      <c r="O222" s="58" t="b">
        <v>1</v>
      </c>
      <c r="P222" s="58" t="s">
        <v>3343</v>
      </c>
      <c r="Q222" s="58"/>
      <c r="R222" s="59" t="str">
        <f>IF(COUNTIF('Active Employees'!B:B, B222)&gt;0,"Y","N")</f>
        <v>Y</v>
      </c>
      <c r="S222" s="58" t="s">
        <v>3874</v>
      </c>
      <c r="T222" s="58"/>
    </row>
    <row r="223">
      <c r="A223" s="58" t="s">
        <v>1512</v>
      </c>
      <c r="B223" s="58" t="s">
        <v>1353</v>
      </c>
      <c r="C223" s="58" t="s">
        <v>3866</v>
      </c>
      <c r="D223" s="58" t="s">
        <v>3867</v>
      </c>
      <c r="E223" s="68">
        <v>45799.77423611111</v>
      </c>
      <c r="F223" s="58" t="s">
        <v>3342</v>
      </c>
      <c r="G223" s="58" t="s">
        <v>3342</v>
      </c>
      <c r="H223" s="58" t="s">
        <v>3342</v>
      </c>
      <c r="I223" s="58" t="s">
        <v>3877</v>
      </c>
      <c r="J223" s="58" t="s">
        <v>3342</v>
      </c>
      <c r="K223" s="58" t="s">
        <v>3868</v>
      </c>
      <c r="L223" s="58">
        <v>0.0</v>
      </c>
      <c r="M223" s="58" t="s">
        <v>3918</v>
      </c>
      <c r="N223" s="58">
        <v>2.0</v>
      </c>
      <c r="O223" s="58" t="b">
        <v>1</v>
      </c>
      <c r="P223" s="58"/>
      <c r="Q223" s="58"/>
      <c r="R223" s="59" t="str">
        <f>IF(COUNTIF('Active Employees'!B:B, B223)&gt;0,"Y","N")</f>
        <v>Y</v>
      </c>
      <c r="S223" s="58" t="s">
        <v>3874</v>
      </c>
      <c r="T223" s="58"/>
    </row>
    <row r="224">
      <c r="A224" s="58" t="s">
        <v>4037</v>
      </c>
      <c r="B224" s="58" t="s">
        <v>1276</v>
      </c>
      <c r="C224" s="58" t="s">
        <v>3866</v>
      </c>
      <c r="D224" s="58" t="s">
        <v>3867</v>
      </c>
      <c r="E224" s="68">
        <v>45799.77425925926</v>
      </c>
      <c r="F224" s="58" t="s">
        <v>3342</v>
      </c>
      <c r="G224" s="58" t="s">
        <v>3342</v>
      </c>
      <c r="H224" s="58" t="s">
        <v>3342</v>
      </c>
      <c r="I224" s="58" t="s">
        <v>3877</v>
      </c>
      <c r="J224" s="58" t="s">
        <v>3342</v>
      </c>
      <c r="K224" s="58" t="s">
        <v>3868</v>
      </c>
      <c r="L224" s="58">
        <v>0.0</v>
      </c>
      <c r="M224" s="58" t="s">
        <v>3918</v>
      </c>
      <c r="N224" s="58">
        <v>2.0</v>
      </c>
      <c r="O224" s="58" t="b">
        <v>1</v>
      </c>
      <c r="P224" s="58"/>
      <c r="Q224" s="58"/>
      <c r="R224" s="59" t="str">
        <f>IF(COUNTIF('Active Employees'!B:B, B224)&gt;0,"Y","N")</f>
        <v>Y</v>
      </c>
      <c r="S224" s="58" t="s">
        <v>3874</v>
      </c>
      <c r="T224" s="58"/>
    </row>
    <row r="225">
      <c r="A225" s="58" t="s">
        <v>4038</v>
      </c>
      <c r="B225" s="58" t="s">
        <v>1082</v>
      </c>
      <c r="C225" s="58" t="s">
        <v>3866</v>
      </c>
      <c r="D225" s="58" t="s">
        <v>3867</v>
      </c>
      <c r="E225" s="68">
        <v>45799.774189814816</v>
      </c>
      <c r="F225" s="58" t="s">
        <v>3342</v>
      </c>
      <c r="G225" s="58" t="s">
        <v>3342</v>
      </c>
      <c r="H225" s="58" t="s">
        <v>3342</v>
      </c>
      <c r="I225" s="58" t="s">
        <v>3877</v>
      </c>
      <c r="J225" s="58" t="s">
        <v>3342</v>
      </c>
      <c r="K225" s="58" t="s">
        <v>3868</v>
      </c>
      <c r="L225" s="58">
        <v>0.0</v>
      </c>
      <c r="M225" s="58" t="s">
        <v>3918</v>
      </c>
      <c r="N225" s="58">
        <v>2.0</v>
      </c>
      <c r="O225" s="58" t="b">
        <v>1</v>
      </c>
      <c r="P225" s="58"/>
      <c r="Q225" s="58"/>
      <c r="R225" s="59" t="str">
        <f>IF(COUNTIF('Active Employees'!B:B, B225)&gt;0,"Y","N")</f>
        <v>Y</v>
      </c>
      <c r="S225" s="58" t="s">
        <v>3874</v>
      </c>
      <c r="T225" s="58"/>
    </row>
    <row r="226">
      <c r="A226" s="58" t="s">
        <v>3278</v>
      </c>
      <c r="B226" s="58" t="s">
        <v>1385</v>
      </c>
      <c r="C226" s="58" t="s">
        <v>3866</v>
      </c>
      <c r="D226" s="58" t="s">
        <v>3867</v>
      </c>
      <c r="E226" s="68">
        <v>45799.77431712963</v>
      </c>
      <c r="F226" s="58" t="s">
        <v>3342</v>
      </c>
      <c r="G226" s="58" t="s">
        <v>3342</v>
      </c>
      <c r="H226" s="58" t="s">
        <v>3342</v>
      </c>
      <c r="I226" s="58" t="s">
        <v>3877</v>
      </c>
      <c r="J226" s="58" t="s">
        <v>3342</v>
      </c>
      <c r="K226" s="58" t="s">
        <v>3868</v>
      </c>
      <c r="L226" s="58">
        <v>0.0</v>
      </c>
      <c r="M226" s="58" t="s">
        <v>3891</v>
      </c>
      <c r="N226" s="58">
        <v>3.0</v>
      </c>
      <c r="O226" s="58" t="b">
        <v>1</v>
      </c>
      <c r="P226" s="58"/>
      <c r="Q226" s="58"/>
      <c r="R226" s="59" t="str">
        <f>IF(COUNTIF('Active Employees'!B:B, B226)&gt;0,"Y","N")</f>
        <v>Y</v>
      </c>
      <c r="S226" s="58" t="s">
        <v>3874</v>
      </c>
      <c r="T226" s="58"/>
    </row>
    <row r="227">
      <c r="A227" s="58" t="s">
        <v>3147</v>
      </c>
      <c r="B227" s="58" t="s">
        <v>877</v>
      </c>
      <c r="C227" s="58" t="s">
        <v>3866</v>
      </c>
      <c r="D227" s="58" t="s">
        <v>3867</v>
      </c>
      <c r="E227" s="68">
        <v>45799.77438657408</v>
      </c>
      <c r="F227" s="58" t="s">
        <v>3342</v>
      </c>
      <c r="G227" s="58" t="s">
        <v>3342</v>
      </c>
      <c r="H227" s="58" t="s">
        <v>3342</v>
      </c>
      <c r="I227" s="58" t="s">
        <v>3877</v>
      </c>
      <c r="J227" s="58" t="s">
        <v>3342</v>
      </c>
      <c r="K227" s="58" t="s">
        <v>3868</v>
      </c>
      <c r="L227" s="58">
        <v>0.0</v>
      </c>
      <c r="M227" s="58" t="s">
        <v>3885</v>
      </c>
      <c r="N227" s="58">
        <v>2.0</v>
      </c>
      <c r="O227" s="58" t="b">
        <v>1</v>
      </c>
      <c r="P227" s="58"/>
      <c r="Q227" s="58"/>
      <c r="R227" s="59" t="str">
        <f>IF(COUNTIF('Active Employees'!B:B, B227)&gt;0,"Y","N")</f>
        <v>Y</v>
      </c>
      <c r="S227" s="58" t="s">
        <v>3874</v>
      </c>
      <c r="T227" s="58"/>
    </row>
    <row r="228">
      <c r="A228" s="58" t="s">
        <v>279</v>
      </c>
      <c r="B228" s="58" t="s">
        <v>92</v>
      </c>
      <c r="C228" s="58" t="s">
        <v>3866</v>
      </c>
      <c r="D228" s="58" t="s">
        <v>3867</v>
      </c>
      <c r="E228" s="68">
        <v>45799.77439814815</v>
      </c>
      <c r="F228" s="58" t="s">
        <v>3342</v>
      </c>
      <c r="G228" s="58" t="s">
        <v>3342</v>
      </c>
      <c r="H228" s="58" t="s">
        <v>3342</v>
      </c>
      <c r="I228" s="58" t="s">
        <v>3877</v>
      </c>
      <c r="J228" s="58" t="s">
        <v>3342</v>
      </c>
      <c r="K228" s="58" t="s">
        <v>3868</v>
      </c>
      <c r="L228" s="58">
        <v>0.0</v>
      </c>
      <c r="M228" s="58" t="s">
        <v>3974</v>
      </c>
      <c r="N228" s="58">
        <v>3.0</v>
      </c>
      <c r="O228" s="58" t="b">
        <v>1</v>
      </c>
      <c r="P228" s="58"/>
      <c r="Q228" s="58"/>
      <c r="R228" s="59" t="str">
        <f>IF(COUNTIF('Active Employees'!B:B, B228)&gt;0,"Y","N")</f>
        <v>Y</v>
      </c>
      <c r="S228" s="58" t="s">
        <v>3874</v>
      </c>
      <c r="T228" s="58"/>
    </row>
    <row r="229">
      <c r="A229" s="58" t="s">
        <v>1962</v>
      </c>
      <c r="B229" s="58" t="s">
        <v>1060</v>
      </c>
      <c r="C229" s="58" t="s">
        <v>3866</v>
      </c>
      <c r="D229" s="58" t="s">
        <v>3867</v>
      </c>
      <c r="E229" s="68">
        <v>45799.77417824074</v>
      </c>
      <c r="F229" s="58" t="s">
        <v>3342</v>
      </c>
      <c r="G229" s="58" t="s">
        <v>3342</v>
      </c>
      <c r="H229" s="58" t="s">
        <v>3342</v>
      </c>
      <c r="I229" s="58" t="s">
        <v>3877</v>
      </c>
      <c r="J229" s="58" t="s">
        <v>3342</v>
      </c>
      <c r="K229" s="58" t="s">
        <v>3868</v>
      </c>
      <c r="L229" s="58">
        <v>0.0</v>
      </c>
      <c r="M229" s="58" t="s">
        <v>3918</v>
      </c>
      <c r="N229" s="58">
        <v>2.0</v>
      </c>
      <c r="O229" s="58" t="b">
        <v>1</v>
      </c>
      <c r="P229" s="58"/>
      <c r="Q229" s="58"/>
      <c r="R229" s="59" t="str">
        <f>IF(COUNTIF('Active Employees'!B:B, B229)&gt;0,"Y","N")</f>
        <v>Y</v>
      </c>
      <c r="S229" s="58" t="s">
        <v>3874</v>
      </c>
      <c r="T229" s="58"/>
    </row>
    <row r="230">
      <c r="A230" s="58" t="s">
        <v>3279</v>
      </c>
      <c r="B230" s="58" t="s">
        <v>502</v>
      </c>
      <c r="C230" s="58" t="s">
        <v>3866</v>
      </c>
      <c r="D230" s="58" t="s">
        <v>3867</v>
      </c>
      <c r="E230" s="68">
        <v>45880.61653935185</v>
      </c>
      <c r="F230" s="58" t="s">
        <v>3342</v>
      </c>
      <c r="G230" s="58" t="s">
        <v>3342</v>
      </c>
      <c r="H230" s="58" t="s">
        <v>3342</v>
      </c>
      <c r="I230" s="58" t="s">
        <v>3877</v>
      </c>
      <c r="J230" s="58" t="s">
        <v>3342</v>
      </c>
      <c r="K230" s="58" t="s">
        <v>3868</v>
      </c>
      <c r="L230" s="58">
        <v>0.0</v>
      </c>
      <c r="M230" s="58" t="s">
        <v>3891</v>
      </c>
      <c r="N230" s="58">
        <v>3.0</v>
      </c>
      <c r="O230" s="58" t="b">
        <v>1</v>
      </c>
      <c r="P230" s="58"/>
      <c r="Q230" s="58"/>
      <c r="R230" s="59" t="str">
        <f>IF(COUNTIF('Active Employees'!B:B, B230)&gt;0,"Y","N")</f>
        <v>Y</v>
      </c>
      <c r="S230" s="58" t="s">
        <v>3874</v>
      </c>
      <c r="T230" s="58"/>
    </row>
    <row r="231">
      <c r="A231" s="58" t="s">
        <v>4039</v>
      </c>
      <c r="B231" s="58" t="s">
        <v>1303</v>
      </c>
      <c r="C231" s="58" t="s">
        <v>3866</v>
      </c>
      <c r="D231" s="58" t="s">
        <v>3867</v>
      </c>
      <c r="E231" s="68">
        <v>45799.77439814815</v>
      </c>
      <c r="F231" s="58" t="s">
        <v>3342</v>
      </c>
      <c r="G231" s="58" t="s">
        <v>3342</v>
      </c>
      <c r="H231" s="58" t="s">
        <v>3342</v>
      </c>
      <c r="I231" s="58" t="s">
        <v>3877</v>
      </c>
      <c r="J231" s="58" t="s">
        <v>3342</v>
      </c>
      <c r="K231" s="58" t="s">
        <v>3868</v>
      </c>
      <c r="L231" s="58">
        <v>0.0</v>
      </c>
      <c r="M231" s="58" t="s">
        <v>3974</v>
      </c>
      <c r="N231" s="58">
        <v>3.0</v>
      </c>
      <c r="O231" s="58" t="b">
        <v>1</v>
      </c>
      <c r="P231" s="58"/>
      <c r="Q231" s="58"/>
      <c r="R231" s="59" t="str">
        <f>IF(COUNTIF('Active Employees'!B:B, B231)&gt;0,"Y","N")</f>
        <v>Y</v>
      </c>
      <c r="S231" s="58" t="s">
        <v>3874</v>
      </c>
      <c r="T231" s="58"/>
    </row>
    <row r="232">
      <c r="A232" s="58" t="s">
        <v>742</v>
      </c>
      <c r="B232" s="58" t="s">
        <v>1377</v>
      </c>
      <c r="C232" s="58" t="s">
        <v>3866</v>
      </c>
      <c r="D232" s="58" t="s">
        <v>3867</v>
      </c>
      <c r="E232" s="68">
        <v>45799.7743287037</v>
      </c>
      <c r="F232" s="58" t="s">
        <v>3342</v>
      </c>
      <c r="G232" s="58" t="s">
        <v>3342</v>
      </c>
      <c r="H232" s="58" t="s">
        <v>3342</v>
      </c>
      <c r="I232" s="58" t="s">
        <v>3877</v>
      </c>
      <c r="J232" s="58" t="s">
        <v>3342</v>
      </c>
      <c r="K232" s="58" t="s">
        <v>3868</v>
      </c>
      <c r="L232" s="58">
        <v>0.0</v>
      </c>
      <c r="M232" s="58" t="s">
        <v>3891</v>
      </c>
      <c r="N232" s="58">
        <v>3.0</v>
      </c>
      <c r="O232" s="58" t="b">
        <v>1</v>
      </c>
      <c r="P232" s="58"/>
      <c r="Q232" s="58"/>
      <c r="R232" s="59" t="str">
        <f>IF(COUNTIF('Active Employees'!B:B, B232)&gt;0,"Y","N")</f>
        <v>Y</v>
      </c>
      <c r="S232" s="58" t="s">
        <v>3874</v>
      </c>
      <c r="T232" s="58"/>
    </row>
    <row r="233">
      <c r="A233" s="58" t="s">
        <v>3006</v>
      </c>
      <c r="B233" s="58" t="s">
        <v>444</v>
      </c>
      <c r="C233" s="58" t="s">
        <v>3866</v>
      </c>
      <c r="D233" s="58" t="s">
        <v>3867</v>
      </c>
      <c r="E233" s="68">
        <v>45799.774247685185</v>
      </c>
      <c r="F233" s="58" t="s">
        <v>3342</v>
      </c>
      <c r="G233" s="58" t="s">
        <v>3342</v>
      </c>
      <c r="H233" s="58" t="s">
        <v>3342</v>
      </c>
      <c r="I233" s="58" t="s">
        <v>3877</v>
      </c>
      <c r="J233" s="58" t="s">
        <v>3342</v>
      </c>
      <c r="K233" s="58" t="s">
        <v>3868</v>
      </c>
      <c r="L233" s="58">
        <v>0.0</v>
      </c>
      <c r="M233" s="58" t="s">
        <v>3918</v>
      </c>
      <c r="N233" s="58">
        <v>2.0</v>
      </c>
      <c r="O233" s="58" t="b">
        <v>1</v>
      </c>
      <c r="P233" s="58"/>
      <c r="Q233" s="58"/>
      <c r="R233" s="59" t="str">
        <f>IF(COUNTIF('Active Employees'!B:B, B233)&gt;0,"Y","N")</f>
        <v>Y</v>
      </c>
      <c r="S233" s="58" t="s">
        <v>3874</v>
      </c>
      <c r="T233" s="58"/>
    </row>
    <row r="234">
      <c r="A234" s="58" t="s">
        <v>435</v>
      </c>
      <c r="B234" s="58" t="s">
        <v>497</v>
      </c>
      <c r="C234" s="58" t="s">
        <v>3866</v>
      </c>
      <c r="D234" s="58" t="s">
        <v>3867</v>
      </c>
      <c r="E234" s="68">
        <v>45799.7753125</v>
      </c>
      <c r="F234" s="58" t="s">
        <v>3342</v>
      </c>
      <c r="G234" s="58" t="s">
        <v>3342</v>
      </c>
      <c r="H234" s="58" t="s">
        <v>3342</v>
      </c>
      <c r="I234" s="58" t="s">
        <v>3877</v>
      </c>
      <c r="J234" s="58" t="s">
        <v>3342</v>
      </c>
      <c r="K234" s="58" t="s">
        <v>3868</v>
      </c>
      <c r="L234" s="58">
        <v>0.0</v>
      </c>
      <c r="M234" s="58" t="s">
        <v>3885</v>
      </c>
      <c r="N234" s="58">
        <v>2.0</v>
      </c>
      <c r="O234" s="58" t="b">
        <v>1</v>
      </c>
      <c r="P234" s="58"/>
      <c r="Q234" s="58"/>
      <c r="R234" s="59" t="str">
        <f>IF(COUNTIF('Active Employees'!B:B, B234)&gt;0,"Y","N")</f>
        <v>Y</v>
      </c>
      <c r="S234" s="58" t="s">
        <v>3874</v>
      </c>
      <c r="T234" s="58"/>
    </row>
    <row r="235">
      <c r="A235" s="58" t="s">
        <v>4040</v>
      </c>
      <c r="B235" s="58" t="s">
        <v>1420</v>
      </c>
      <c r="C235" s="58" t="s">
        <v>3866</v>
      </c>
      <c r="D235" s="58" t="s">
        <v>3867</v>
      </c>
      <c r="E235" s="68">
        <v>45799.77422453704</v>
      </c>
      <c r="F235" s="58" t="s">
        <v>3342</v>
      </c>
      <c r="G235" s="58" t="s">
        <v>3342</v>
      </c>
      <c r="H235" s="58" t="s">
        <v>3342</v>
      </c>
      <c r="I235" s="58" t="s">
        <v>3877</v>
      </c>
      <c r="J235" s="58" t="s">
        <v>3342</v>
      </c>
      <c r="K235" s="58" t="s">
        <v>3868</v>
      </c>
      <c r="L235" s="58">
        <v>0.0</v>
      </c>
      <c r="M235" s="58" t="s">
        <v>3918</v>
      </c>
      <c r="N235" s="58">
        <v>2.0</v>
      </c>
      <c r="O235" s="58" t="b">
        <v>1</v>
      </c>
      <c r="P235" s="58"/>
      <c r="Q235" s="58"/>
      <c r="R235" s="59" t="str">
        <f>IF(COUNTIF('Active Employees'!B:B, B235)&gt;0,"Y","N")</f>
        <v>Y</v>
      </c>
      <c r="S235" s="58" t="s">
        <v>3874</v>
      </c>
      <c r="T235" s="58"/>
    </row>
    <row r="236">
      <c r="A236" s="58" t="s">
        <v>3175</v>
      </c>
      <c r="B236" s="58" t="s">
        <v>1320</v>
      </c>
      <c r="C236" s="58" t="s">
        <v>3866</v>
      </c>
      <c r="D236" s="58" t="s">
        <v>3867</v>
      </c>
      <c r="E236" s="68">
        <v>45799.7752662037</v>
      </c>
      <c r="F236" s="58" t="s">
        <v>3342</v>
      </c>
      <c r="G236" s="58" t="s">
        <v>3342</v>
      </c>
      <c r="H236" s="58" t="s">
        <v>3342</v>
      </c>
      <c r="I236" s="58" t="s">
        <v>3877</v>
      </c>
      <c r="J236" s="58" t="s">
        <v>3342</v>
      </c>
      <c r="K236" s="58" t="s">
        <v>3868</v>
      </c>
      <c r="L236" s="58">
        <v>0.0</v>
      </c>
      <c r="M236" s="58" t="s">
        <v>3885</v>
      </c>
      <c r="N236" s="58">
        <v>2.0</v>
      </c>
      <c r="O236" s="58" t="b">
        <v>1</v>
      </c>
      <c r="P236" s="58"/>
      <c r="Q236" s="58"/>
      <c r="R236" s="59" t="str">
        <f>IF(COUNTIF('Active Employees'!B:B, B236)&gt;0,"Y","N")</f>
        <v>Y</v>
      </c>
      <c r="S236" s="58" t="s">
        <v>3874</v>
      </c>
      <c r="T236" s="58"/>
    </row>
    <row r="237">
      <c r="A237" s="58" t="s">
        <v>3027</v>
      </c>
      <c r="B237" s="58" t="s">
        <v>850</v>
      </c>
      <c r="C237" s="58" t="s">
        <v>3866</v>
      </c>
      <c r="D237" s="58" t="s">
        <v>3867</v>
      </c>
      <c r="E237" s="68">
        <v>45799.774409722224</v>
      </c>
      <c r="F237" s="58" t="s">
        <v>3342</v>
      </c>
      <c r="G237" s="58" t="s">
        <v>3342</v>
      </c>
      <c r="H237" s="58" t="s">
        <v>3342</v>
      </c>
      <c r="I237" s="58" t="s">
        <v>3877</v>
      </c>
      <c r="J237" s="58" t="s">
        <v>3342</v>
      </c>
      <c r="K237" s="58" t="s">
        <v>3868</v>
      </c>
      <c r="L237" s="58">
        <v>0.0</v>
      </c>
      <c r="M237" s="58" t="s">
        <v>3885</v>
      </c>
      <c r="N237" s="58">
        <v>2.0</v>
      </c>
      <c r="O237" s="58" t="b">
        <v>1</v>
      </c>
      <c r="P237" s="58"/>
      <c r="Q237" s="58"/>
      <c r="R237" s="59" t="str">
        <f>IF(COUNTIF('Active Employees'!B:B, B237)&gt;0,"Y","N")</f>
        <v>Y</v>
      </c>
      <c r="S237" s="58" t="s">
        <v>3874</v>
      </c>
      <c r="T237" s="58"/>
    </row>
    <row r="238">
      <c r="A238" s="58" t="s">
        <v>4041</v>
      </c>
      <c r="B238" s="58" t="s">
        <v>787</v>
      </c>
      <c r="C238" s="58" t="s">
        <v>3866</v>
      </c>
      <c r="D238" s="58" t="s">
        <v>3867</v>
      </c>
      <c r="E238" s="68">
        <v>45895.453564814816</v>
      </c>
      <c r="F238" s="58" t="s">
        <v>3342</v>
      </c>
      <c r="G238" s="58" t="s">
        <v>3342</v>
      </c>
      <c r="H238" s="58" t="s">
        <v>3342</v>
      </c>
      <c r="I238" s="58" t="s">
        <v>3877</v>
      </c>
      <c r="J238" s="58" t="s">
        <v>3342</v>
      </c>
      <c r="K238" s="58" t="s">
        <v>3868</v>
      </c>
      <c r="L238" s="58">
        <v>0.0</v>
      </c>
      <c r="M238" s="58" t="s">
        <v>3974</v>
      </c>
      <c r="N238" s="58">
        <v>3.0</v>
      </c>
      <c r="O238" s="58" t="b">
        <v>1</v>
      </c>
      <c r="P238" s="58"/>
      <c r="Q238" s="58"/>
      <c r="R238" s="59" t="str">
        <f>IF(COUNTIF('Active Employees'!B:B, B238)&gt;0,"Y","N")</f>
        <v>Y</v>
      </c>
      <c r="S238" s="58" t="s">
        <v>3874</v>
      </c>
      <c r="T238" s="58"/>
    </row>
    <row r="239">
      <c r="A239" s="58" t="s">
        <v>1897</v>
      </c>
      <c r="B239" s="58" t="s">
        <v>809</v>
      </c>
      <c r="C239" s="58" t="s">
        <v>3866</v>
      </c>
      <c r="D239" s="58" t="s">
        <v>3867</v>
      </c>
      <c r="E239" s="68">
        <v>45799.7740162037</v>
      </c>
      <c r="F239" s="68">
        <v>45842.794895833336</v>
      </c>
      <c r="G239" s="58">
        <v>90.0</v>
      </c>
      <c r="H239" s="58" t="s">
        <v>3342</v>
      </c>
      <c r="I239" s="58" t="s">
        <v>3877</v>
      </c>
      <c r="J239" s="58" t="s">
        <v>3342</v>
      </c>
      <c r="K239" s="58" t="s">
        <v>3868</v>
      </c>
      <c r="L239" s="58">
        <v>21.0</v>
      </c>
      <c r="M239" s="58" t="s">
        <v>3911</v>
      </c>
      <c r="N239" s="58">
        <v>3.0</v>
      </c>
      <c r="O239" s="58" t="b">
        <v>1</v>
      </c>
      <c r="P239" s="58"/>
      <c r="Q239" s="58"/>
      <c r="R239" s="59" t="str">
        <f>IF(COUNTIF('Active Employees'!B:B, B239)&gt;0,"Y","N")</f>
        <v>Y</v>
      </c>
      <c r="S239" s="58"/>
      <c r="T239" s="58"/>
    </row>
    <row r="240">
      <c r="A240" s="58" t="s">
        <v>3117</v>
      </c>
      <c r="B240" s="58" t="s">
        <v>106</v>
      </c>
      <c r="C240" s="58" t="s">
        <v>3866</v>
      </c>
      <c r="D240" s="58" t="s">
        <v>3867</v>
      </c>
      <c r="E240" s="68">
        <v>45799.77417824074</v>
      </c>
      <c r="F240" s="68">
        <v>45845.66609953704</v>
      </c>
      <c r="G240" s="58">
        <v>87.0</v>
      </c>
      <c r="H240" s="58" t="s">
        <v>3342</v>
      </c>
      <c r="I240" s="58" t="s">
        <v>3877</v>
      </c>
      <c r="J240" s="58" t="s">
        <v>3342</v>
      </c>
      <c r="K240" s="58" t="s">
        <v>3868</v>
      </c>
      <c r="L240" s="58">
        <v>12.0</v>
      </c>
      <c r="M240" s="58" t="s">
        <v>3918</v>
      </c>
      <c r="N240" s="58">
        <v>2.0</v>
      </c>
      <c r="O240" s="58" t="b">
        <v>1</v>
      </c>
      <c r="P240" s="58"/>
      <c r="Q240" s="58"/>
      <c r="R240" s="59" t="str">
        <f>IF(COUNTIF('Active Employees'!B:B, B240)&gt;0,"Y","N")</f>
        <v>Y</v>
      </c>
      <c r="S240" s="58"/>
      <c r="T240" s="58"/>
    </row>
    <row r="241">
      <c r="A241" s="58" t="s">
        <v>3219</v>
      </c>
      <c r="B241" s="58" t="s">
        <v>1294</v>
      </c>
      <c r="C241" s="58" t="s">
        <v>3866</v>
      </c>
      <c r="D241" s="58" t="s">
        <v>3867</v>
      </c>
      <c r="E241" s="68">
        <v>45799.77521990741</v>
      </c>
      <c r="F241" s="68">
        <v>45847.607939814814</v>
      </c>
      <c r="G241" s="58">
        <v>85.0</v>
      </c>
      <c r="H241" s="58" t="s">
        <v>3342</v>
      </c>
      <c r="I241" s="58" t="s">
        <v>3877</v>
      </c>
      <c r="J241" s="58" t="s">
        <v>3342</v>
      </c>
      <c r="K241" s="58" t="s">
        <v>3868</v>
      </c>
      <c r="L241" s="58">
        <v>1.0</v>
      </c>
      <c r="M241" s="58" t="s">
        <v>3885</v>
      </c>
      <c r="N241" s="58">
        <v>2.0</v>
      </c>
      <c r="O241" s="58" t="b">
        <v>1</v>
      </c>
      <c r="P241" s="58"/>
      <c r="Q241" s="58"/>
      <c r="R241" s="59" t="str">
        <f>IF(COUNTIF('Active Employees'!B:B, B241)&gt;0,"Y","N")</f>
        <v>Y</v>
      </c>
      <c r="S241" s="58"/>
      <c r="T241" s="58"/>
    </row>
    <row r="242">
      <c r="A242" s="58" t="s">
        <v>3025</v>
      </c>
      <c r="B242" s="58" t="s">
        <v>608</v>
      </c>
      <c r="C242" s="58" t="s">
        <v>4009</v>
      </c>
      <c r="D242" s="58" t="s">
        <v>4010</v>
      </c>
      <c r="E242" s="68">
        <v>45799.77421296296</v>
      </c>
      <c r="F242" s="68">
        <v>45848.598645833335</v>
      </c>
      <c r="G242" s="58">
        <v>84.0</v>
      </c>
      <c r="H242" s="58" t="s">
        <v>3342</v>
      </c>
      <c r="I242" s="58" t="s">
        <v>3877</v>
      </c>
      <c r="J242" s="58" t="s">
        <v>3342</v>
      </c>
      <c r="K242" s="58" t="s">
        <v>4011</v>
      </c>
      <c r="L242" s="58">
        <v>46.0</v>
      </c>
      <c r="M242" s="58" t="s">
        <v>3918</v>
      </c>
      <c r="N242" s="58">
        <v>2.0</v>
      </c>
      <c r="O242" s="58" t="b">
        <v>1</v>
      </c>
      <c r="P242" s="58"/>
      <c r="Q242" s="58"/>
      <c r="R242" s="59" t="str">
        <f>IF(COUNTIF('Active Employees'!B:B, B242)&gt;0,"Y","N")</f>
        <v>Y</v>
      </c>
      <c r="S242" s="58"/>
      <c r="T242" s="58"/>
    </row>
    <row r="243">
      <c r="A243" s="58" t="s">
        <v>3086</v>
      </c>
      <c r="B243" s="58" t="s">
        <v>1286</v>
      </c>
      <c r="C243" s="58" t="s">
        <v>3866</v>
      </c>
      <c r="D243" s="58" t="s">
        <v>3867</v>
      </c>
      <c r="E243" s="68">
        <v>45799.77439814815</v>
      </c>
      <c r="F243" s="68">
        <v>45848.55521990741</v>
      </c>
      <c r="G243" s="58">
        <v>84.0</v>
      </c>
      <c r="H243" s="58" t="s">
        <v>3342</v>
      </c>
      <c r="I243" s="58" t="s">
        <v>3877</v>
      </c>
      <c r="J243" s="58" t="s">
        <v>3342</v>
      </c>
      <c r="K243" s="58" t="s">
        <v>3868</v>
      </c>
      <c r="L243" s="58">
        <v>29.0</v>
      </c>
      <c r="M243" s="58" t="s">
        <v>3885</v>
      </c>
      <c r="N243" s="58">
        <v>2.0</v>
      </c>
      <c r="O243" s="58" t="b">
        <v>1</v>
      </c>
      <c r="P243" s="58"/>
      <c r="Q243" s="58"/>
      <c r="R243" s="59" t="str">
        <f>IF(COUNTIF('Active Employees'!B:B, B243)&gt;0,"Y","N")</f>
        <v>Y</v>
      </c>
      <c r="S243" s="58"/>
      <c r="T243" s="58"/>
    </row>
    <row r="244">
      <c r="A244" s="58" t="s">
        <v>1924</v>
      </c>
      <c r="B244" s="58" t="s">
        <v>1301</v>
      </c>
      <c r="C244" s="58" t="s">
        <v>3866</v>
      </c>
      <c r="D244" s="58" t="s">
        <v>3867</v>
      </c>
      <c r="E244" s="68">
        <v>45799.77417824074</v>
      </c>
      <c r="F244" s="68">
        <v>45848.849224537036</v>
      </c>
      <c r="G244" s="58">
        <v>84.0</v>
      </c>
      <c r="H244" s="58" t="s">
        <v>3342</v>
      </c>
      <c r="I244" s="58" t="s">
        <v>3877</v>
      </c>
      <c r="J244" s="58" t="s">
        <v>3342</v>
      </c>
      <c r="K244" s="58" t="s">
        <v>3868</v>
      </c>
      <c r="L244" s="58">
        <v>8.0</v>
      </c>
      <c r="M244" s="58" t="s">
        <v>3918</v>
      </c>
      <c r="N244" s="58">
        <v>2.0</v>
      </c>
      <c r="O244" s="58" t="b">
        <v>1</v>
      </c>
      <c r="P244" s="58"/>
      <c r="Q244" s="58"/>
      <c r="R244" s="59" t="str">
        <f>IF(COUNTIF('Active Employees'!B:B, B244)&gt;0,"Y","N")</f>
        <v>Y</v>
      </c>
      <c r="S244" s="58"/>
      <c r="T244" s="58"/>
    </row>
    <row r="245">
      <c r="A245" s="58" t="s">
        <v>4042</v>
      </c>
      <c r="B245" s="58" t="s">
        <v>1026</v>
      </c>
      <c r="C245" s="58" t="s">
        <v>3866</v>
      </c>
      <c r="D245" s="58" t="s">
        <v>3867</v>
      </c>
      <c r="E245" s="68">
        <v>45799.774247685185</v>
      </c>
      <c r="F245" s="68">
        <v>45848.60675925926</v>
      </c>
      <c r="G245" s="58">
        <v>84.0</v>
      </c>
      <c r="H245" s="58" t="s">
        <v>3342</v>
      </c>
      <c r="I245" s="58" t="s">
        <v>3877</v>
      </c>
      <c r="J245" s="58" t="s">
        <v>3342</v>
      </c>
      <c r="K245" s="58" t="s">
        <v>3868</v>
      </c>
      <c r="L245" s="58">
        <v>1.0</v>
      </c>
      <c r="M245" s="58" t="s">
        <v>3918</v>
      </c>
      <c r="N245" s="58">
        <v>2.0</v>
      </c>
      <c r="O245" s="58" t="b">
        <v>1</v>
      </c>
      <c r="P245" s="58"/>
      <c r="Q245" s="58"/>
      <c r="R245" s="59" t="str">
        <f>IF(COUNTIF('Active Employees'!B:B, B245)&gt;0,"Y","N")</f>
        <v>Y</v>
      </c>
      <c r="S245" s="58"/>
      <c r="T245" s="58"/>
    </row>
    <row r="246">
      <c r="A246" s="58" t="s">
        <v>3164</v>
      </c>
      <c r="B246" s="58" t="s">
        <v>826</v>
      </c>
      <c r="C246" s="58" t="s">
        <v>3866</v>
      </c>
      <c r="D246" s="58" t="s">
        <v>3867</v>
      </c>
      <c r="E246" s="68">
        <v>45831.64879629629</v>
      </c>
      <c r="F246" s="68">
        <v>45849.541967592595</v>
      </c>
      <c r="G246" s="58">
        <v>83.0</v>
      </c>
      <c r="H246" s="58" t="s">
        <v>3342</v>
      </c>
      <c r="I246" s="58" t="s">
        <v>3877</v>
      </c>
      <c r="J246" s="58" t="s">
        <v>3342</v>
      </c>
      <c r="K246" s="58" t="s">
        <v>3868</v>
      </c>
      <c r="L246" s="58">
        <v>23.0</v>
      </c>
      <c r="M246" s="58" t="s">
        <v>3878</v>
      </c>
      <c r="N246" s="58">
        <v>2.0</v>
      </c>
      <c r="O246" s="58" t="b">
        <v>1</v>
      </c>
      <c r="P246" s="58"/>
      <c r="Q246" s="58"/>
      <c r="R246" s="59" t="str">
        <f>IF(COUNTIF('Active Employees'!B:B, B246)&gt;0,"Y","N")</f>
        <v>Y</v>
      </c>
      <c r="S246" s="58"/>
      <c r="T246" s="58"/>
    </row>
    <row r="247">
      <c r="A247" s="58" t="s">
        <v>2961</v>
      </c>
      <c r="B247" s="58" t="s">
        <v>669</v>
      </c>
      <c r="C247" s="58" t="s">
        <v>3866</v>
      </c>
      <c r="D247" s="58" t="s">
        <v>3867</v>
      </c>
      <c r="E247" s="68">
        <v>45799.774201388886</v>
      </c>
      <c r="F247" s="68">
        <v>45849.490335648145</v>
      </c>
      <c r="G247" s="58">
        <v>83.0</v>
      </c>
      <c r="H247" s="58" t="s">
        <v>3342</v>
      </c>
      <c r="I247" s="58" t="s">
        <v>3877</v>
      </c>
      <c r="J247" s="58" t="s">
        <v>3342</v>
      </c>
      <c r="K247" s="58" t="s">
        <v>3868</v>
      </c>
      <c r="L247" s="58">
        <v>25.0</v>
      </c>
      <c r="M247" s="58" t="s">
        <v>3918</v>
      </c>
      <c r="N247" s="58">
        <v>2.0</v>
      </c>
      <c r="O247" s="58" t="b">
        <v>1</v>
      </c>
      <c r="P247" s="58"/>
      <c r="Q247" s="58"/>
      <c r="R247" s="59" t="str">
        <f>IF(COUNTIF('Active Employees'!B:B, B247)&gt;0,"Y","N")</f>
        <v>Y</v>
      </c>
      <c r="S247" s="58"/>
      <c r="T247" s="58"/>
    </row>
    <row r="248">
      <c r="A248" s="58" t="s">
        <v>3209</v>
      </c>
      <c r="B248" s="58" t="s">
        <v>950</v>
      </c>
      <c r="C248" s="58" t="s">
        <v>3866</v>
      </c>
      <c r="D248" s="58" t="s">
        <v>3867</v>
      </c>
      <c r="E248" s="68">
        <v>45799.77480324074</v>
      </c>
      <c r="F248" s="68">
        <v>45852.8846875</v>
      </c>
      <c r="G248" s="58">
        <v>80.0</v>
      </c>
      <c r="H248" s="58" t="s">
        <v>3342</v>
      </c>
      <c r="I248" s="58" t="s">
        <v>3877</v>
      </c>
      <c r="J248" s="58" t="s">
        <v>3342</v>
      </c>
      <c r="K248" s="58" t="s">
        <v>3868</v>
      </c>
      <c r="L248" s="58">
        <v>67.0</v>
      </c>
      <c r="M248" s="58" t="s">
        <v>3869</v>
      </c>
      <c r="N248" s="58">
        <v>2.0</v>
      </c>
      <c r="O248" s="58" t="b">
        <v>1</v>
      </c>
      <c r="P248" s="58"/>
      <c r="Q248" s="58"/>
      <c r="R248" s="59" t="str">
        <f>IF(COUNTIF('Active Employees'!B:B, B248)&gt;0,"Y","N")</f>
        <v>Y</v>
      </c>
      <c r="S248" s="58"/>
      <c r="T248" s="58"/>
    </row>
    <row r="249">
      <c r="A249" s="58" t="s">
        <v>4043</v>
      </c>
      <c r="B249" s="58" t="s">
        <v>1116</v>
      </c>
      <c r="C249" s="58" t="s">
        <v>3866</v>
      </c>
      <c r="D249" s="58" t="s">
        <v>3867</v>
      </c>
      <c r="E249" s="68">
        <v>45833.728472222225</v>
      </c>
      <c r="F249" s="68">
        <v>45852.65866898148</v>
      </c>
      <c r="G249" s="58">
        <v>80.0</v>
      </c>
      <c r="H249" s="58" t="s">
        <v>3342</v>
      </c>
      <c r="I249" s="58" t="s">
        <v>3877</v>
      </c>
      <c r="J249" s="58" t="s">
        <v>3342</v>
      </c>
      <c r="K249" s="58" t="s">
        <v>3868</v>
      </c>
      <c r="L249" s="58">
        <v>13.0</v>
      </c>
      <c r="M249" s="58" t="s">
        <v>3918</v>
      </c>
      <c r="N249" s="58">
        <v>2.0</v>
      </c>
      <c r="O249" s="58" t="b">
        <v>1</v>
      </c>
      <c r="P249" s="58"/>
      <c r="Q249" s="58"/>
      <c r="R249" s="59" t="str">
        <f>IF(COUNTIF('Active Employees'!B:B, B249)&gt;0,"Y","N")</f>
        <v>Y</v>
      </c>
      <c r="S249" s="58"/>
      <c r="T249" s="58"/>
    </row>
    <row r="250">
      <c r="A250" s="58" t="s">
        <v>3118</v>
      </c>
      <c r="B250" s="58" t="s">
        <v>285</v>
      </c>
      <c r="C250" s="58" t="s">
        <v>3866</v>
      </c>
      <c r="D250" s="58" t="s">
        <v>3867</v>
      </c>
      <c r="E250" s="68">
        <v>45799.77425925926</v>
      </c>
      <c r="F250" s="68">
        <v>45856.55263888889</v>
      </c>
      <c r="G250" s="58">
        <v>76.0</v>
      </c>
      <c r="H250" s="58" t="s">
        <v>3342</v>
      </c>
      <c r="I250" s="58" t="s">
        <v>3877</v>
      </c>
      <c r="J250" s="58" t="s">
        <v>3342</v>
      </c>
      <c r="K250" s="58" t="s">
        <v>3868</v>
      </c>
      <c r="L250" s="58">
        <v>23.0</v>
      </c>
      <c r="M250" s="58" t="s">
        <v>3918</v>
      </c>
      <c r="N250" s="58">
        <v>2.0</v>
      </c>
      <c r="O250" s="58" t="b">
        <v>1</v>
      </c>
      <c r="P250" s="58"/>
      <c r="Q250" s="58"/>
      <c r="R250" s="59" t="str">
        <f>IF(COUNTIF('Active Employees'!B:B, B250)&gt;0,"Y","N")</f>
        <v>Y</v>
      </c>
      <c r="S250" s="58"/>
      <c r="T250" s="58"/>
    </row>
    <row r="251">
      <c r="A251" s="58" t="s">
        <v>3145</v>
      </c>
      <c r="B251" s="58" t="s">
        <v>25</v>
      </c>
      <c r="C251" s="58" t="s">
        <v>3866</v>
      </c>
      <c r="D251" s="58" t="s">
        <v>3867</v>
      </c>
      <c r="E251" s="68">
        <v>45799.77417824074</v>
      </c>
      <c r="F251" s="68">
        <v>45856.71166666667</v>
      </c>
      <c r="G251" s="58">
        <v>76.0</v>
      </c>
      <c r="H251" s="58" t="s">
        <v>3342</v>
      </c>
      <c r="I251" s="58" t="s">
        <v>3877</v>
      </c>
      <c r="J251" s="58" t="s">
        <v>3342</v>
      </c>
      <c r="K251" s="58" t="s">
        <v>3868</v>
      </c>
      <c r="L251" s="58">
        <v>1.0</v>
      </c>
      <c r="M251" s="58" t="s">
        <v>3918</v>
      </c>
      <c r="N251" s="58">
        <v>2.0</v>
      </c>
      <c r="O251" s="58" t="b">
        <v>1</v>
      </c>
      <c r="P251" s="58"/>
      <c r="Q251" s="58"/>
      <c r="R251" s="59" t="str">
        <f>IF(COUNTIF('Active Employees'!B:B, B251)&gt;0,"Y","N")</f>
        <v>Y</v>
      </c>
      <c r="S251" s="58"/>
      <c r="T251" s="58"/>
    </row>
    <row r="252">
      <c r="A252" s="58" t="s">
        <v>4044</v>
      </c>
      <c r="B252" s="58" t="s">
        <v>302</v>
      </c>
      <c r="C252" s="58" t="s">
        <v>3866</v>
      </c>
      <c r="D252" s="58" t="s">
        <v>3867</v>
      </c>
      <c r="E252" s="68">
        <v>45799.77416666667</v>
      </c>
      <c r="F252" s="68">
        <v>45856.96011574074</v>
      </c>
      <c r="G252" s="58">
        <v>76.0</v>
      </c>
      <c r="H252" s="58" t="s">
        <v>3342</v>
      </c>
      <c r="I252" s="58" t="s">
        <v>3877</v>
      </c>
      <c r="J252" s="58" t="s">
        <v>3342</v>
      </c>
      <c r="K252" s="58" t="s">
        <v>3868</v>
      </c>
      <c r="L252" s="58">
        <v>5.0</v>
      </c>
      <c r="M252" s="58" t="s">
        <v>3918</v>
      </c>
      <c r="N252" s="58">
        <v>2.0</v>
      </c>
      <c r="O252" s="58" t="b">
        <v>1</v>
      </c>
      <c r="P252" s="58"/>
      <c r="Q252" s="58"/>
      <c r="R252" s="59" t="str">
        <f>IF(COUNTIF('Active Employees'!B:B, B252)&gt;0,"Y","N")</f>
        <v>Y</v>
      </c>
      <c r="S252" s="58"/>
      <c r="T252" s="58"/>
    </row>
    <row r="253">
      <c r="A253" s="58" t="s">
        <v>3049</v>
      </c>
      <c r="B253" s="58" t="s">
        <v>622</v>
      </c>
      <c r="C253" s="58" t="s">
        <v>3866</v>
      </c>
      <c r="D253" s="58" t="s">
        <v>3867</v>
      </c>
      <c r="E253" s="68">
        <v>45799.77425925926</v>
      </c>
      <c r="F253" s="68">
        <v>45860.61398148148</v>
      </c>
      <c r="G253" s="58">
        <v>72.0</v>
      </c>
      <c r="H253" s="58" t="s">
        <v>3342</v>
      </c>
      <c r="I253" s="58" t="s">
        <v>3877</v>
      </c>
      <c r="J253" s="58" t="s">
        <v>3342</v>
      </c>
      <c r="K253" s="58" t="s">
        <v>3868</v>
      </c>
      <c r="L253" s="58">
        <v>94.0</v>
      </c>
      <c r="M253" s="58" t="s">
        <v>3918</v>
      </c>
      <c r="N253" s="58">
        <v>2.0</v>
      </c>
      <c r="O253" s="58" t="b">
        <v>1</v>
      </c>
      <c r="P253" s="58"/>
      <c r="Q253" s="58"/>
      <c r="R253" s="59" t="str">
        <f>IF(COUNTIF('Active Employees'!B:B, B253)&gt;0,"Y","N")</f>
        <v>Y</v>
      </c>
      <c r="S253" s="58"/>
      <c r="T253" s="58"/>
    </row>
    <row r="254">
      <c r="A254" s="58" t="s">
        <v>4045</v>
      </c>
      <c r="B254" s="58" t="s">
        <v>227</v>
      </c>
      <c r="C254" s="58" t="s">
        <v>3866</v>
      </c>
      <c r="D254" s="58" t="s">
        <v>3867</v>
      </c>
      <c r="E254" s="68">
        <v>45799.81621527778</v>
      </c>
      <c r="F254" s="68">
        <v>45860.71952546296</v>
      </c>
      <c r="G254" s="58">
        <v>72.0</v>
      </c>
      <c r="H254" s="58" t="s">
        <v>3342</v>
      </c>
      <c r="I254" s="58" t="s">
        <v>3877</v>
      </c>
      <c r="J254" s="58" t="s">
        <v>3342</v>
      </c>
      <c r="K254" s="58" t="s">
        <v>3868</v>
      </c>
      <c r="L254" s="58">
        <v>4.0</v>
      </c>
      <c r="M254" s="58" t="s">
        <v>3878</v>
      </c>
      <c r="N254" s="58">
        <v>2.0</v>
      </c>
      <c r="O254" s="58" t="b">
        <v>1</v>
      </c>
      <c r="P254" s="58"/>
      <c r="Q254" s="58"/>
      <c r="R254" s="59" t="str">
        <f>IF(COUNTIF('Active Employees'!B:B, B254)&gt;0,"Y","N")</f>
        <v>Y</v>
      </c>
      <c r="S254" s="58"/>
      <c r="T254" s="58"/>
    </row>
    <row r="255">
      <c r="A255" s="58" t="s">
        <v>3080</v>
      </c>
      <c r="B255" s="58" t="s">
        <v>979</v>
      </c>
      <c r="C255" s="58" t="s">
        <v>3866</v>
      </c>
      <c r="D255" s="58" t="s">
        <v>3867</v>
      </c>
      <c r="E255" s="68">
        <v>45799.774247685185</v>
      </c>
      <c r="F255" s="68">
        <v>45860.54033564815</v>
      </c>
      <c r="G255" s="58">
        <v>72.0</v>
      </c>
      <c r="H255" s="58" t="s">
        <v>3342</v>
      </c>
      <c r="I255" s="58" t="s">
        <v>3877</v>
      </c>
      <c r="J255" s="58" t="s">
        <v>3342</v>
      </c>
      <c r="K255" s="58" t="s">
        <v>3868</v>
      </c>
      <c r="L255" s="58">
        <v>87.0</v>
      </c>
      <c r="M255" s="58" t="s">
        <v>3918</v>
      </c>
      <c r="N255" s="58">
        <v>2.0</v>
      </c>
      <c r="O255" s="58" t="b">
        <v>1</v>
      </c>
      <c r="P255" s="58"/>
      <c r="Q255" s="58"/>
      <c r="R255" s="59" t="str">
        <f>IF(COUNTIF('Active Employees'!B:B, B255)&gt;0,"Y","N")</f>
        <v>Y</v>
      </c>
      <c r="S255" s="58"/>
      <c r="T255" s="58"/>
    </row>
    <row r="256">
      <c r="A256" s="58" t="s">
        <v>3099</v>
      </c>
      <c r="B256" s="58" t="s">
        <v>864</v>
      </c>
      <c r="C256" s="58" t="s">
        <v>3866</v>
      </c>
      <c r="D256" s="58" t="s">
        <v>3867</v>
      </c>
      <c r="E256" s="68">
        <v>45799.7740162037</v>
      </c>
      <c r="F256" s="68">
        <v>45861.86519675926</v>
      </c>
      <c r="G256" s="58">
        <v>71.0</v>
      </c>
      <c r="H256" s="58" t="s">
        <v>3342</v>
      </c>
      <c r="I256" s="58" t="s">
        <v>3877</v>
      </c>
      <c r="J256" s="58" t="s">
        <v>3342</v>
      </c>
      <c r="K256" s="58" t="s">
        <v>3868</v>
      </c>
      <c r="L256" s="58">
        <v>6.0</v>
      </c>
      <c r="M256" s="58" t="s">
        <v>3911</v>
      </c>
      <c r="N256" s="58">
        <v>3.0</v>
      </c>
      <c r="O256" s="58" t="b">
        <v>1</v>
      </c>
      <c r="P256" s="58"/>
      <c r="Q256" s="58"/>
      <c r="R256" s="59" t="str">
        <f>IF(COUNTIF('Active Employees'!B:B, B256)&gt;0,"Y","N")</f>
        <v>Y</v>
      </c>
      <c r="S256" s="58"/>
      <c r="T256" s="58"/>
    </row>
    <row r="257">
      <c r="A257" s="58" t="s">
        <v>3261</v>
      </c>
      <c r="B257" s="58" t="s">
        <v>1054</v>
      </c>
      <c r="C257" s="58" t="s">
        <v>4009</v>
      </c>
      <c r="D257" s="58" t="s">
        <v>4010</v>
      </c>
      <c r="E257" s="68">
        <v>45799.77428240741</v>
      </c>
      <c r="F257" s="68">
        <v>45862.82896990741</v>
      </c>
      <c r="G257" s="58">
        <v>70.0</v>
      </c>
      <c r="H257" s="58" t="s">
        <v>3342</v>
      </c>
      <c r="I257" s="58" t="s">
        <v>3877</v>
      </c>
      <c r="J257" s="58" t="s">
        <v>3342</v>
      </c>
      <c r="K257" s="58" t="s">
        <v>4011</v>
      </c>
      <c r="L257" s="58">
        <v>61.0</v>
      </c>
      <c r="M257" s="58" t="s">
        <v>3982</v>
      </c>
      <c r="N257" s="58">
        <v>4.0</v>
      </c>
      <c r="O257" s="58" t="b">
        <v>1</v>
      </c>
      <c r="P257" s="58"/>
      <c r="Q257" s="58"/>
      <c r="R257" s="59" t="str">
        <f>IF(COUNTIF('Active Employees'!B:B, B257)&gt;0,"Y","N")</f>
        <v>Y</v>
      </c>
      <c r="S257" s="58"/>
      <c r="T257" s="58"/>
    </row>
    <row r="258">
      <c r="A258" s="58" t="s">
        <v>3112</v>
      </c>
      <c r="B258" s="58" t="s">
        <v>1405</v>
      </c>
      <c r="C258" s="58" t="s">
        <v>3866</v>
      </c>
      <c r="D258" s="58" t="s">
        <v>3867</v>
      </c>
      <c r="E258" s="68">
        <v>45845.34541666666</v>
      </c>
      <c r="F258" s="68">
        <v>45862.24412037037</v>
      </c>
      <c r="G258" s="58">
        <v>70.0</v>
      </c>
      <c r="H258" s="58" t="s">
        <v>3342</v>
      </c>
      <c r="I258" s="58" t="s">
        <v>3877</v>
      </c>
      <c r="J258" s="58" t="s">
        <v>3342</v>
      </c>
      <c r="K258" s="58" t="s">
        <v>3868</v>
      </c>
      <c r="L258" s="58">
        <v>11.0</v>
      </c>
      <c r="M258" s="58" t="s">
        <v>3918</v>
      </c>
      <c r="N258" s="58">
        <v>2.0</v>
      </c>
      <c r="O258" s="58" t="b">
        <v>1</v>
      </c>
      <c r="P258" s="58"/>
      <c r="Q258" s="58"/>
      <c r="R258" s="59" t="str">
        <f>IF(COUNTIF('Active Employees'!B:B, B258)&gt;0,"Y","N")</f>
        <v>Y</v>
      </c>
      <c r="S258" s="58"/>
      <c r="T258" s="58"/>
    </row>
    <row r="259">
      <c r="A259" s="58" t="s">
        <v>3263</v>
      </c>
      <c r="B259" s="58" t="s">
        <v>645</v>
      </c>
      <c r="C259" s="58" t="s">
        <v>3866</v>
      </c>
      <c r="D259" s="58" t="s">
        <v>3867</v>
      </c>
      <c r="E259" s="68">
        <v>45799.77417824074</v>
      </c>
      <c r="F259" s="68">
        <v>45862.62635416666</v>
      </c>
      <c r="G259" s="58">
        <v>70.0</v>
      </c>
      <c r="H259" s="58" t="s">
        <v>3342</v>
      </c>
      <c r="I259" s="58" t="s">
        <v>3877</v>
      </c>
      <c r="J259" s="58" t="s">
        <v>3342</v>
      </c>
      <c r="K259" s="58" t="s">
        <v>3868</v>
      </c>
      <c r="L259" s="58">
        <v>31.0</v>
      </c>
      <c r="M259" s="58" t="s">
        <v>3918</v>
      </c>
      <c r="N259" s="58">
        <v>2.0</v>
      </c>
      <c r="O259" s="58" t="b">
        <v>1</v>
      </c>
      <c r="P259" s="58"/>
      <c r="Q259" s="58"/>
      <c r="R259" s="59" t="str">
        <f>IF(COUNTIF('Active Employees'!B:B, B259)&gt;0,"Y","N")</f>
        <v>Y</v>
      </c>
      <c r="S259" s="58"/>
      <c r="T259" s="58"/>
    </row>
    <row r="260">
      <c r="A260" s="58" t="s">
        <v>3130</v>
      </c>
      <c r="B260" s="58" t="s">
        <v>1022</v>
      </c>
      <c r="C260" s="58" t="s">
        <v>3866</v>
      </c>
      <c r="D260" s="58" t="s">
        <v>3867</v>
      </c>
      <c r="E260" s="68">
        <v>45799.7740162037</v>
      </c>
      <c r="F260" s="68">
        <v>45867.28920138889</v>
      </c>
      <c r="G260" s="58">
        <v>65.0</v>
      </c>
      <c r="H260" s="58" t="s">
        <v>3342</v>
      </c>
      <c r="I260" s="58" t="s">
        <v>3877</v>
      </c>
      <c r="J260" s="58" t="s">
        <v>3342</v>
      </c>
      <c r="K260" s="58" t="s">
        <v>3868</v>
      </c>
      <c r="L260" s="58">
        <v>15.0</v>
      </c>
      <c r="M260" s="58" t="s">
        <v>3911</v>
      </c>
      <c r="N260" s="58">
        <v>3.0</v>
      </c>
      <c r="O260" s="58" t="b">
        <v>1</v>
      </c>
      <c r="P260" s="58"/>
      <c r="Q260" s="58"/>
      <c r="R260" s="59" t="str">
        <f>IF(COUNTIF('Active Employees'!B:B, B260)&gt;0,"Y","N")</f>
        <v>Y</v>
      </c>
      <c r="S260" s="58"/>
      <c r="T260" s="58"/>
    </row>
    <row r="261">
      <c r="A261" s="58" t="s">
        <v>2993</v>
      </c>
      <c r="B261" s="58" t="s">
        <v>413</v>
      </c>
      <c r="C261" s="58" t="s">
        <v>4009</v>
      </c>
      <c r="D261" s="58" t="s">
        <v>4010</v>
      </c>
      <c r="E261" s="68">
        <v>45799.774247685185</v>
      </c>
      <c r="F261" s="68">
        <v>45868.595046296294</v>
      </c>
      <c r="G261" s="58">
        <v>64.0</v>
      </c>
      <c r="H261" s="58" t="s">
        <v>3342</v>
      </c>
      <c r="I261" s="58" t="s">
        <v>3877</v>
      </c>
      <c r="J261" s="58" t="s">
        <v>3342</v>
      </c>
      <c r="K261" s="58" t="s">
        <v>4011</v>
      </c>
      <c r="L261" s="58">
        <v>45.0</v>
      </c>
      <c r="M261" s="58" t="s">
        <v>3918</v>
      </c>
      <c r="N261" s="58">
        <v>2.0</v>
      </c>
      <c r="O261" s="58" t="b">
        <v>1</v>
      </c>
      <c r="P261" s="58"/>
      <c r="Q261" s="58"/>
      <c r="R261" s="59" t="str">
        <f>IF(COUNTIF('Active Employees'!B:B, B261)&gt;0,"Y","N")</f>
        <v>Y</v>
      </c>
      <c r="S261" s="58"/>
      <c r="T261" s="58"/>
    </row>
    <row r="262">
      <c r="A262" s="58" t="s">
        <v>3199</v>
      </c>
      <c r="B262" s="58" t="s">
        <v>1269</v>
      </c>
      <c r="C262" s="58" t="s">
        <v>3866</v>
      </c>
      <c r="D262" s="58" t="s">
        <v>3867</v>
      </c>
      <c r="E262" s="68">
        <v>45799.700208333335</v>
      </c>
      <c r="F262" s="68">
        <v>45868.668761574074</v>
      </c>
      <c r="G262" s="58">
        <v>64.0</v>
      </c>
      <c r="H262" s="58" t="s">
        <v>3342</v>
      </c>
      <c r="I262" s="58" t="s">
        <v>3877</v>
      </c>
      <c r="J262" s="58" t="s">
        <v>3342</v>
      </c>
      <c r="K262" s="58" t="s">
        <v>3868</v>
      </c>
      <c r="L262" s="58">
        <v>15.0</v>
      </c>
      <c r="M262" s="58" t="s">
        <v>3918</v>
      </c>
      <c r="N262" s="58">
        <v>2.0</v>
      </c>
      <c r="O262" s="58" t="b">
        <v>1</v>
      </c>
      <c r="P262" s="58"/>
      <c r="Q262" s="58"/>
      <c r="R262" s="59" t="str">
        <f>IF(COUNTIF('Active Employees'!B:B, B262)&gt;0,"Y","N")</f>
        <v>Y</v>
      </c>
      <c r="S262" s="58"/>
      <c r="T262" s="58"/>
    </row>
    <row r="263">
      <c r="A263" s="58" t="s">
        <v>3058</v>
      </c>
      <c r="B263" s="58" t="s">
        <v>639</v>
      </c>
      <c r="C263" s="58" t="s">
        <v>3866</v>
      </c>
      <c r="D263" s="58" t="s">
        <v>3867</v>
      </c>
      <c r="E263" s="68">
        <v>45853.34599537037</v>
      </c>
      <c r="F263" s="68">
        <v>45869.80516203704</v>
      </c>
      <c r="G263" s="58">
        <v>63.0</v>
      </c>
      <c r="H263" s="58" t="s">
        <v>3342</v>
      </c>
      <c r="I263" s="58" t="s">
        <v>3877</v>
      </c>
      <c r="J263" s="58" t="s">
        <v>3342</v>
      </c>
      <c r="K263" s="58" t="s">
        <v>3868</v>
      </c>
      <c r="L263" s="58">
        <v>26.0</v>
      </c>
      <c r="M263" s="58" t="s">
        <v>3918</v>
      </c>
      <c r="N263" s="58">
        <v>2.0</v>
      </c>
      <c r="O263" s="58" t="b">
        <v>1</v>
      </c>
      <c r="P263" s="58"/>
      <c r="Q263" s="58"/>
      <c r="R263" s="59" t="str">
        <f>IF(COUNTIF('Active Employees'!B:B, B263)&gt;0,"Y","N")</f>
        <v>Y</v>
      </c>
      <c r="S263" s="58"/>
      <c r="T263" s="58"/>
    </row>
    <row r="264">
      <c r="A264" s="58" t="s">
        <v>41</v>
      </c>
      <c r="B264" s="58" t="s">
        <v>190</v>
      </c>
      <c r="C264" s="58" t="s">
        <v>3866</v>
      </c>
      <c r="D264" s="58" t="s">
        <v>3867</v>
      </c>
      <c r="E264" s="68">
        <v>45799.77428240741</v>
      </c>
      <c r="F264" s="68">
        <v>45873.76819444444</v>
      </c>
      <c r="G264" s="58">
        <v>59.0</v>
      </c>
      <c r="H264" s="58" t="s">
        <v>3342</v>
      </c>
      <c r="I264" s="58" t="s">
        <v>3877</v>
      </c>
      <c r="J264" s="58" t="s">
        <v>3342</v>
      </c>
      <c r="K264" s="58" t="s">
        <v>3868</v>
      </c>
      <c r="L264" s="58">
        <v>19.0</v>
      </c>
      <c r="M264" s="58" t="s">
        <v>3982</v>
      </c>
      <c r="N264" s="58">
        <v>4.0</v>
      </c>
      <c r="O264" s="58" t="b">
        <v>1</v>
      </c>
      <c r="P264" s="58"/>
      <c r="Q264" s="58"/>
      <c r="R264" s="59" t="str">
        <f>IF(COUNTIF('Active Employees'!B:B, B264)&gt;0,"Y","N")</f>
        <v>Y</v>
      </c>
      <c r="S264" s="58"/>
      <c r="T264" s="58"/>
    </row>
    <row r="265">
      <c r="A265" s="58" t="s">
        <v>1950</v>
      </c>
      <c r="B265" s="58" t="s">
        <v>905</v>
      </c>
      <c r="C265" s="58" t="s">
        <v>3866</v>
      </c>
      <c r="D265" s="58" t="s">
        <v>3867</v>
      </c>
      <c r="E265" s="68">
        <v>45799.77416666667</v>
      </c>
      <c r="F265" s="68">
        <v>45873.34755787037</v>
      </c>
      <c r="G265" s="58">
        <v>59.0</v>
      </c>
      <c r="H265" s="58" t="s">
        <v>3342</v>
      </c>
      <c r="I265" s="58" t="s">
        <v>3877</v>
      </c>
      <c r="J265" s="58" t="s">
        <v>3342</v>
      </c>
      <c r="K265" s="58" t="s">
        <v>3868</v>
      </c>
      <c r="L265" s="58">
        <v>21.0</v>
      </c>
      <c r="M265" s="58" t="s">
        <v>3918</v>
      </c>
      <c r="N265" s="58">
        <v>2.0</v>
      </c>
      <c r="O265" s="58" t="b">
        <v>1</v>
      </c>
      <c r="P265" s="58"/>
      <c r="Q265" s="58"/>
      <c r="R265" s="59" t="str">
        <f>IF(COUNTIF('Active Employees'!B:B, B265)&gt;0,"Y","N")</f>
        <v>Y</v>
      </c>
      <c r="S265" s="58"/>
      <c r="T265" s="58"/>
    </row>
    <row r="266">
      <c r="A266" s="58" t="s">
        <v>505</v>
      </c>
      <c r="B266" s="58" t="s">
        <v>740</v>
      </c>
      <c r="C266" s="58" t="s">
        <v>3866</v>
      </c>
      <c r="D266" s="58" t="s">
        <v>3867</v>
      </c>
      <c r="E266" s="68">
        <v>45799.7743287037</v>
      </c>
      <c r="F266" s="68">
        <v>45875.58106481482</v>
      </c>
      <c r="G266" s="58">
        <v>57.0</v>
      </c>
      <c r="H266" s="58" t="s">
        <v>3342</v>
      </c>
      <c r="I266" s="58" t="s">
        <v>3877</v>
      </c>
      <c r="J266" s="58" t="s">
        <v>3342</v>
      </c>
      <c r="K266" s="58" t="s">
        <v>3868</v>
      </c>
      <c r="L266" s="58">
        <v>10.0</v>
      </c>
      <c r="M266" s="58" t="s">
        <v>3891</v>
      </c>
      <c r="N266" s="58">
        <v>3.0</v>
      </c>
      <c r="O266" s="58" t="b">
        <v>1</v>
      </c>
      <c r="P266" s="58"/>
      <c r="Q266" s="58"/>
      <c r="R266" s="59" t="str">
        <f>IF(COUNTIF('Active Employees'!B:B, B266)&gt;0,"Y","N")</f>
        <v>Y</v>
      </c>
      <c r="S266" s="58"/>
      <c r="T266" s="58"/>
    </row>
    <row r="267">
      <c r="A267" s="58" t="s">
        <v>2985</v>
      </c>
      <c r="B267" s="58" t="s">
        <v>356</v>
      </c>
      <c r="C267" s="58" t="s">
        <v>3866</v>
      </c>
      <c r="D267" s="58" t="s">
        <v>3867</v>
      </c>
      <c r="E267" s="68">
        <v>45799.77402777778</v>
      </c>
      <c r="F267" s="68">
        <v>45875.84355324074</v>
      </c>
      <c r="G267" s="58">
        <v>57.0</v>
      </c>
      <c r="H267" s="58" t="s">
        <v>3342</v>
      </c>
      <c r="I267" s="58" t="s">
        <v>3877</v>
      </c>
      <c r="J267" s="58" t="s">
        <v>3342</v>
      </c>
      <c r="K267" s="58" t="s">
        <v>3868</v>
      </c>
      <c r="L267" s="58">
        <v>10.0</v>
      </c>
      <c r="M267" s="58" t="s">
        <v>3911</v>
      </c>
      <c r="N267" s="58">
        <v>3.0</v>
      </c>
      <c r="O267" s="58" t="b">
        <v>1</v>
      </c>
      <c r="P267" s="58"/>
      <c r="Q267" s="58"/>
      <c r="R267" s="59" t="str">
        <f>IF(COUNTIF('Active Employees'!B:B, B267)&gt;0,"Y","N")</f>
        <v>Y</v>
      </c>
      <c r="S267" s="58"/>
      <c r="T267" s="58"/>
    </row>
    <row r="268">
      <c r="A268" s="58" t="s">
        <v>119</v>
      </c>
      <c r="B268" s="58" t="s">
        <v>135</v>
      </c>
      <c r="C268" s="58" t="s">
        <v>3866</v>
      </c>
      <c r="D268" s="58" t="s">
        <v>3867</v>
      </c>
      <c r="E268" s="68">
        <v>45799.7740162037</v>
      </c>
      <c r="F268" s="68">
        <v>45876.726111111115</v>
      </c>
      <c r="G268" s="58">
        <v>56.0</v>
      </c>
      <c r="H268" s="58" t="s">
        <v>3342</v>
      </c>
      <c r="I268" s="58" t="s">
        <v>3877</v>
      </c>
      <c r="J268" s="58" t="s">
        <v>3342</v>
      </c>
      <c r="K268" s="58" t="s">
        <v>3868</v>
      </c>
      <c r="L268" s="58">
        <v>55.0</v>
      </c>
      <c r="M268" s="58" t="s">
        <v>3911</v>
      </c>
      <c r="N268" s="58">
        <v>3.0</v>
      </c>
      <c r="O268" s="58" t="b">
        <v>1</v>
      </c>
      <c r="P268" s="58"/>
      <c r="Q268" s="58"/>
      <c r="R268" s="59" t="str">
        <f>IF(COUNTIF('Active Employees'!B:B, B268)&gt;0,"Y","N")</f>
        <v>Y</v>
      </c>
      <c r="S268" s="58"/>
      <c r="T268" s="58"/>
    </row>
    <row r="269">
      <c r="A269" s="58" t="s">
        <v>3039</v>
      </c>
      <c r="B269" s="58" t="s">
        <v>921</v>
      </c>
      <c r="C269" s="58" t="s">
        <v>3866</v>
      </c>
      <c r="D269" s="58" t="s">
        <v>3867</v>
      </c>
      <c r="E269" s="68">
        <v>45799.774189814816</v>
      </c>
      <c r="F269" s="68">
        <v>45877.42597222222</v>
      </c>
      <c r="G269" s="58">
        <v>55.0</v>
      </c>
      <c r="H269" s="58" t="s">
        <v>3342</v>
      </c>
      <c r="I269" s="58" t="s">
        <v>3877</v>
      </c>
      <c r="J269" s="58" t="s">
        <v>3342</v>
      </c>
      <c r="K269" s="58" t="s">
        <v>3868</v>
      </c>
      <c r="L269" s="58">
        <v>247.0</v>
      </c>
      <c r="M269" s="58" t="s">
        <v>3918</v>
      </c>
      <c r="N269" s="58">
        <v>2.0</v>
      </c>
      <c r="O269" s="58" t="b">
        <v>1</v>
      </c>
      <c r="P269" s="58"/>
      <c r="Q269" s="58"/>
      <c r="R269" s="59" t="str">
        <f>IF(COUNTIF('Active Employees'!B:B, B269)&gt;0,"Y","N")</f>
        <v>Y</v>
      </c>
      <c r="S269" s="58"/>
      <c r="T269" s="58"/>
    </row>
    <row r="270">
      <c r="A270" s="58" t="s">
        <v>1002</v>
      </c>
      <c r="B270" s="58" t="s">
        <v>833</v>
      </c>
      <c r="C270" s="58" t="s">
        <v>3866</v>
      </c>
      <c r="D270" s="58" t="s">
        <v>3867</v>
      </c>
      <c r="E270" s="68">
        <v>45308.661724537036</v>
      </c>
      <c r="F270" s="68">
        <v>45880.647361111114</v>
      </c>
      <c r="G270" s="58">
        <v>52.0</v>
      </c>
      <c r="H270" s="58" t="s">
        <v>771</v>
      </c>
      <c r="I270" s="58" t="s">
        <v>856</v>
      </c>
      <c r="J270" s="68">
        <v>45308.6580787037</v>
      </c>
      <c r="K270" s="58" t="s">
        <v>3868</v>
      </c>
      <c r="L270" s="58">
        <v>7.0</v>
      </c>
      <c r="M270" s="58" t="s">
        <v>3885</v>
      </c>
      <c r="N270" s="58">
        <v>2.0</v>
      </c>
      <c r="O270" s="58" t="b">
        <v>1</v>
      </c>
      <c r="P270" s="58"/>
      <c r="Q270" s="58"/>
      <c r="R270" s="59" t="str">
        <f>IF(COUNTIF('Active Employees'!B:B, B270)&gt;0,"Y","N")</f>
        <v>Y</v>
      </c>
      <c r="S270" s="58"/>
      <c r="T270" s="58"/>
    </row>
    <row r="271">
      <c r="A271" s="58" t="s">
        <v>3061</v>
      </c>
      <c r="B271" s="58" t="s">
        <v>677</v>
      </c>
      <c r="C271" s="58" t="s">
        <v>3961</v>
      </c>
      <c r="D271" s="58" t="s">
        <v>1440</v>
      </c>
      <c r="E271" s="68">
        <v>45799.77422453704</v>
      </c>
      <c r="F271" s="68">
        <v>45881.40556712963</v>
      </c>
      <c r="G271" s="58">
        <v>51.0</v>
      </c>
      <c r="H271" s="58" t="s">
        <v>3342</v>
      </c>
      <c r="I271" s="58" t="s">
        <v>3877</v>
      </c>
      <c r="J271" s="58" t="s">
        <v>3342</v>
      </c>
      <c r="K271" s="58" t="s">
        <v>3972</v>
      </c>
      <c r="L271" s="58">
        <v>10.0</v>
      </c>
      <c r="M271" s="58" t="s">
        <v>3918</v>
      </c>
      <c r="N271" s="58">
        <v>2.0</v>
      </c>
      <c r="O271" s="58" t="b">
        <v>1</v>
      </c>
      <c r="P271" s="58"/>
      <c r="Q271" s="58"/>
      <c r="R271" s="59" t="str">
        <f>IF(COUNTIF('Active Employees'!B:B, B271)&gt;0,"Y","N")</f>
        <v>Y</v>
      </c>
      <c r="S271" s="58"/>
      <c r="T271" s="58"/>
    </row>
    <row r="272">
      <c r="A272" s="58" t="s">
        <v>3294</v>
      </c>
      <c r="B272" s="58" t="s">
        <v>287</v>
      </c>
      <c r="C272" s="58" t="s">
        <v>3961</v>
      </c>
      <c r="D272" s="58" t="s">
        <v>1440</v>
      </c>
      <c r="E272" s="68">
        <v>45799.77415509259</v>
      </c>
      <c r="F272" s="68">
        <v>45881.40556712963</v>
      </c>
      <c r="G272" s="58">
        <v>51.0</v>
      </c>
      <c r="H272" s="58" t="s">
        <v>3342</v>
      </c>
      <c r="I272" s="58" t="s">
        <v>3877</v>
      </c>
      <c r="J272" s="58" t="s">
        <v>3342</v>
      </c>
      <c r="K272" s="58" t="s">
        <v>3972</v>
      </c>
      <c r="L272" s="58">
        <v>36.0</v>
      </c>
      <c r="M272" s="58" t="s">
        <v>3918</v>
      </c>
      <c r="N272" s="58">
        <v>2.0</v>
      </c>
      <c r="O272" s="58" t="b">
        <v>1</v>
      </c>
      <c r="P272" s="58"/>
      <c r="Q272" s="58"/>
      <c r="R272" s="59" t="str">
        <f>IF(COUNTIF('Active Employees'!B:B, B272)&gt;0,"Y","N")</f>
        <v>Y</v>
      </c>
      <c r="S272" s="58"/>
      <c r="T272" s="58"/>
    </row>
    <row r="273">
      <c r="A273" s="58" t="s">
        <v>746</v>
      </c>
      <c r="B273" s="58" t="s">
        <v>1442</v>
      </c>
      <c r="C273" s="58" t="s">
        <v>3866</v>
      </c>
      <c r="D273" s="58" t="s">
        <v>3867</v>
      </c>
      <c r="E273" s="68">
        <v>45799.81607638889</v>
      </c>
      <c r="F273" s="68">
        <v>45881.66832175926</v>
      </c>
      <c r="G273" s="58">
        <v>51.0</v>
      </c>
      <c r="H273" s="58" t="s">
        <v>3342</v>
      </c>
      <c r="I273" s="58" t="s">
        <v>3877</v>
      </c>
      <c r="J273" s="58" t="s">
        <v>3342</v>
      </c>
      <c r="K273" s="58" t="s">
        <v>3868</v>
      </c>
      <c r="L273" s="58">
        <v>1.0</v>
      </c>
      <c r="M273" s="58" t="s">
        <v>3885</v>
      </c>
      <c r="N273" s="58">
        <v>2.0</v>
      </c>
      <c r="O273" s="58" t="b">
        <v>1</v>
      </c>
      <c r="P273" s="58"/>
      <c r="Q273" s="58"/>
      <c r="R273" s="59" t="str">
        <f>IF(COUNTIF('Active Employees'!B:B, B273)&gt;0,"Y","N")</f>
        <v>Y</v>
      </c>
      <c r="S273" s="58"/>
      <c r="T273" s="58"/>
    </row>
    <row r="274">
      <c r="A274" s="58" t="s">
        <v>3030</v>
      </c>
      <c r="B274" s="58" t="s">
        <v>311</v>
      </c>
      <c r="C274" s="58" t="s">
        <v>3866</v>
      </c>
      <c r="D274" s="58" t="s">
        <v>3867</v>
      </c>
      <c r="E274" s="68">
        <v>45799.77480324074</v>
      </c>
      <c r="F274" s="68">
        <v>45887.58877314815</v>
      </c>
      <c r="G274" s="58">
        <v>45.0</v>
      </c>
      <c r="H274" s="58" t="s">
        <v>3342</v>
      </c>
      <c r="I274" s="58" t="s">
        <v>3877</v>
      </c>
      <c r="J274" s="58" t="s">
        <v>3342</v>
      </c>
      <c r="K274" s="58" t="s">
        <v>3868</v>
      </c>
      <c r="L274" s="58">
        <v>318.0</v>
      </c>
      <c r="M274" s="58" t="s">
        <v>3869</v>
      </c>
      <c r="N274" s="58">
        <v>2.0</v>
      </c>
      <c r="O274" s="58" t="b">
        <v>1</v>
      </c>
      <c r="P274" s="58"/>
      <c r="Q274" s="58"/>
      <c r="R274" s="59" t="str">
        <f>IF(COUNTIF('Active Employees'!B:B, B274)&gt;0,"Y","N")</f>
        <v>Y</v>
      </c>
      <c r="S274" s="58"/>
      <c r="T274" s="58"/>
    </row>
    <row r="275">
      <c r="A275" s="58" t="s">
        <v>114</v>
      </c>
      <c r="B275" s="58" t="s">
        <v>955</v>
      </c>
      <c r="C275" s="58" t="s">
        <v>3866</v>
      </c>
      <c r="D275" s="58" t="s">
        <v>3867</v>
      </c>
      <c r="E275" s="68">
        <v>45799.77402777778</v>
      </c>
      <c r="F275" s="68">
        <v>45887.583182870374</v>
      </c>
      <c r="G275" s="58">
        <v>45.0</v>
      </c>
      <c r="H275" s="58" t="s">
        <v>3342</v>
      </c>
      <c r="I275" s="58" t="s">
        <v>3877</v>
      </c>
      <c r="J275" s="58" t="s">
        <v>3342</v>
      </c>
      <c r="K275" s="58" t="s">
        <v>3868</v>
      </c>
      <c r="L275" s="58">
        <v>5.0</v>
      </c>
      <c r="M275" s="58" t="s">
        <v>3911</v>
      </c>
      <c r="N275" s="58">
        <v>3.0</v>
      </c>
      <c r="O275" s="58" t="b">
        <v>1</v>
      </c>
      <c r="P275" s="58"/>
      <c r="Q275" s="58"/>
      <c r="R275" s="59" t="str">
        <f>IF(COUNTIF('Active Employees'!B:B, B275)&gt;0,"Y","N")</f>
        <v>Y</v>
      </c>
      <c r="S275" s="58"/>
      <c r="T275" s="58"/>
    </row>
    <row r="276">
      <c r="A276" s="58" t="s">
        <v>3297</v>
      </c>
      <c r="B276" s="58" t="s">
        <v>426</v>
      </c>
      <c r="C276" s="58" t="s">
        <v>3961</v>
      </c>
      <c r="D276" s="58" t="s">
        <v>1440</v>
      </c>
      <c r="E276" s="68">
        <v>45796.75231481482</v>
      </c>
      <c r="F276" s="68">
        <v>45888.613854166666</v>
      </c>
      <c r="G276" s="58">
        <v>44.0</v>
      </c>
      <c r="H276" s="58" t="s">
        <v>3245</v>
      </c>
      <c r="I276" s="58" t="s">
        <v>594</v>
      </c>
      <c r="J276" s="68">
        <v>45796.75034722222</v>
      </c>
      <c r="K276" s="58" t="s">
        <v>3972</v>
      </c>
      <c r="L276" s="58">
        <v>44.0</v>
      </c>
      <c r="M276" s="58" t="s">
        <v>3918</v>
      </c>
      <c r="N276" s="58">
        <v>2.0</v>
      </c>
      <c r="O276" s="58" t="b">
        <v>1</v>
      </c>
      <c r="P276" s="58"/>
      <c r="Q276" s="58"/>
      <c r="R276" s="59" t="str">
        <f>IF(COUNTIF('Active Employees'!B:B, B276)&gt;0,"Y","N")</f>
        <v>Y</v>
      </c>
      <c r="S276" s="58"/>
      <c r="T276" s="58"/>
    </row>
    <row r="277">
      <c r="A277" s="58" t="s">
        <v>261</v>
      </c>
      <c r="B277" s="58" t="s">
        <v>859</v>
      </c>
      <c r="C277" s="58" t="s">
        <v>3866</v>
      </c>
      <c r="D277" s="58" t="s">
        <v>3867</v>
      </c>
      <c r="E277" s="68">
        <v>45799.816203703704</v>
      </c>
      <c r="F277" s="68">
        <v>45889.83740740741</v>
      </c>
      <c r="G277" s="58">
        <v>43.0</v>
      </c>
      <c r="H277" s="58" t="s">
        <v>3342</v>
      </c>
      <c r="I277" s="58" t="s">
        <v>3877</v>
      </c>
      <c r="J277" s="58" t="s">
        <v>3342</v>
      </c>
      <c r="K277" s="58" t="s">
        <v>3868</v>
      </c>
      <c r="L277" s="58">
        <v>19.0</v>
      </c>
      <c r="M277" s="58" t="s">
        <v>3878</v>
      </c>
      <c r="N277" s="58">
        <v>2.0</v>
      </c>
      <c r="O277" s="58" t="b">
        <v>1</v>
      </c>
      <c r="P277" s="58"/>
      <c r="Q277" s="58"/>
      <c r="R277" s="59" t="str">
        <f>IF(COUNTIF('Active Employees'!B:B, B277)&gt;0,"Y","N")</f>
        <v>Y</v>
      </c>
      <c r="S277" s="58"/>
      <c r="T277" s="58"/>
    </row>
    <row r="278">
      <c r="A278" s="58" t="s">
        <v>661</v>
      </c>
      <c r="B278" s="58" t="s">
        <v>1364</v>
      </c>
      <c r="C278" s="58" t="s">
        <v>3866</v>
      </c>
      <c r="D278" s="58" t="s">
        <v>3867</v>
      </c>
      <c r="E278" s="68">
        <v>45799.81704861111</v>
      </c>
      <c r="F278" s="68">
        <v>45889.66983796296</v>
      </c>
      <c r="G278" s="58">
        <v>43.0</v>
      </c>
      <c r="H278" s="58" t="s">
        <v>3342</v>
      </c>
      <c r="I278" s="58" t="s">
        <v>3877</v>
      </c>
      <c r="J278" s="58" t="s">
        <v>3342</v>
      </c>
      <c r="K278" s="58" t="s">
        <v>3868</v>
      </c>
      <c r="L278" s="58">
        <v>10.0</v>
      </c>
      <c r="M278" s="58" t="s">
        <v>3885</v>
      </c>
      <c r="N278" s="58">
        <v>2.0</v>
      </c>
      <c r="O278" s="58" t="b">
        <v>1</v>
      </c>
      <c r="P278" s="58"/>
      <c r="Q278" s="58"/>
      <c r="R278" s="59" t="str">
        <f>IF(COUNTIF('Active Employees'!B:B, B278)&gt;0,"Y","N")</f>
        <v>Y</v>
      </c>
      <c r="S278" s="58"/>
      <c r="T278" s="58"/>
    </row>
    <row r="279">
      <c r="A279" s="58" t="s">
        <v>4046</v>
      </c>
      <c r="B279" s="58" t="s">
        <v>871</v>
      </c>
      <c r="C279" s="58" t="s">
        <v>3866</v>
      </c>
      <c r="D279" s="58" t="s">
        <v>3867</v>
      </c>
      <c r="E279" s="68">
        <v>45799.77415509259</v>
      </c>
      <c r="F279" s="68">
        <v>45889.6621875</v>
      </c>
      <c r="G279" s="58">
        <v>43.0</v>
      </c>
      <c r="H279" s="58" t="s">
        <v>3342</v>
      </c>
      <c r="I279" s="58" t="s">
        <v>3877</v>
      </c>
      <c r="J279" s="58" t="s">
        <v>3342</v>
      </c>
      <c r="K279" s="58" t="s">
        <v>3868</v>
      </c>
      <c r="L279" s="58">
        <v>17.0</v>
      </c>
      <c r="M279" s="58" t="s">
        <v>3918</v>
      </c>
      <c r="N279" s="58">
        <v>2.0</v>
      </c>
      <c r="O279" s="58" t="b">
        <v>1</v>
      </c>
      <c r="P279" s="58"/>
      <c r="Q279" s="58"/>
      <c r="R279" s="59" t="str">
        <f>IF(COUNTIF('Active Employees'!B:B, B279)&gt;0,"Y","N")</f>
        <v>Y</v>
      </c>
      <c r="S279" s="58"/>
      <c r="T279" s="58"/>
    </row>
    <row r="280">
      <c r="A280" s="58" t="s">
        <v>3289</v>
      </c>
      <c r="B280" s="58" t="s">
        <v>1167</v>
      </c>
      <c r="C280" s="58" t="s">
        <v>3866</v>
      </c>
      <c r="D280" s="58" t="s">
        <v>3867</v>
      </c>
      <c r="E280" s="68">
        <v>45799.7752662037</v>
      </c>
      <c r="F280" s="68">
        <v>45890.664976851855</v>
      </c>
      <c r="G280" s="58">
        <v>42.0</v>
      </c>
      <c r="H280" s="58" t="s">
        <v>3342</v>
      </c>
      <c r="I280" s="58" t="s">
        <v>3877</v>
      </c>
      <c r="J280" s="58" t="s">
        <v>3342</v>
      </c>
      <c r="K280" s="58" t="s">
        <v>3868</v>
      </c>
      <c r="L280" s="58">
        <v>2.0</v>
      </c>
      <c r="M280" s="58" t="s">
        <v>3885</v>
      </c>
      <c r="N280" s="58">
        <v>2.0</v>
      </c>
      <c r="O280" s="58" t="b">
        <v>1</v>
      </c>
      <c r="P280" s="58"/>
      <c r="Q280" s="58"/>
      <c r="R280" s="59" t="str">
        <f>IF(COUNTIF('Active Employees'!B:B, B280)&gt;0,"Y","N")</f>
        <v>Y</v>
      </c>
      <c r="S280" s="58"/>
      <c r="T280" s="58"/>
    </row>
    <row r="281">
      <c r="A281" s="58" t="s">
        <v>3188</v>
      </c>
      <c r="B281" s="58" t="s">
        <v>1291</v>
      </c>
      <c r="C281" s="58" t="s">
        <v>3866</v>
      </c>
      <c r="D281" s="58" t="s">
        <v>3867</v>
      </c>
      <c r="E281" s="68">
        <v>45799.81621527778</v>
      </c>
      <c r="F281" s="68">
        <v>45890.628657407404</v>
      </c>
      <c r="G281" s="58">
        <v>42.0</v>
      </c>
      <c r="H281" s="58" t="s">
        <v>3342</v>
      </c>
      <c r="I281" s="58" t="s">
        <v>3877</v>
      </c>
      <c r="J281" s="58" t="s">
        <v>3342</v>
      </c>
      <c r="K281" s="58" t="s">
        <v>3868</v>
      </c>
      <c r="L281" s="58">
        <v>49.0</v>
      </c>
      <c r="M281" s="58" t="s">
        <v>3878</v>
      </c>
      <c r="N281" s="58">
        <v>2.0</v>
      </c>
      <c r="O281" s="58" t="b">
        <v>1</v>
      </c>
      <c r="P281" s="58"/>
      <c r="Q281" s="58"/>
      <c r="R281" s="59" t="str">
        <f>IF(COUNTIF('Active Employees'!B:B, B281)&gt;0,"Y","N")</f>
        <v>Y</v>
      </c>
      <c r="S281" s="58"/>
      <c r="T281" s="58"/>
    </row>
    <row r="282">
      <c r="A282" s="58" t="s">
        <v>3077</v>
      </c>
      <c r="B282" s="58" t="s">
        <v>703</v>
      </c>
      <c r="C282" s="58" t="s">
        <v>3866</v>
      </c>
      <c r="D282" s="58" t="s">
        <v>3867</v>
      </c>
      <c r="E282" s="68">
        <v>45799.77527777778</v>
      </c>
      <c r="F282" s="68">
        <v>45890.725266203706</v>
      </c>
      <c r="G282" s="58">
        <v>42.0</v>
      </c>
      <c r="H282" s="58" t="s">
        <v>3342</v>
      </c>
      <c r="I282" s="58" t="s">
        <v>3877</v>
      </c>
      <c r="J282" s="58" t="s">
        <v>3342</v>
      </c>
      <c r="K282" s="58" t="s">
        <v>3868</v>
      </c>
      <c r="L282" s="58">
        <v>10.0</v>
      </c>
      <c r="M282" s="58" t="s">
        <v>3885</v>
      </c>
      <c r="N282" s="58">
        <v>2.0</v>
      </c>
      <c r="O282" s="58" t="b">
        <v>1</v>
      </c>
      <c r="P282" s="58"/>
      <c r="Q282" s="58"/>
      <c r="R282" s="59" t="str">
        <f>IF(COUNTIF('Active Employees'!B:B, B282)&gt;0,"Y","N")</f>
        <v>Y</v>
      </c>
      <c r="S282" s="58"/>
      <c r="T282" s="58"/>
    </row>
    <row r="283">
      <c r="A283" s="58" t="s">
        <v>519</v>
      </c>
      <c r="B283" s="58" t="s">
        <v>973</v>
      </c>
      <c r="C283" s="58" t="s">
        <v>4009</v>
      </c>
      <c r="D283" s="58" t="s">
        <v>4010</v>
      </c>
      <c r="E283" s="68">
        <v>45798.82989583333</v>
      </c>
      <c r="F283" s="68">
        <v>45890.85680555556</v>
      </c>
      <c r="G283" s="58">
        <v>42.0</v>
      </c>
      <c r="H283" s="58" t="s">
        <v>3342</v>
      </c>
      <c r="I283" s="58" t="s">
        <v>3877</v>
      </c>
      <c r="J283" s="58" t="s">
        <v>3342</v>
      </c>
      <c r="K283" s="58" t="s">
        <v>4011</v>
      </c>
      <c r="L283" s="58">
        <v>567.0</v>
      </c>
      <c r="M283" s="58" t="s">
        <v>4047</v>
      </c>
      <c r="N283" s="58">
        <v>3.0</v>
      </c>
      <c r="O283" s="58" t="b">
        <v>1</v>
      </c>
      <c r="P283" s="58"/>
      <c r="Q283" s="58"/>
      <c r="R283" s="59" t="str">
        <f>IF(COUNTIF('Active Employees'!B:B, B283)&gt;0,"Y","N")</f>
        <v>Y</v>
      </c>
      <c r="S283" s="58"/>
      <c r="T283" s="58"/>
    </row>
    <row r="284">
      <c r="A284" s="58" t="s">
        <v>1335</v>
      </c>
      <c r="B284" s="58" t="s">
        <v>916</v>
      </c>
      <c r="C284" s="58" t="s">
        <v>3866</v>
      </c>
      <c r="D284" s="58" t="s">
        <v>3867</v>
      </c>
      <c r="E284" s="68">
        <v>45799.81622685185</v>
      </c>
      <c r="F284" s="68">
        <v>45891.097037037034</v>
      </c>
      <c r="G284" s="58">
        <v>41.0</v>
      </c>
      <c r="H284" s="58" t="s">
        <v>3342</v>
      </c>
      <c r="I284" s="58" t="s">
        <v>3877</v>
      </c>
      <c r="J284" s="58" t="s">
        <v>3342</v>
      </c>
      <c r="K284" s="58" t="s">
        <v>3868</v>
      </c>
      <c r="L284" s="58">
        <v>21.0</v>
      </c>
      <c r="M284" s="58" t="s">
        <v>3878</v>
      </c>
      <c r="N284" s="58">
        <v>2.0</v>
      </c>
      <c r="O284" s="58" t="b">
        <v>1</v>
      </c>
      <c r="P284" s="58"/>
      <c r="Q284" s="58"/>
      <c r="R284" s="59" t="str">
        <f>IF(COUNTIF('Active Employees'!B:B, B284)&gt;0,"Y","N")</f>
        <v>Y</v>
      </c>
      <c r="S284" s="58"/>
      <c r="T284" s="58"/>
    </row>
    <row r="285">
      <c r="A285" s="58" t="s">
        <v>3070</v>
      </c>
      <c r="B285" s="58" t="s">
        <v>1403</v>
      </c>
      <c r="C285" s="58" t="s">
        <v>3866</v>
      </c>
      <c r="D285" s="58" t="s">
        <v>3867</v>
      </c>
      <c r="E285" s="68">
        <v>45799.774409722224</v>
      </c>
      <c r="F285" s="68">
        <v>45894.94045138889</v>
      </c>
      <c r="G285" s="58">
        <v>38.0</v>
      </c>
      <c r="H285" s="58" t="s">
        <v>3342</v>
      </c>
      <c r="I285" s="58" t="s">
        <v>3877</v>
      </c>
      <c r="J285" s="58" t="s">
        <v>3342</v>
      </c>
      <c r="K285" s="58" t="s">
        <v>3868</v>
      </c>
      <c r="L285" s="58">
        <v>7.0</v>
      </c>
      <c r="M285" s="58" t="s">
        <v>3885</v>
      </c>
      <c r="N285" s="58">
        <v>2.0</v>
      </c>
      <c r="O285" s="58" t="b">
        <v>1</v>
      </c>
      <c r="P285" s="58"/>
      <c r="Q285" s="58"/>
      <c r="R285" s="59" t="str">
        <f>IF(COUNTIF('Active Employees'!B:B, B285)&gt;0,"Y","N")</f>
        <v>Y</v>
      </c>
      <c r="S285" s="58"/>
      <c r="T285" s="58"/>
    </row>
    <row r="286">
      <c r="A286" s="58" t="s">
        <v>1502</v>
      </c>
      <c r="B286" s="58" t="s">
        <v>1214</v>
      </c>
      <c r="C286" s="58" t="s">
        <v>3866</v>
      </c>
      <c r="D286" s="58" t="s">
        <v>3867</v>
      </c>
      <c r="E286" s="68">
        <v>45670.891909722224</v>
      </c>
      <c r="F286" s="68">
        <v>45894.69892361111</v>
      </c>
      <c r="G286" s="58">
        <v>38.0</v>
      </c>
      <c r="H286" s="58" t="s">
        <v>3342</v>
      </c>
      <c r="I286" s="58" t="s">
        <v>3877</v>
      </c>
      <c r="J286" s="58" t="s">
        <v>3342</v>
      </c>
      <c r="K286" s="58" t="s">
        <v>3868</v>
      </c>
      <c r="L286" s="58">
        <v>51.0</v>
      </c>
      <c r="M286" s="58" t="s">
        <v>3918</v>
      </c>
      <c r="N286" s="58">
        <v>2.0</v>
      </c>
      <c r="O286" s="58" t="b">
        <v>1</v>
      </c>
      <c r="P286" s="58"/>
      <c r="Q286" s="58"/>
      <c r="R286" s="59" t="str">
        <f>IF(COUNTIF('Active Employees'!B:B, B286)&gt;0,"Y","N")</f>
        <v>Y</v>
      </c>
      <c r="S286" s="58"/>
      <c r="T286" s="58"/>
    </row>
    <row r="287">
      <c r="A287" s="58" t="s">
        <v>3048</v>
      </c>
      <c r="B287" s="58" t="s">
        <v>1455</v>
      </c>
      <c r="C287" s="58" t="s">
        <v>3866</v>
      </c>
      <c r="D287" s="58" t="s">
        <v>3867</v>
      </c>
      <c r="E287" s="68">
        <v>45799.77421296296</v>
      </c>
      <c r="F287" s="68">
        <v>45895.60105324074</v>
      </c>
      <c r="G287" s="58">
        <v>37.0</v>
      </c>
      <c r="H287" s="58" t="s">
        <v>3342</v>
      </c>
      <c r="I287" s="58" t="s">
        <v>3877</v>
      </c>
      <c r="J287" s="58" t="s">
        <v>3342</v>
      </c>
      <c r="K287" s="58" t="s">
        <v>3868</v>
      </c>
      <c r="L287" s="58">
        <v>9.0</v>
      </c>
      <c r="M287" s="58" t="s">
        <v>3918</v>
      </c>
      <c r="N287" s="58">
        <v>2.0</v>
      </c>
      <c r="O287" s="58" t="b">
        <v>1</v>
      </c>
      <c r="P287" s="58"/>
      <c r="Q287" s="58"/>
      <c r="R287" s="59" t="str">
        <f>IF(COUNTIF('Active Employees'!B:B, B287)&gt;0,"Y","N")</f>
        <v>Y</v>
      </c>
      <c r="S287" s="58"/>
      <c r="T287" s="58"/>
    </row>
    <row r="288">
      <c r="A288" s="58" t="s">
        <v>4048</v>
      </c>
      <c r="B288" s="58" t="s">
        <v>150</v>
      </c>
      <c r="C288" s="58" t="s">
        <v>3866</v>
      </c>
      <c r="D288" s="58" t="s">
        <v>3867</v>
      </c>
      <c r="E288" s="68">
        <v>45799.81622685185</v>
      </c>
      <c r="F288" s="68">
        <v>45896.610983796294</v>
      </c>
      <c r="G288" s="58">
        <v>36.0</v>
      </c>
      <c r="H288" s="58" t="s">
        <v>3342</v>
      </c>
      <c r="I288" s="58" t="s">
        <v>3877</v>
      </c>
      <c r="J288" s="58" t="s">
        <v>3342</v>
      </c>
      <c r="K288" s="58" t="s">
        <v>3868</v>
      </c>
      <c r="L288" s="58">
        <v>103.0</v>
      </c>
      <c r="M288" s="58" t="s">
        <v>3878</v>
      </c>
      <c r="N288" s="58">
        <v>2.0</v>
      </c>
      <c r="O288" s="58" t="b">
        <v>1</v>
      </c>
      <c r="P288" s="58"/>
      <c r="Q288" s="58"/>
      <c r="R288" s="59" t="str">
        <f>IF(COUNTIF('Active Employees'!B:B, B288)&gt;0,"Y","N")</f>
        <v>Y</v>
      </c>
      <c r="S288" s="58"/>
      <c r="T288" s="58"/>
    </row>
    <row r="289">
      <c r="A289" s="58" t="s">
        <v>1895</v>
      </c>
      <c r="B289" s="58" t="s">
        <v>748</v>
      </c>
      <c r="C289" s="58" t="s">
        <v>3866</v>
      </c>
      <c r="D289" s="58" t="s">
        <v>3867</v>
      </c>
      <c r="E289" s="68">
        <v>45799.817037037035</v>
      </c>
      <c r="F289" s="68">
        <v>45896.669756944444</v>
      </c>
      <c r="G289" s="58">
        <v>36.0</v>
      </c>
      <c r="H289" s="58" t="s">
        <v>3342</v>
      </c>
      <c r="I289" s="58" t="s">
        <v>3877</v>
      </c>
      <c r="J289" s="58" t="s">
        <v>3342</v>
      </c>
      <c r="K289" s="58" t="s">
        <v>3868</v>
      </c>
      <c r="L289" s="58">
        <v>19.0</v>
      </c>
      <c r="M289" s="58" t="s">
        <v>3885</v>
      </c>
      <c r="N289" s="58">
        <v>2.0</v>
      </c>
      <c r="O289" s="58" t="b">
        <v>1</v>
      </c>
      <c r="P289" s="58"/>
      <c r="Q289" s="58"/>
      <c r="R289" s="59" t="str">
        <f>IF(COUNTIF('Active Employees'!B:B, B289)&gt;0,"Y","N")</f>
        <v>Y</v>
      </c>
      <c r="S289" s="58"/>
      <c r="T289" s="58"/>
    </row>
    <row r="290">
      <c r="A290" s="58" t="s">
        <v>1915</v>
      </c>
      <c r="B290" s="58" t="s">
        <v>224</v>
      </c>
      <c r="C290" s="58" t="s">
        <v>3866</v>
      </c>
      <c r="D290" s="58" t="s">
        <v>3867</v>
      </c>
      <c r="E290" s="68">
        <v>45799.77481481482</v>
      </c>
      <c r="F290" s="68">
        <v>45896.74538194444</v>
      </c>
      <c r="G290" s="58">
        <v>36.0</v>
      </c>
      <c r="H290" s="58" t="s">
        <v>3342</v>
      </c>
      <c r="I290" s="58" t="s">
        <v>3877</v>
      </c>
      <c r="J290" s="58" t="s">
        <v>3342</v>
      </c>
      <c r="K290" s="58" t="s">
        <v>3868</v>
      </c>
      <c r="L290" s="58">
        <v>30.0</v>
      </c>
      <c r="M290" s="58" t="s">
        <v>3869</v>
      </c>
      <c r="N290" s="58">
        <v>2.0</v>
      </c>
      <c r="O290" s="58" t="b">
        <v>1</v>
      </c>
      <c r="P290" s="58"/>
      <c r="Q290" s="58"/>
      <c r="R290" s="59" t="str">
        <f>IF(COUNTIF('Active Employees'!B:B, B290)&gt;0,"Y","N")</f>
        <v>Y</v>
      </c>
      <c r="S290" s="58"/>
      <c r="T290" s="58"/>
    </row>
    <row r="291">
      <c r="A291" s="58" t="s">
        <v>3151</v>
      </c>
      <c r="B291" s="58" t="s">
        <v>1000</v>
      </c>
      <c r="C291" s="58" t="s">
        <v>3866</v>
      </c>
      <c r="D291" s="58" t="s">
        <v>3867</v>
      </c>
      <c r="E291" s="68">
        <v>45799.817025462966</v>
      </c>
      <c r="F291" s="68">
        <v>45897.68346064815</v>
      </c>
      <c r="G291" s="58">
        <v>35.0</v>
      </c>
      <c r="H291" s="58" t="s">
        <v>3342</v>
      </c>
      <c r="I291" s="58" t="s">
        <v>3877</v>
      </c>
      <c r="J291" s="58" t="s">
        <v>3342</v>
      </c>
      <c r="K291" s="58" t="s">
        <v>3868</v>
      </c>
      <c r="L291" s="58">
        <v>37.0</v>
      </c>
      <c r="M291" s="58" t="s">
        <v>3885</v>
      </c>
      <c r="N291" s="58">
        <v>2.0</v>
      </c>
      <c r="O291" s="58" t="b">
        <v>1</v>
      </c>
      <c r="P291" s="58"/>
      <c r="Q291" s="58"/>
      <c r="R291" s="59" t="str">
        <f>IF(COUNTIF('Active Employees'!B:B, B291)&gt;0,"Y","N")</f>
        <v>Y</v>
      </c>
      <c r="S291" s="58"/>
      <c r="T291" s="58"/>
    </row>
    <row r="292">
      <c r="A292" s="58" t="s">
        <v>3041</v>
      </c>
      <c r="B292" s="58" t="s">
        <v>1230</v>
      </c>
      <c r="C292" s="58" t="s">
        <v>3866</v>
      </c>
      <c r="D292" s="58" t="s">
        <v>3867</v>
      </c>
      <c r="E292" s="68">
        <v>45799.77523148148</v>
      </c>
      <c r="F292" s="68">
        <v>45897.44773148148</v>
      </c>
      <c r="G292" s="58">
        <v>35.0</v>
      </c>
      <c r="H292" s="58" t="s">
        <v>3342</v>
      </c>
      <c r="I292" s="58" t="s">
        <v>3877</v>
      </c>
      <c r="J292" s="58" t="s">
        <v>3342</v>
      </c>
      <c r="K292" s="58" t="s">
        <v>3868</v>
      </c>
      <c r="L292" s="58">
        <v>15.0</v>
      </c>
      <c r="M292" s="58" t="s">
        <v>3885</v>
      </c>
      <c r="N292" s="58">
        <v>2.0</v>
      </c>
      <c r="O292" s="58" t="b">
        <v>1</v>
      </c>
      <c r="P292" s="58"/>
      <c r="Q292" s="58"/>
      <c r="R292" s="59" t="str">
        <f>IF(COUNTIF('Active Employees'!B:B, B292)&gt;0,"Y","N")</f>
        <v>Y</v>
      </c>
      <c r="S292" s="58"/>
      <c r="T292" s="58"/>
    </row>
    <row r="293">
      <c r="A293" s="58" t="s">
        <v>3098</v>
      </c>
      <c r="B293" s="58" t="s">
        <v>1367</v>
      </c>
      <c r="C293" s="58" t="s">
        <v>3866</v>
      </c>
      <c r="D293" s="58" t="s">
        <v>3867</v>
      </c>
      <c r="E293" s="68">
        <v>45799.77415509259</v>
      </c>
      <c r="F293" s="68">
        <v>45897.754745370374</v>
      </c>
      <c r="G293" s="58">
        <v>35.0</v>
      </c>
      <c r="H293" s="58" t="s">
        <v>3342</v>
      </c>
      <c r="I293" s="58" t="s">
        <v>3877</v>
      </c>
      <c r="J293" s="58" t="s">
        <v>3342</v>
      </c>
      <c r="K293" s="58" t="s">
        <v>3868</v>
      </c>
      <c r="L293" s="58">
        <v>34.0</v>
      </c>
      <c r="M293" s="58" t="s">
        <v>3918</v>
      </c>
      <c r="N293" s="58">
        <v>2.0</v>
      </c>
      <c r="O293" s="58" t="b">
        <v>1</v>
      </c>
      <c r="P293" s="58"/>
      <c r="Q293" s="58"/>
      <c r="R293" s="59" t="str">
        <f>IF(COUNTIF('Active Employees'!B:B, B293)&gt;0,"Y","N")</f>
        <v>Y</v>
      </c>
      <c r="S293" s="58"/>
      <c r="T293" s="58"/>
    </row>
    <row r="294">
      <c r="A294" s="58" t="s">
        <v>2981</v>
      </c>
      <c r="B294" s="58" t="s">
        <v>233</v>
      </c>
      <c r="C294" s="58" t="s">
        <v>3866</v>
      </c>
      <c r="D294" s="58" t="s">
        <v>3867</v>
      </c>
      <c r="E294" s="68">
        <v>45799.774189814816</v>
      </c>
      <c r="F294" s="68">
        <v>45898.7391087963</v>
      </c>
      <c r="G294" s="58">
        <v>34.0</v>
      </c>
      <c r="H294" s="58" t="s">
        <v>3342</v>
      </c>
      <c r="I294" s="58" t="s">
        <v>3877</v>
      </c>
      <c r="J294" s="58" t="s">
        <v>3342</v>
      </c>
      <c r="K294" s="58" t="s">
        <v>3868</v>
      </c>
      <c r="L294" s="58">
        <v>94.0</v>
      </c>
      <c r="M294" s="58" t="s">
        <v>3918</v>
      </c>
      <c r="N294" s="58">
        <v>2.0</v>
      </c>
      <c r="O294" s="58" t="b">
        <v>1</v>
      </c>
      <c r="P294" s="58"/>
      <c r="Q294" s="58"/>
      <c r="R294" s="59" t="str">
        <f>IF(COUNTIF('Active Employees'!B:B, B294)&gt;0,"Y","N")</f>
        <v>Y</v>
      </c>
      <c r="S294" s="58"/>
      <c r="T294" s="58"/>
    </row>
    <row r="295">
      <c r="A295" s="58" t="s">
        <v>4049</v>
      </c>
      <c r="B295" s="58" t="s">
        <v>335</v>
      </c>
      <c r="C295" s="58" t="s">
        <v>3866</v>
      </c>
      <c r="D295" s="58" t="s">
        <v>3867</v>
      </c>
      <c r="E295" s="68">
        <v>45799.774247685185</v>
      </c>
      <c r="F295" s="68">
        <v>45898.905277777776</v>
      </c>
      <c r="G295" s="58">
        <v>34.0</v>
      </c>
      <c r="H295" s="58" t="s">
        <v>3342</v>
      </c>
      <c r="I295" s="58" t="s">
        <v>3877</v>
      </c>
      <c r="J295" s="58" t="s">
        <v>3342</v>
      </c>
      <c r="K295" s="58" t="s">
        <v>3868</v>
      </c>
      <c r="L295" s="58">
        <v>155.0</v>
      </c>
      <c r="M295" s="58" t="s">
        <v>3918</v>
      </c>
      <c r="N295" s="58">
        <v>2.0</v>
      </c>
      <c r="O295" s="58" t="b">
        <v>1</v>
      </c>
      <c r="P295" s="58"/>
      <c r="Q295" s="58"/>
      <c r="R295" s="59" t="str">
        <f>IF(COUNTIF('Active Employees'!B:B, B295)&gt;0,"Y","N")</f>
        <v>Y</v>
      </c>
      <c r="S295" s="58"/>
      <c r="T295" s="58"/>
    </row>
    <row r="296">
      <c r="A296" s="58" t="s">
        <v>3081</v>
      </c>
      <c r="B296" s="58" t="s">
        <v>194</v>
      </c>
      <c r="C296" s="58" t="s">
        <v>4009</v>
      </c>
      <c r="D296" s="58" t="s">
        <v>4010</v>
      </c>
      <c r="E296" s="68">
        <v>45799.77421296296</v>
      </c>
      <c r="F296" s="68">
        <v>45898.325162037036</v>
      </c>
      <c r="G296" s="58">
        <v>34.0</v>
      </c>
      <c r="H296" s="58" t="s">
        <v>3342</v>
      </c>
      <c r="I296" s="58" t="s">
        <v>3877</v>
      </c>
      <c r="J296" s="58" t="s">
        <v>3342</v>
      </c>
      <c r="K296" s="58" t="s">
        <v>4011</v>
      </c>
      <c r="L296" s="58">
        <v>95.0</v>
      </c>
      <c r="M296" s="58" t="s">
        <v>3918</v>
      </c>
      <c r="N296" s="58">
        <v>2.0</v>
      </c>
      <c r="O296" s="58" t="b">
        <v>1</v>
      </c>
      <c r="P296" s="58"/>
      <c r="Q296" s="58"/>
      <c r="R296" s="59" t="str">
        <f>IF(COUNTIF('Active Employees'!B:B, B296)&gt;0,"Y","N")</f>
        <v>Y</v>
      </c>
      <c r="S296" s="58"/>
      <c r="T296" s="58"/>
    </row>
    <row r="297">
      <c r="A297" s="58" t="s">
        <v>1875</v>
      </c>
      <c r="B297" s="58" t="s">
        <v>1052</v>
      </c>
      <c r="C297" s="58" t="s">
        <v>3866</v>
      </c>
      <c r="D297" s="58" t="s">
        <v>3867</v>
      </c>
      <c r="E297" s="68">
        <v>45761.900416666664</v>
      </c>
      <c r="F297" s="68">
        <v>45902.78690972222</v>
      </c>
      <c r="G297" s="58">
        <v>30.0</v>
      </c>
      <c r="H297" s="58" t="s">
        <v>3213</v>
      </c>
      <c r="I297" s="58" t="s">
        <v>1416</v>
      </c>
      <c r="J297" s="68">
        <v>45758.70659722222</v>
      </c>
      <c r="K297" s="58" t="s">
        <v>3868</v>
      </c>
      <c r="L297" s="58">
        <v>6.0</v>
      </c>
      <c r="M297" s="58" t="s">
        <v>3918</v>
      </c>
      <c r="N297" s="58">
        <v>2.0</v>
      </c>
      <c r="O297" s="58" t="b">
        <v>1</v>
      </c>
      <c r="P297" s="58"/>
      <c r="Q297" s="58"/>
      <c r="R297" s="59" t="str">
        <f>IF(COUNTIF('Active Employees'!B:B, B297)&gt;0,"Y","N")</f>
        <v>Y</v>
      </c>
      <c r="S297" s="58"/>
      <c r="T297" s="58"/>
    </row>
    <row r="298">
      <c r="A298" s="58" t="s">
        <v>3085</v>
      </c>
      <c r="B298" s="58" t="s">
        <v>975</v>
      </c>
      <c r="C298" s="58" t="s">
        <v>3866</v>
      </c>
      <c r="D298" s="58" t="s">
        <v>3867</v>
      </c>
      <c r="E298" s="68">
        <v>45799.774247685185</v>
      </c>
      <c r="F298" s="68">
        <v>45902.60826388889</v>
      </c>
      <c r="G298" s="58">
        <v>30.0</v>
      </c>
      <c r="H298" s="58" t="s">
        <v>3342</v>
      </c>
      <c r="I298" s="58" t="s">
        <v>3877</v>
      </c>
      <c r="J298" s="58" t="s">
        <v>3342</v>
      </c>
      <c r="K298" s="58" t="s">
        <v>3868</v>
      </c>
      <c r="L298" s="58">
        <v>37.0</v>
      </c>
      <c r="M298" s="58" t="s">
        <v>3918</v>
      </c>
      <c r="N298" s="58">
        <v>2.0</v>
      </c>
      <c r="O298" s="58" t="b">
        <v>1</v>
      </c>
      <c r="P298" s="58"/>
      <c r="Q298" s="58"/>
      <c r="R298" s="59" t="str">
        <f>IF(COUNTIF('Active Employees'!B:B, B298)&gt;0,"Y","N")</f>
        <v>Y</v>
      </c>
      <c r="S298" s="58"/>
      <c r="T298" s="58"/>
    </row>
    <row r="299">
      <c r="A299" s="58" t="s">
        <v>4050</v>
      </c>
      <c r="B299" s="58" t="s">
        <v>744</v>
      </c>
      <c r="C299" s="58" t="s">
        <v>3866</v>
      </c>
      <c r="D299" s="58" t="s">
        <v>3867</v>
      </c>
      <c r="E299" s="68">
        <v>45799.77439814815</v>
      </c>
      <c r="F299" s="68">
        <v>45902.766238425924</v>
      </c>
      <c r="G299" s="58">
        <v>30.0</v>
      </c>
      <c r="H299" s="58" t="s">
        <v>3342</v>
      </c>
      <c r="I299" s="58" t="s">
        <v>3877</v>
      </c>
      <c r="J299" s="58" t="s">
        <v>3342</v>
      </c>
      <c r="K299" s="58" t="s">
        <v>3868</v>
      </c>
      <c r="L299" s="58">
        <v>3.0</v>
      </c>
      <c r="M299" s="58" t="s">
        <v>3885</v>
      </c>
      <c r="N299" s="58">
        <v>2.0</v>
      </c>
      <c r="O299" s="58" t="b">
        <v>1</v>
      </c>
      <c r="P299" s="58"/>
      <c r="Q299" s="58"/>
      <c r="R299" s="59" t="str">
        <f>IF(COUNTIF('Active Employees'!B:B, B299)&gt;0,"Y","N")</f>
        <v>Y</v>
      </c>
      <c r="S299" s="58"/>
      <c r="T299" s="58"/>
    </row>
    <row r="300">
      <c r="A300" s="58" t="s">
        <v>3100</v>
      </c>
      <c r="B300" s="58" t="s">
        <v>214</v>
      </c>
      <c r="C300" s="58" t="s">
        <v>3866</v>
      </c>
      <c r="D300" s="58" t="s">
        <v>3867</v>
      </c>
      <c r="E300" s="68">
        <v>45833.7284375</v>
      </c>
      <c r="F300" s="68">
        <v>45903.62315972222</v>
      </c>
      <c r="G300" s="58">
        <v>29.0</v>
      </c>
      <c r="H300" s="58" t="s">
        <v>3342</v>
      </c>
      <c r="I300" s="58" t="s">
        <v>3877</v>
      </c>
      <c r="J300" s="58" t="s">
        <v>3342</v>
      </c>
      <c r="K300" s="58" t="s">
        <v>3868</v>
      </c>
      <c r="L300" s="58">
        <v>93.0</v>
      </c>
      <c r="M300" s="58" t="s">
        <v>3869</v>
      </c>
      <c r="N300" s="58">
        <v>2.0</v>
      </c>
      <c r="O300" s="58" t="b">
        <v>1</v>
      </c>
      <c r="P300" s="58"/>
      <c r="Q300" s="58"/>
      <c r="R300" s="59" t="str">
        <f>IF(COUNTIF('Active Employees'!B:B, B300)&gt;0,"Y","N")</f>
        <v>Y</v>
      </c>
      <c r="S300" s="58"/>
      <c r="T300" s="58"/>
    </row>
    <row r="301">
      <c r="A301" s="58" t="s">
        <v>3042</v>
      </c>
      <c r="B301" s="58" t="s">
        <v>1312</v>
      </c>
      <c r="C301" s="58" t="s">
        <v>3866</v>
      </c>
      <c r="D301" s="58" t="s">
        <v>3867</v>
      </c>
      <c r="E301" s="68">
        <v>45533.72077546296</v>
      </c>
      <c r="F301" s="68">
        <v>45903.62547453704</v>
      </c>
      <c r="G301" s="58">
        <v>29.0</v>
      </c>
      <c r="H301" s="58" t="s">
        <v>3342</v>
      </c>
      <c r="I301" s="58" t="s">
        <v>3877</v>
      </c>
      <c r="J301" s="58" t="s">
        <v>3342</v>
      </c>
      <c r="K301" s="58" t="s">
        <v>3868</v>
      </c>
      <c r="L301" s="58">
        <v>4.0</v>
      </c>
      <c r="M301" s="58" t="s">
        <v>3873</v>
      </c>
      <c r="N301" s="58">
        <v>2.0</v>
      </c>
      <c r="O301" s="58" t="b">
        <v>1</v>
      </c>
      <c r="P301" s="58"/>
      <c r="Q301" s="58"/>
      <c r="R301" s="59" t="str">
        <f>IF(COUNTIF('Active Employees'!B:B, B301)&gt;0,"Y","N")</f>
        <v>Y</v>
      </c>
      <c r="S301" s="58"/>
      <c r="T301" s="58"/>
    </row>
    <row r="302">
      <c r="A302" s="58" t="s">
        <v>3024</v>
      </c>
      <c r="B302" s="58" t="s">
        <v>1041</v>
      </c>
      <c r="C302" s="58" t="s">
        <v>3866</v>
      </c>
      <c r="D302" s="58" t="s">
        <v>3867</v>
      </c>
      <c r="E302" s="68">
        <v>45799.77422453704</v>
      </c>
      <c r="F302" s="68">
        <v>45904.65403935185</v>
      </c>
      <c r="G302" s="58">
        <v>28.0</v>
      </c>
      <c r="H302" s="58" t="s">
        <v>3342</v>
      </c>
      <c r="I302" s="58" t="s">
        <v>3877</v>
      </c>
      <c r="J302" s="58" t="s">
        <v>3342</v>
      </c>
      <c r="K302" s="58" t="s">
        <v>3868</v>
      </c>
      <c r="L302" s="58">
        <v>42.0</v>
      </c>
      <c r="M302" s="58" t="s">
        <v>3918</v>
      </c>
      <c r="N302" s="58">
        <v>2.0</v>
      </c>
      <c r="O302" s="58" t="b">
        <v>1</v>
      </c>
      <c r="P302" s="58"/>
      <c r="Q302" s="58"/>
      <c r="R302" s="59" t="str">
        <f>IF(COUNTIF('Active Employees'!B:B, B302)&gt;0,"Y","N")</f>
        <v>Y</v>
      </c>
      <c r="S302" s="58"/>
      <c r="T302" s="58"/>
    </row>
    <row r="303">
      <c r="A303" s="58" t="s">
        <v>1853</v>
      </c>
      <c r="B303" s="58" t="s">
        <v>500</v>
      </c>
      <c r="C303" s="58" t="s">
        <v>3866</v>
      </c>
      <c r="D303" s="58" t="s">
        <v>3867</v>
      </c>
      <c r="E303" s="68">
        <v>45799.77400462963</v>
      </c>
      <c r="F303" s="68">
        <v>45904.81009259259</v>
      </c>
      <c r="G303" s="58">
        <v>28.0</v>
      </c>
      <c r="H303" s="58" t="s">
        <v>3342</v>
      </c>
      <c r="I303" s="58" t="s">
        <v>3877</v>
      </c>
      <c r="J303" s="58" t="s">
        <v>3342</v>
      </c>
      <c r="K303" s="58" t="s">
        <v>3868</v>
      </c>
      <c r="L303" s="58">
        <v>24.0</v>
      </c>
      <c r="M303" s="58" t="s">
        <v>3911</v>
      </c>
      <c r="N303" s="58">
        <v>3.0</v>
      </c>
      <c r="O303" s="58" t="b">
        <v>1</v>
      </c>
      <c r="P303" s="58"/>
      <c r="Q303" s="58"/>
      <c r="R303" s="59" t="str">
        <f>IF(COUNTIF('Active Employees'!B:B, B303)&gt;0,"Y","N")</f>
        <v>Y</v>
      </c>
      <c r="S303" s="58"/>
      <c r="T303" s="58"/>
    </row>
    <row r="304">
      <c r="A304" s="58" t="s">
        <v>3003</v>
      </c>
      <c r="B304" s="58" t="s">
        <v>1422</v>
      </c>
      <c r="C304" s="58" t="s">
        <v>3866</v>
      </c>
      <c r="D304" s="58" t="s">
        <v>3867</v>
      </c>
      <c r="E304" s="68">
        <v>45799.81704861111</v>
      </c>
      <c r="F304" s="68">
        <v>45904.826631944445</v>
      </c>
      <c r="G304" s="58">
        <v>28.0</v>
      </c>
      <c r="H304" s="58" t="s">
        <v>3342</v>
      </c>
      <c r="I304" s="58" t="s">
        <v>3877</v>
      </c>
      <c r="J304" s="58" t="s">
        <v>3342</v>
      </c>
      <c r="K304" s="58" t="s">
        <v>3868</v>
      </c>
      <c r="L304" s="58">
        <v>31.0</v>
      </c>
      <c r="M304" s="58" t="s">
        <v>3885</v>
      </c>
      <c r="N304" s="58">
        <v>2.0</v>
      </c>
      <c r="O304" s="58" t="b">
        <v>1</v>
      </c>
      <c r="P304" s="58"/>
      <c r="Q304" s="58"/>
      <c r="R304" s="59" t="str">
        <f>IF(COUNTIF('Active Employees'!B:B, B304)&gt;0,"Y","N")</f>
        <v>Y</v>
      </c>
      <c r="S304" s="58"/>
      <c r="T304" s="58"/>
    </row>
    <row r="305">
      <c r="A305" s="58" t="s">
        <v>3198</v>
      </c>
      <c r="B305" s="58" t="s">
        <v>1013</v>
      </c>
      <c r="C305" s="58" t="s">
        <v>3866</v>
      </c>
      <c r="D305" s="58" t="s">
        <v>3867</v>
      </c>
      <c r="E305" s="68">
        <v>45308.77175925926</v>
      </c>
      <c r="F305" s="68">
        <v>45904.58115740741</v>
      </c>
      <c r="G305" s="58">
        <v>28.0</v>
      </c>
      <c r="H305" s="58" t="s">
        <v>771</v>
      </c>
      <c r="I305" s="58" t="s">
        <v>856</v>
      </c>
      <c r="J305" s="68">
        <v>45308.662303240744</v>
      </c>
      <c r="K305" s="58" t="s">
        <v>3868</v>
      </c>
      <c r="L305" s="58">
        <v>21.0</v>
      </c>
      <c r="M305" s="58" t="s">
        <v>4051</v>
      </c>
      <c r="N305" s="58">
        <v>3.0</v>
      </c>
      <c r="O305" s="58" t="b">
        <v>1</v>
      </c>
      <c r="P305" s="58"/>
      <c r="Q305" s="58"/>
      <c r="R305" s="59" t="str">
        <f>IF(COUNTIF('Active Employees'!B:B, B305)&gt;0,"Y","N")</f>
        <v>Y</v>
      </c>
      <c r="S305" s="58"/>
      <c r="T305" s="58"/>
    </row>
    <row r="306">
      <c r="A306" s="58" t="s">
        <v>582</v>
      </c>
      <c r="B306" s="58" t="s">
        <v>492</v>
      </c>
      <c r="C306" s="58" t="s">
        <v>3866</v>
      </c>
      <c r="D306" s="58" t="s">
        <v>3867</v>
      </c>
      <c r="E306" s="68">
        <v>45799.816203703704</v>
      </c>
      <c r="F306" s="68">
        <v>45904.71802083333</v>
      </c>
      <c r="G306" s="58">
        <v>28.0</v>
      </c>
      <c r="H306" s="58" t="s">
        <v>3342</v>
      </c>
      <c r="I306" s="58" t="s">
        <v>3877</v>
      </c>
      <c r="J306" s="58" t="s">
        <v>3342</v>
      </c>
      <c r="K306" s="58" t="s">
        <v>3868</v>
      </c>
      <c r="L306" s="58">
        <v>15.0</v>
      </c>
      <c r="M306" s="58" t="s">
        <v>3878</v>
      </c>
      <c r="N306" s="58">
        <v>2.0</v>
      </c>
      <c r="O306" s="58" t="b">
        <v>1</v>
      </c>
      <c r="P306" s="58"/>
      <c r="Q306" s="58"/>
      <c r="R306" s="59" t="str">
        <f>IF(COUNTIF('Active Employees'!B:B, B306)&gt;0,"Y","N")</f>
        <v>Y</v>
      </c>
      <c r="S306" s="58"/>
      <c r="T306" s="58"/>
    </row>
    <row r="307">
      <c r="A307" s="58" t="s">
        <v>4052</v>
      </c>
      <c r="B307" s="58" t="s">
        <v>450</v>
      </c>
      <c r="C307" s="58" t="s">
        <v>3866</v>
      </c>
      <c r="D307" s="58" t="s">
        <v>3867</v>
      </c>
      <c r="E307" s="68">
        <v>45799.775289351855</v>
      </c>
      <c r="F307" s="68">
        <v>45904.567881944444</v>
      </c>
      <c r="G307" s="58">
        <v>28.0</v>
      </c>
      <c r="H307" s="58" t="s">
        <v>3342</v>
      </c>
      <c r="I307" s="58" t="s">
        <v>3877</v>
      </c>
      <c r="J307" s="58" t="s">
        <v>3342</v>
      </c>
      <c r="K307" s="58" t="s">
        <v>3868</v>
      </c>
      <c r="L307" s="58">
        <v>14.0</v>
      </c>
      <c r="M307" s="58" t="s">
        <v>3885</v>
      </c>
      <c r="N307" s="58">
        <v>2.0</v>
      </c>
      <c r="O307" s="58" t="b">
        <v>1</v>
      </c>
      <c r="P307" s="58"/>
      <c r="Q307" s="58"/>
      <c r="R307" s="59" t="str">
        <f>IF(COUNTIF('Active Employees'!B:B, B307)&gt;0,"Y","N")</f>
        <v>Y</v>
      </c>
      <c r="S307" s="58"/>
      <c r="T307" s="58"/>
    </row>
    <row r="308">
      <c r="A308" s="58" t="s">
        <v>80</v>
      </c>
      <c r="B308" s="58" t="s">
        <v>1314</v>
      </c>
      <c r="C308" s="58" t="s">
        <v>3866</v>
      </c>
      <c r="D308" s="58" t="s">
        <v>3867</v>
      </c>
      <c r="E308" s="68">
        <v>45799.775300925925</v>
      </c>
      <c r="F308" s="68">
        <v>45905.73259259259</v>
      </c>
      <c r="G308" s="58">
        <v>27.0</v>
      </c>
      <c r="H308" s="58" t="s">
        <v>3342</v>
      </c>
      <c r="I308" s="58" t="s">
        <v>3877</v>
      </c>
      <c r="J308" s="58" t="s">
        <v>3342</v>
      </c>
      <c r="K308" s="58" t="s">
        <v>3868</v>
      </c>
      <c r="L308" s="58">
        <v>31.0</v>
      </c>
      <c r="M308" s="58" t="s">
        <v>3885</v>
      </c>
      <c r="N308" s="58">
        <v>2.0</v>
      </c>
      <c r="O308" s="58" t="b">
        <v>1</v>
      </c>
      <c r="P308" s="58"/>
      <c r="Q308" s="58"/>
      <c r="R308" s="59" t="str">
        <f>IF(COUNTIF('Active Employees'!B:B, B308)&gt;0,"Y","N")</f>
        <v>Y</v>
      </c>
      <c r="S308" s="58"/>
      <c r="T308" s="58"/>
    </row>
    <row r="309">
      <c r="A309" s="58" t="s">
        <v>3059</v>
      </c>
      <c r="B309" s="58" t="s">
        <v>383</v>
      </c>
      <c r="C309" s="58" t="s">
        <v>3866</v>
      </c>
      <c r="D309" s="58" t="s">
        <v>3867</v>
      </c>
      <c r="E309" s="68">
        <v>45799.77423611111</v>
      </c>
      <c r="F309" s="68">
        <v>45905.767743055556</v>
      </c>
      <c r="G309" s="58">
        <v>27.0</v>
      </c>
      <c r="H309" s="58" t="s">
        <v>3342</v>
      </c>
      <c r="I309" s="58" t="s">
        <v>3877</v>
      </c>
      <c r="J309" s="58" t="s">
        <v>3342</v>
      </c>
      <c r="K309" s="58" t="s">
        <v>3868</v>
      </c>
      <c r="L309" s="58">
        <v>16.0</v>
      </c>
      <c r="M309" s="58" t="s">
        <v>3918</v>
      </c>
      <c r="N309" s="58">
        <v>2.0</v>
      </c>
      <c r="O309" s="58" t="b">
        <v>1</v>
      </c>
      <c r="P309" s="58"/>
      <c r="Q309" s="58"/>
      <c r="R309" s="59" t="str">
        <f>IF(COUNTIF('Active Employees'!B:B, B309)&gt;0,"Y","N")</f>
        <v>Y</v>
      </c>
      <c r="S309" s="58"/>
      <c r="T309" s="58"/>
    </row>
    <row r="310">
      <c r="A310" s="58" t="s">
        <v>3170</v>
      </c>
      <c r="B310" s="58" t="s">
        <v>1266</v>
      </c>
      <c r="C310" s="58" t="s">
        <v>3866</v>
      </c>
      <c r="D310" s="58" t="s">
        <v>3867</v>
      </c>
      <c r="E310" s="68">
        <v>45799.77532407407</v>
      </c>
      <c r="F310" s="68">
        <v>45905.10256944445</v>
      </c>
      <c r="G310" s="58">
        <v>27.0</v>
      </c>
      <c r="H310" s="58" t="s">
        <v>3342</v>
      </c>
      <c r="I310" s="58" t="s">
        <v>3877</v>
      </c>
      <c r="J310" s="58" t="s">
        <v>3342</v>
      </c>
      <c r="K310" s="58" t="s">
        <v>3868</v>
      </c>
      <c r="L310" s="58">
        <v>14.0</v>
      </c>
      <c r="M310" s="58" t="s">
        <v>3885</v>
      </c>
      <c r="N310" s="58">
        <v>2.0</v>
      </c>
      <c r="O310" s="58" t="b">
        <v>1</v>
      </c>
      <c r="P310" s="58"/>
      <c r="Q310" s="58"/>
      <c r="R310" s="59" t="str">
        <f>IF(COUNTIF('Active Employees'!B:B, B310)&gt;0,"Y","N")</f>
        <v>Y</v>
      </c>
      <c r="S310" s="58"/>
      <c r="T310" s="58"/>
    </row>
    <row r="311">
      <c r="A311" s="58" t="s">
        <v>3200</v>
      </c>
      <c r="B311" s="58" t="s">
        <v>738</v>
      </c>
      <c r="C311" s="58" t="s">
        <v>3866</v>
      </c>
      <c r="D311" s="58" t="s">
        <v>3867</v>
      </c>
      <c r="E311" s="68">
        <v>45799.77533564815</v>
      </c>
      <c r="F311" s="68">
        <v>45905.03627314815</v>
      </c>
      <c r="G311" s="58">
        <v>27.0</v>
      </c>
      <c r="H311" s="58" t="s">
        <v>3342</v>
      </c>
      <c r="I311" s="58" t="s">
        <v>3877</v>
      </c>
      <c r="J311" s="58" t="s">
        <v>3342</v>
      </c>
      <c r="K311" s="58" t="s">
        <v>3868</v>
      </c>
      <c r="L311" s="58">
        <v>35.0</v>
      </c>
      <c r="M311" s="58" t="s">
        <v>3885</v>
      </c>
      <c r="N311" s="58">
        <v>2.0</v>
      </c>
      <c r="O311" s="58" t="b">
        <v>1</v>
      </c>
      <c r="P311" s="58"/>
      <c r="Q311" s="58"/>
      <c r="R311" s="59" t="str">
        <f>IF(COUNTIF('Active Employees'!B:B, B311)&gt;0,"Y","N")</f>
        <v>Y</v>
      </c>
      <c r="S311" s="58"/>
      <c r="T311" s="58"/>
    </row>
    <row r="312">
      <c r="A312" s="58" t="s">
        <v>489</v>
      </c>
      <c r="B312" s="58" t="s">
        <v>1208</v>
      </c>
      <c r="C312" s="58" t="s">
        <v>4009</v>
      </c>
      <c r="D312" s="58" t="s">
        <v>4010</v>
      </c>
      <c r="E312" s="68">
        <v>45799.767743055556</v>
      </c>
      <c r="F312" s="68">
        <v>45906.12451388889</v>
      </c>
      <c r="G312" s="58">
        <v>26.0</v>
      </c>
      <c r="H312" s="58" t="s">
        <v>3342</v>
      </c>
      <c r="I312" s="58" t="s">
        <v>3877</v>
      </c>
      <c r="J312" s="58" t="s">
        <v>3342</v>
      </c>
      <c r="K312" s="58" t="s">
        <v>4011</v>
      </c>
      <c r="L312" s="58">
        <v>65.0</v>
      </c>
      <c r="M312" s="58" t="s">
        <v>4053</v>
      </c>
      <c r="N312" s="58">
        <v>3.0</v>
      </c>
      <c r="O312" s="58" t="b">
        <v>1</v>
      </c>
      <c r="P312" s="58"/>
      <c r="Q312" s="58"/>
      <c r="R312" s="59" t="str">
        <f>IF(COUNTIF('Active Employees'!B:B, B312)&gt;0,"Y","N")</f>
        <v>Y</v>
      </c>
      <c r="S312" s="58"/>
      <c r="T312" s="58"/>
    </row>
    <row r="313">
      <c r="A313" s="58" t="s">
        <v>4054</v>
      </c>
      <c r="B313" s="58" t="s">
        <v>1151</v>
      </c>
      <c r="C313" s="58" t="s">
        <v>3866</v>
      </c>
      <c r="D313" s="58" t="s">
        <v>3867</v>
      </c>
      <c r="E313" s="68">
        <v>45799.77423611111</v>
      </c>
      <c r="F313" s="68">
        <v>45909.552465277775</v>
      </c>
      <c r="G313" s="58">
        <v>23.0</v>
      </c>
      <c r="H313" s="58" t="s">
        <v>3342</v>
      </c>
      <c r="I313" s="58" t="s">
        <v>3877</v>
      </c>
      <c r="J313" s="58" t="s">
        <v>3342</v>
      </c>
      <c r="K313" s="58" t="s">
        <v>3868</v>
      </c>
      <c r="L313" s="58">
        <v>32.0</v>
      </c>
      <c r="M313" s="58" t="s">
        <v>3918</v>
      </c>
      <c r="N313" s="58">
        <v>2.0</v>
      </c>
      <c r="O313" s="58" t="b">
        <v>1</v>
      </c>
      <c r="P313" s="58"/>
      <c r="Q313" s="58"/>
      <c r="R313" s="59" t="str">
        <f>IF(COUNTIF('Active Employees'!B:B, B313)&gt;0,"Y","N")</f>
        <v>Y</v>
      </c>
      <c r="S313" s="58"/>
      <c r="T313" s="58"/>
    </row>
    <row r="314">
      <c r="A314" s="58" t="s">
        <v>1776</v>
      </c>
      <c r="B314" s="58" t="s">
        <v>1169</v>
      </c>
      <c r="C314" s="58" t="s">
        <v>3866</v>
      </c>
      <c r="D314" s="58" t="s">
        <v>3867</v>
      </c>
      <c r="E314" s="68">
        <v>45799.77417824074</v>
      </c>
      <c r="F314" s="68">
        <v>45909.369837962964</v>
      </c>
      <c r="G314" s="58">
        <v>23.0</v>
      </c>
      <c r="H314" s="58" t="s">
        <v>3342</v>
      </c>
      <c r="I314" s="58" t="s">
        <v>3877</v>
      </c>
      <c r="J314" s="58" t="s">
        <v>3342</v>
      </c>
      <c r="K314" s="58" t="s">
        <v>3868</v>
      </c>
      <c r="L314" s="58">
        <v>143.0</v>
      </c>
      <c r="M314" s="58" t="s">
        <v>3918</v>
      </c>
      <c r="N314" s="58">
        <v>2.0</v>
      </c>
      <c r="O314" s="58" t="b">
        <v>1</v>
      </c>
      <c r="P314" s="58"/>
      <c r="Q314" s="58"/>
      <c r="R314" s="59" t="str">
        <f>IF(COUNTIF('Active Employees'!B:B, B314)&gt;0,"Y","N")</f>
        <v>Y</v>
      </c>
      <c r="S314" s="58"/>
      <c r="T314" s="58"/>
    </row>
    <row r="315">
      <c r="A315" s="58" t="s">
        <v>3230</v>
      </c>
      <c r="B315" s="58" t="s">
        <v>1426</v>
      </c>
      <c r="C315" s="58" t="s">
        <v>3961</v>
      </c>
      <c r="D315" s="58" t="s">
        <v>1440</v>
      </c>
      <c r="E315" s="68">
        <v>45799.77479166666</v>
      </c>
      <c r="F315" s="68">
        <v>45909.50879629629</v>
      </c>
      <c r="G315" s="58">
        <v>23.0</v>
      </c>
      <c r="H315" s="58" t="s">
        <v>3342</v>
      </c>
      <c r="I315" s="58" t="s">
        <v>3877</v>
      </c>
      <c r="J315" s="58" t="s">
        <v>3342</v>
      </c>
      <c r="K315" s="58" t="s">
        <v>3972</v>
      </c>
      <c r="L315" s="58">
        <v>628.0</v>
      </c>
      <c r="M315" s="58" t="s">
        <v>3869</v>
      </c>
      <c r="N315" s="58">
        <v>2.0</v>
      </c>
      <c r="O315" s="58" t="b">
        <v>1</v>
      </c>
      <c r="P315" s="58"/>
      <c r="Q315" s="58"/>
      <c r="R315" s="59" t="str">
        <f>IF(COUNTIF('Active Employees'!B:B, B315)&gt;0,"Y","N")</f>
        <v>Y</v>
      </c>
      <c r="S315" s="58"/>
      <c r="T315" s="58"/>
    </row>
    <row r="316">
      <c r="A316" s="58" t="s">
        <v>58</v>
      </c>
      <c r="B316" s="58" t="s">
        <v>635</v>
      </c>
      <c r="C316" s="58" t="s">
        <v>3866</v>
      </c>
      <c r="D316" s="58" t="s">
        <v>3867</v>
      </c>
      <c r="E316" s="68">
        <v>45799.817025462966</v>
      </c>
      <c r="F316" s="68">
        <v>45910.552395833336</v>
      </c>
      <c r="G316" s="58">
        <v>22.0</v>
      </c>
      <c r="H316" s="58" t="s">
        <v>3342</v>
      </c>
      <c r="I316" s="58" t="s">
        <v>3877</v>
      </c>
      <c r="J316" s="58" t="s">
        <v>3342</v>
      </c>
      <c r="K316" s="58" t="s">
        <v>3868</v>
      </c>
      <c r="L316" s="58">
        <v>20.0</v>
      </c>
      <c r="M316" s="58" t="s">
        <v>3885</v>
      </c>
      <c r="N316" s="58">
        <v>2.0</v>
      </c>
      <c r="O316" s="58" t="b">
        <v>1</v>
      </c>
      <c r="P316" s="58"/>
      <c r="Q316" s="58"/>
      <c r="R316" s="59" t="str">
        <f>IF(COUNTIF('Active Employees'!B:B, B316)&gt;0,"Y","N")</f>
        <v>Y</v>
      </c>
      <c r="S316" s="58"/>
      <c r="T316" s="58"/>
    </row>
    <row r="317">
      <c r="A317" s="58" t="s">
        <v>3053</v>
      </c>
      <c r="B317" s="58" t="s">
        <v>729</v>
      </c>
      <c r="C317" s="58" t="s">
        <v>3866</v>
      </c>
      <c r="D317" s="58" t="s">
        <v>3867</v>
      </c>
      <c r="E317" s="68">
        <v>45799.77480324074</v>
      </c>
      <c r="F317" s="68">
        <v>45910.656701388885</v>
      </c>
      <c r="G317" s="58">
        <v>22.0</v>
      </c>
      <c r="H317" s="58" t="s">
        <v>3342</v>
      </c>
      <c r="I317" s="58" t="s">
        <v>3877</v>
      </c>
      <c r="J317" s="58" t="s">
        <v>3342</v>
      </c>
      <c r="K317" s="58" t="s">
        <v>3868</v>
      </c>
      <c r="L317" s="58">
        <v>76.0</v>
      </c>
      <c r="M317" s="58" t="s">
        <v>4055</v>
      </c>
      <c r="N317" s="58">
        <v>3.0</v>
      </c>
      <c r="O317" s="58" t="b">
        <v>1</v>
      </c>
      <c r="P317" s="58"/>
      <c r="Q317" s="58"/>
      <c r="R317" s="59" t="str">
        <f>IF(COUNTIF('Active Employees'!B:B, B317)&gt;0,"Y","N")</f>
        <v>Y</v>
      </c>
      <c r="S317" s="58"/>
      <c r="T317" s="58"/>
    </row>
    <row r="318">
      <c r="A318" s="58" t="s">
        <v>3210</v>
      </c>
      <c r="B318" s="58" t="s">
        <v>142</v>
      </c>
      <c r="C318" s="58" t="s">
        <v>3866</v>
      </c>
      <c r="D318" s="58" t="s">
        <v>3867</v>
      </c>
      <c r="E318" s="68">
        <v>45799.77533564815</v>
      </c>
      <c r="F318" s="68">
        <v>45910.4383912037</v>
      </c>
      <c r="G318" s="58">
        <v>22.0</v>
      </c>
      <c r="H318" s="58" t="s">
        <v>3342</v>
      </c>
      <c r="I318" s="58" t="s">
        <v>3877</v>
      </c>
      <c r="J318" s="58" t="s">
        <v>3342</v>
      </c>
      <c r="K318" s="58" t="s">
        <v>3868</v>
      </c>
      <c r="L318" s="58">
        <v>63.0</v>
      </c>
      <c r="M318" s="58" t="s">
        <v>3885</v>
      </c>
      <c r="N318" s="58">
        <v>2.0</v>
      </c>
      <c r="O318" s="58" t="b">
        <v>1</v>
      </c>
      <c r="P318" s="58"/>
      <c r="Q318" s="58"/>
      <c r="R318" s="59" t="str">
        <f>IF(COUNTIF('Active Employees'!B:B, B318)&gt;0,"Y","N")</f>
        <v>Y</v>
      </c>
      <c r="S318" s="58"/>
      <c r="T318" s="58"/>
    </row>
    <row r="319">
      <c r="A319" s="58" t="s">
        <v>3283</v>
      </c>
      <c r="B319" s="58" t="s">
        <v>1118</v>
      </c>
      <c r="C319" s="58" t="s">
        <v>3866</v>
      </c>
      <c r="D319" s="58" t="s">
        <v>3867</v>
      </c>
      <c r="E319" s="68">
        <v>45799.81621527778</v>
      </c>
      <c r="F319" s="68">
        <v>45911.64958333333</v>
      </c>
      <c r="G319" s="58">
        <v>21.0</v>
      </c>
      <c r="H319" s="58" t="s">
        <v>3342</v>
      </c>
      <c r="I319" s="58" t="s">
        <v>3877</v>
      </c>
      <c r="J319" s="58" t="s">
        <v>3342</v>
      </c>
      <c r="K319" s="58" t="s">
        <v>3868</v>
      </c>
      <c r="L319" s="58">
        <v>7.0</v>
      </c>
      <c r="M319" s="58" t="s">
        <v>3878</v>
      </c>
      <c r="N319" s="58">
        <v>2.0</v>
      </c>
      <c r="O319" s="58" t="b">
        <v>1</v>
      </c>
      <c r="P319" s="58"/>
      <c r="Q319" s="58"/>
      <c r="R319" s="59" t="str">
        <f>IF(COUNTIF('Active Employees'!B:B, B319)&gt;0,"Y","N")</f>
        <v>Y</v>
      </c>
      <c r="S319" s="58"/>
      <c r="T319" s="58"/>
    </row>
    <row r="320">
      <c r="A320" s="58" t="s">
        <v>166</v>
      </c>
      <c r="B320" s="58" t="s">
        <v>784</v>
      </c>
      <c r="C320" s="58" t="s">
        <v>3866</v>
      </c>
      <c r="D320" s="58" t="s">
        <v>3867</v>
      </c>
      <c r="E320" s="68">
        <v>45799.77452546296</v>
      </c>
      <c r="F320" s="68">
        <v>45912.634664351855</v>
      </c>
      <c r="G320" s="58">
        <v>20.0</v>
      </c>
      <c r="H320" s="58" t="s">
        <v>3342</v>
      </c>
      <c r="I320" s="58" t="s">
        <v>3877</v>
      </c>
      <c r="J320" s="58" t="s">
        <v>3342</v>
      </c>
      <c r="K320" s="58" t="s">
        <v>3868</v>
      </c>
      <c r="L320" s="58">
        <v>16.0</v>
      </c>
      <c r="M320" s="58" t="s">
        <v>3878</v>
      </c>
      <c r="N320" s="58">
        <v>2.0</v>
      </c>
      <c r="O320" s="58" t="b">
        <v>1</v>
      </c>
      <c r="P320" s="58"/>
      <c r="Q320" s="58"/>
      <c r="R320" s="59" t="str">
        <f>IF(COUNTIF('Active Employees'!B:B, B320)&gt;0,"Y","N")</f>
        <v>Y</v>
      </c>
      <c r="S320" s="58"/>
      <c r="T320" s="58"/>
    </row>
    <row r="321">
      <c r="A321" s="58" t="s">
        <v>3264</v>
      </c>
      <c r="B321" s="58" t="s">
        <v>842</v>
      </c>
      <c r="C321" s="58" t="s">
        <v>3866</v>
      </c>
      <c r="D321" s="58" t="s">
        <v>3867</v>
      </c>
      <c r="E321" s="68">
        <v>45799.77525462963</v>
      </c>
      <c r="F321" s="68">
        <v>45913.75231481482</v>
      </c>
      <c r="G321" s="58">
        <v>19.0</v>
      </c>
      <c r="H321" s="58" t="s">
        <v>3342</v>
      </c>
      <c r="I321" s="58" t="s">
        <v>3877</v>
      </c>
      <c r="J321" s="58" t="s">
        <v>3342</v>
      </c>
      <c r="K321" s="58" t="s">
        <v>3868</v>
      </c>
      <c r="L321" s="58">
        <v>59.0</v>
      </c>
      <c r="M321" s="58" t="s">
        <v>3885</v>
      </c>
      <c r="N321" s="58">
        <v>2.0</v>
      </c>
      <c r="O321" s="58" t="b">
        <v>1</v>
      </c>
      <c r="P321" s="58"/>
      <c r="Q321" s="58"/>
      <c r="R321" s="59" t="str">
        <f>IF(COUNTIF('Active Employees'!B:B, B321)&gt;0,"Y","N")</f>
        <v>Y</v>
      </c>
      <c r="S321" s="58"/>
      <c r="T321" s="58"/>
    </row>
    <row r="322">
      <c r="A322" s="58" t="s">
        <v>160</v>
      </c>
      <c r="B322" s="58" t="s">
        <v>529</v>
      </c>
      <c r="C322" s="58" t="s">
        <v>3866</v>
      </c>
      <c r="D322" s="58" t="s">
        <v>3867</v>
      </c>
      <c r="E322" s="68">
        <v>45799.77427083333</v>
      </c>
      <c r="F322" s="68">
        <v>45915.72325231481</v>
      </c>
      <c r="G322" s="58">
        <v>17.0</v>
      </c>
      <c r="H322" s="58" t="s">
        <v>771</v>
      </c>
      <c r="I322" s="58" t="s">
        <v>856</v>
      </c>
      <c r="J322" s="68">
        <v>45495.78989583333</v>
      </c>
      <c r="K322" s="58" t="s">
        <v>3868</v>
      </c>
      <c r="L322" s="58">
        <v>307.0</v>
      </c>
      <c r="M322" s="58" t="s">
        <v>4055</v>
      </c>
      <c r="N322" s="58">
        <v>3.0</v>
      </c>
      <c r="O322" s="58" t="b">
        <v>1</v>
      </c>
      <c r="P322" s="58"/>
      <c r="Q322" s="58"/>
      <c r="R322" s="59" t="str">
        <f>IF(COUNTIF('Active Employees'!B:B, B322)&gt;0,"Y","N")</f>
        <v>Y</v>
      </c>
      <c r="S322" s="58"/>
      <c r="T322" s="58"/>
    </row>
    <row r="323">
      <c r="A323" s="58" t="s">
        <v>3020</v>
      </c>
      <c r="B323" s="58" t="s">
        <v>818</v>
      </c>
      <c r="C323" s="58" t="s">
        <v>3866</v>
      </c>
      <c r="D323" s="58" t="s">
        <v>3867</v>
      </c>
      <c r="E323" s="68">
        <v>45799.7740162037</v>
      </c>
      <c r="F323" s="68">
        <v>45915.63018518518</v>
      </c>
      <c r="G323" s="58">
        <v>17.0</v>
      </c>
      <c r="H323" s="58" t="s">
        <v>3342</v>
      </c>
      <c r="I323" s="58" t="s">
        <v>3877</v>
      </c>
      <c r="J323" s="58" t="s">
        <v>3342</v>
      </c>
      <c r="K323" s="58" t="s">
        <v>3868</v>
      </c>
      <c r="L323" s="58">
        <v>28.0</v>
      </c>
      <c r="M323" s="58" t="s">
        <v>3911</v>
      </c>
      <c r="N323" s="58">
        <v>3.0</v>
      </c>
      <c r="O323" s="58" t="b">
        <v>1</v>
      </c>
      <c r="P323" s="58"/>
      <c r="Q323" s="58"/>
      <c r="R323" s="59" t="str">
        <f>IF(COUNTIF('Active Employees'!B:B, B323)&gt;0,"Y","N")</f>
        <v>Y</v>
      </c>
      <c r="S323" s="58"/>
      <c r="T323" s="58"/>
    </row>
    <row r="324">
      <c r="A324" s="58" t="s">
        <v>75</v>
      </c>
      <c r="B324" s="58" t="s">
        <v>343</v>
      </c>
      <c r="C324" s="58" t="s">
        <v>4009</v>
      </c>
      <c r="D324" s="58" t="s">
        <v>4010</v>
      </c>
      <c r="E324" s="68">
        <v>45741.61351851852</v>
      </c>
      <c r="F324" s="68">
        <v>45915.84149305556</v>
      </c>
      <c r="G324" s="58">
        <v>17.0</v>
      </c>
      <c r="H324" s="58" t="s">
        <v>771</v>
      </c>
      <c r="I324" s="58" t="s">
        <v>856</v>
      </c>
      <c r="J324" s="68">
        <v>45735.855208333334</v>
      </c>
      <c r="K324" s="58" t="s">
        <v>4011</v>
      </c>
      <c r="L324" s="58">
        <v>248.0</v>
      </c>
      <c r="M324" s="58" t="s">
        <v>4047</v>
      </c>
      <c r="N324" s="58">
        <v>3.0</v>
      </c>
      <c r="O324" s="58" t="b">
        <v>1</v>
      </c>
      <c r="P324" s="58"/>
      <c r="Q324" s="58"/>
      <c r="R324" s="59" t="str">
        <f>IF(COUNTIF('Active Employees'!B:B, B324)&gt;0,"Y","N")</f>
        <v>Y</v>
      </c>
      <c r="S324" s="58"/>
      <c r="T324" s="58"/>
    </row>
    <row r="325">
      <c r="A325" s="58" t="s">
        <v>758</v>
      </c>
      <c r="B325" s="58" t="s">
        <v>556</v>
      </c>
      <c r="C325" s="58" t="s">
        <v>3866</v>
      </c>
      <c r="D325" s="58" t="s">
        <v>3867</v>
      </c>
      <c r="E325" s="68">
        <v>45799.77415509259</v>
      </c>
      <c r="F325" s="68">
        <v>45915.85293981482</v>
      </c>
      <c r="G325" s="58">
        <v>17.0</v>
      </c>
      <c r="H325" s="58" t="s">
        <v>3342</v>
      </c>
      <c r="I325" s="58" t="s">
        <v>3877</v>
      </c>
      <c r="J325" s="58" t="s">
        <v>3342</v>
      </c>
      <c r="K325" s="58" t="s">
        <v>3868</v>
      </c>
      <c r="L325" s="58">
        <v>19.0</v>
      </c>
      <c r="M325" s="58" t="s">
        <v>3918</v>
      </c>
      <c r="N325" s="58">
        <v>2.0</v>
      </c>
      <c r="O325" s="58" t="b">
        <v>1</v>
      </c>
      <c r="P325" s="58"/>
      <c r="Q325" s="58"/>
      <c r="R325" s="59" t="str">
        <f>IF(COUNTIF('Active Employees'!B:B, B325)&gt;0,"Y","N")</f>
        <v>Y</v>
      </c>
      <c r="S325" s="58"/>
      <c r="T325" s="58"/>
    </row>
    <row r="326">
      <c r="A326" s="58" t="s">
        <v>3225</v>
      </c>
      <c r="B326" s="58" t="s">
        <v>376</v>
      </c>
      <c r="C326" s="58" t="s">
        <v>3866</v>
      </c>
      <c r="D326" s="58" t="s">
        <v>3867</v>
      </c>
      <c r="E326" s="68">
        <v>45799.77523148148</v>
      </c>
      <c r="F326" s="68">
        <v>45916.24935185185</v>
      </c>
      <c r="G326" s="58">
        <v>16.0</v>
      </c>
      <c r="H326" s="58" t="s">
        <v>3342</v>
      </c>
      <c r="I326" s="58" t="s">
        <v>3877</v>
      </c>
      <c r="J326" s="58" t="s">
        <v>3342</v>
      </c>
      <c r="K326" s="58" t="s">
        <v>3868</v>
      </c>
      <c r="L326" s="58">
        <v>135.0</v>
      </c>
      <c r="M326" s="58" t="s">
        <v>3885</v>
      </c>
      <c r="N326" s="58">
        <v>2.0</v>
      </c>
      <c r="O326" s="58" t="b">
        <v>1</v>
      </c>
      <c r="P326" s="58"/>
      <c r="Q326" s="58"/>
      <c r="R326" s="59" t="str">
        <f>IF(COUNTIF('Active Employees'!B:B, B326)&gt;0,"Y","N")</f>
        <v>Y</v>
      </c>
      <c r="S326" s="58"/>
      <c r="T326" s="58"/>
    </row>
    <row r="327">
      <c r="A327" s="58" t="s">
        <v>3320</v>
      </c>
      <c r="B327" s="58" t="s">
        <v>1134</v>
      </c>
      <c r="C327" s="58" t="s">
        <v>3866</v>
      </c>
      <c r="D327" s="58" t="s">
        <v>3867</v>
      </c>
      <c r="E327" s="68">
        <v>45799.817037037035</v>
      </c>
      <c r="F327" s="68">
        <v>45916.67810185185</v>
      </c>
      <c r="G327" s="58">
        <v>16.0</v>
      </c>
      <c r="H327" s="58" t="s">
        <v>3342</v>
      </c>
      <c r="I327" s="58" t="s">
        <v>3877</v>
      </c>
      <c r="J327" s="58" t="s">
        <v>3342</v>
      </c>
      <c r="K327" s="58" t="s">
        <v>3868</v>
      </c>
      <c r="L327" s="58">
        <v>129.0</v>
      </c>
      <c r="M327" s="58" t="s">
        <v>3885</v>
      </c>
      <c r="N327" s="58">
        <v>2.0</v>
      </c>
      <c r="O327" s="58" t="b">
        <v>1</v>
      </c>
      <c r="P327" s="58"/>
      <c r="Q327" s="58"/>
      <c r="R327" s="59" t="str">
        <f>IF(COUNTIF('Active Employees'!B:B, B327)&gt;0,"Y","N")</f>
        <v>Y</v>
      </c>
      <c r="S327" s="58"/>
      <c r="T327" s="58"/>
    </row>
    <row r="328">
      <c r="A328" s="58" t="s">
        <v>4056</v>
      </c>
      <c r="B328" s="58" t="s">
        <v>597</v>
      </c>
      <c r="C328" s="58" t="s">
        <v>3866</v>
      </c>
      <c r="D328" s="58" t="s">
        <v>3867</v>
      </c>
      <c r="E328" s="68">
        <v>45799.77415509259</v>
      </c>
      <c r="F328" s="68">
        <v>45917.823912037034</v>
      </c>
      <c r="G328" s="58">
        <v>15.0</v>
      </c>
      <c r="H328" s="58" t="s">
        <v>3342</v>
      </c>
      <c r="I328" s="58" t="s">
        <v>3877</v>
      </c>
      <c r="J328" s="58" t="s">
        <v>3342</v>
      </c>
      <c r="K328" s="58" t="s">
        <v>3868</v>
      </c>
      <c r="L328" s="58">
        <v>4.0</v>
      </c>
      <c r="M328" s="58" t="s">
        <v>3918</v>
      </c>
      <c r="N328" s="58">
        <v>2.0</v>
      </c>
      <c r="O328" s="58" t="b">
        <v>1</v>
      </c>
      <c r="P328" s="58"/>
      <c r="Q328" s="58"/>
      <c r="R328" s="59" t="str">
        <f>IF(COUNTIF('Active Employees'!B:B, B328)&gt;0,"Y","N")</f>
        <v>Y</v>
      </c>
      <c r="S328" s="58"/>
      <c r="T328" s="58"/>
    </row>
    <row r="329">
      <c r="A329" s="58" t="s">
        <v>3018</v>
      </c>
      <c r="B329" s="58" t="s">
        <v>561</v>
      </c>
      <c r="C329" s="58" t="s">
        <v>3866</v>
      </c>
      <c r="D329" s="58" t="s">
        <v>3867</v>
      </c>
      <c r="E329" s="68">
        <v>45799.77421296296</v>
      </c>
      <c r="F329" s="68">
        <v>45917.91049768519</v>
      </c>
      <c r="G329" s="58">
        <v>15.0</v>
      </c>
      <c r="H329" s="58" t="s">
        <v>3342</v>
      </c>
      <c r="I329" s="58" t="s">
        <v>3877</v>
      </c>
      <c r="J329" s="58" t="s">
        <v>3342</v>
      </c>
      <c r="K329" s="58" t="s">
        <v>3868</v>
      </c>
      <c r="L329" s="58">
        <v>29.0</v>
      </c>
      <c r="M329" s="58" t="s">
        <v>3918</v>
      </c>
      <c r="N329" s="58">
        <v>2.0</v>
      </c>
      <c r="O329" s="58" t="b">
        <v>1</v>
      </c>
      <c r="P329" s="58"/>
      <c r="Q329" s="58"/>
      <c r="R329" s="59" t="str">
        <f>IF(COUNTIF('Active Employees'!B:B, B329)&gt;0,"Y","N")</f>
        <v>Y</v>
      </c>
      <c r="S329" s="58"/>
      <c r="T329" s="58"/>
    </row>
    <row r="330">
      <c r="A330" s="58" t="s">
        <v>4057</v>
      </c>
      <c r="B330" s="58" t="s">
        <v>1072</v>
      </c>
      <c r="C330" s="58" t="s">
        <v>3866</v>
      </c>
      <c r="D330" s="58" t="s">
        <v>3867</v>
      </c>
      <c r="E330" s="68">
        <v>45845.34512731482</v>
      </c>
      <c r="F330" s="68">
        <v>45917.834548611114</v>
      </c>
      <c r="G330" s="58">
        <v>15.0</v>
      </c>
      <c r="H330" s="58" t="s">
        <v>3342</v>
      </c>
      <c r="I330" s="58" t="s">
        <v>3877</v>
      </c>
      <c r="J330" s="58" t="s">
        <v>3342</v>
      </c>
      <c r="K330" s="58" t="s">
        <v>3868</v>
      </c>
      <c r="L330" s="58">
        <v>10.0</v>
      </c>
      <c r="M330" s="58" t="s">
        <v>3918</v>
      </c>
      <c r="N330" s="58">
        <v>2.0</v>
      </c>
      <c r="O330" s="58" t="b">
        <v>1</v>
      </c>
      <c r="P330" s="58"/>
      <c r="Q330" s="58"/>
      <c r="R330" s="59" t="str">
        <f>IF(COUNTIF('Active Employees'!B:B, B330)&gt;0,"Y","N")</f>
        <v>Y</v>
      </c>
      <c r="S330" s="58"/>
      <c r="T330" s="58"/>
    </row>
    <row r="331">
      <c r="A331" s="58" t="s">
        <v>3319</v>
      </c>
      <c r="B331" s="58" t="s">
        <v>1412</v>
      </c>
      <c r="C331" s="58" t="s">
        <v>3866</v>
      </c>
      <c r="D331" s="58" t="s">
        <v>3867</v>
      </c>
      <c r="E331" s="68">
        <v>45799.775243055556</v>
      </c>
      <c r="F331" s="68">
        <v>45917.659849537034</v>
      </c>
      <c r="G331" s="58">
        <v>15.0</v>
      </c>
      <c r="H331" s="58" t="s">
        <v>3342</v>
      </c>
      <c r="I331" s="58" t="s">
        <v>3877</v>
      </c>
      <c r="J331" s="58" t="s">
        <v>3342</v>
      </c>
      <c r="K331" s="58" t="s">
        <v>3868</v>
      </c>
      <c r="L331" s="58">
        <v>235.0</v>
      </c>
      <c r="M331" s="58" t="s">
        <v>3885</v>
      </c>
      <c r="N331" s="58">
        <v>2.0</v>
      </c>
      <c r="O331" s="58" t="b">
        <v>1</v>
      </c>
      <c r="P331" s="58"/>
      <c r="Q331" s="58"/>
      <c r="R331" s="59" t="str">
        <f>IF(COUNTIF('Active Employees'!B:B, B331)&gt;0,"Y","N")</f>
        <v>Y</v>
      </c>
      <c r="S331" s="58"/>
      <c r="T331" s="58"/>
    </row>
    <row r="332">
      <c r="A332" s="58" t="s">
        <v>429</v>
      </c>
      <c r="B332" s="58" t="s">
        <v>794</v>
      </c>
      <c r="C332" s="58" t="s">
        <v>3961</v>
      </c>
      <c r="D332" s="58" t="s">
        <v>3962</v>
      </c>
      <c r="E332" s="68">
        <v>45212.856574074074</v>
      </c>
      <c r="F332" s="68">
        <v>45917.61068287037</v>
      </c>
      <c r="G332" s="58">
        <v>15.0</v>
      </c>
      <c r="H332" s="58" t="s">
        <v>3342</v>
      </c>
      <c r="I332" s="58" t="s">
        <v>3877</v>
      </c>
      <c r="J332" s="58" t="s">
        <v>3342</v>
      </c>
      <c r="K332" s="58" t="s">
        <v>3963</v>
      </c>
      <c r="L332" s="58">
        <v>316.0</v>
      </c>
      <c r="M332" s="58" t="s">
        <v>3918</v>
      </c>
      <c r="N332" s="58">
        <v>2.0</v>
      </c>
      <c r="O332" s="58" t="b">
        <v>1</v>
      </c>
      <c r="P332" s="58"/>
      <c r="Q332" s="58"/>
      <c r="R332" s="59" t="str">
        <f>IF(COUNTIF('Active Employees'!B:B, B332)&gt;0,"Y","N")</f>
        <v>Y</v>
      </c>
      <c r="S332" s="58"/>
      <c r="T332" s="58"/>
    </row>
    <row r="333">
      <c r="A333" s="58" t="s">
        <v>562</v>
      </c>
      <c r="B333" s="58" t="s">
        <v>811</v>
      </c>
      <c r="C333" s="58" t="s">
        <v>3866</v>
      </c>
      <c r="D333" s="58" t="s">
        <v>3867</v>
      </c>
      <c r="E333" s="68">
        <v>45799.77417824074</v>
      </c>
      <c r="F333" s="68">
        <v>45917.87552083333</v>
      </c>
      <c r="G333" s="58">
        <v>15.0</v>
      </c>
      <c r="H333" s="58" t="s">
        <v>3342</v>
      </c>
      <c r="I333" s="58" t="s">
        <v>3877</v>
      </c>
      <c r="J333" s="58" t="s">
        <v>3342</v>
      </c>
      <c r="K333" s="58" t="s">
        <v>3868</v>
      </c>
      <c r="L333" s="58">
        <v>87.0</v>
      </c>
      <c r="M333" s="58" t="s">
        <v>3918</v>
      </c>
      <c r="N333" s="58">
        <v>2.0</v>
      </c>
      <c r="O333" s="58" t="b">
        <v>1</v>
      </c>
      <c r="P333" s="58"/>
      <c r="Q333" s="58"/>
      <c r="R333" s="59" t="str">
        <f>IF(COUNTIF('Active Employees'!B:B, B333)&gt;0,"Y","N")</f>
        <v>Y</v>
      </c>
      <c r="S333" s="58"/>
      <c r="T333" s="58"/>
    </row>
    <row r="334">
      <c r="A334" s="58" t="s">
        <v>3161</v>
      </c>
      <c r="B334" s="58" t="s">
        <v>1130</v>
      </c>
      <c r="C334" s="58" t="s">
        <v>3866</v>
      </c>
      <c r="D334" s="58" t="s">
        <v>3867</v>
      </c>
      <c r="E334" s="68">
        <v>45799.81701388889</v>
      </c>
      <c r="F334" s="68">
        <v>45917.895324074074</v>
      </c>
      <c r="G334" s="58">
        <v>15.0</v>
      </c>
      <c r="H334" s="58" t="s">
        <v>3342</v>
      </c>
      <c r="I334" s="58" t="s">
        <v>3877</v>
      </c>
      <c r="J334" s="58" t="s">
        <v>3342</v>
      </c>
      <c r="K334" s="58" t="s">
        <v>3868</v>
      </c>
      <c r="L334" s="58">
        <v>56.0</v>
      </c>
      <c r="M334" s="58" t="s">
        <v>3885</v>
      </c>
      <c r="N334" s="58">
        <v>2.0</v>
      </c>
      <c r="O334" s="58" t="b">
        <v>1</v>
      </c>
      <c r="P334" s="58"/>
      <c r="Q334" s="58"/>
      <c r="R334" s="59" t="str">
        <f>IF(COUNTIF('Active Employees'!B:B, B334)&gt;0,"Y","N")</f>
        <v>Y</v>
      </c>
      <c r="S334" s="58"/>
      <c r="T334" s="58"/>
    </row>
    <row r="335">
      <c r="A335" s="58" t="s">
        <v>3154</v>
      </c>
      <c r="B335" s="58" t="s">
        <v>446</v>
      </c>
      <c r="C335" s="58" t="s">
        <v>3866</v>
      </c>
      <c r="D335" s="58" t="s">
        <v>3867</v>
      </c>
      <c r="E335" s="68">
        <v>45799.7740162037</v>
      </c>
      <c r="F335" s="68">
        <v>45917.54261574074</v>
      </c>
      <c r="G335" s="58">
        <v>15.0</v>
      </c>
      <c r="H335" s="58" t="s">
        <v>3342</v>
      </c>
      <c r="I335" s="58" t="s">
        <v>3877</v>
      </c>
      <c r="J335" s="58" t="s">
        <v>3342</v>
      </c>
      <c r="K335" s="58" t="s">
        <v>3868</v>
      </c>
      <c r="L335" s="58">
        <v>8.0</v>
      </c>
      <c r="M335" s="58" t="s">
        <v>3911</v>
      </c>
      <c r="N335" s="58">
        <v>3.0</v>
      </c>
      <c r="O335" s="58" t="b">
        <v>1</v>
      </c>
      <c r="P335" s="58"/>
      <c r="Q335" s="58"/>
      <c r="R335" s="59" t="str">
        <f>IF(COUNTIF('Active Employees'!B:B, B335)&gt;0,"Y","N")</f>
        <v>Y</v>
      </c>
      <c r="S335" s="58"/>
      <c r="T335" s="58"/>
    </row>
    <row r="336">
      <c r="A336" s="58" t="s">
        <v>4058</v>
      </c>
      <c r="B336" s="58" t="s">
        <v>1445</v>
      </c>
      <c r="C336" s="58" t="s">
        <v>3866</v>
      </c>
      <c r="D336" s="58" t="s">
        <v>3867</v>
      </c>
      <c r="E336" s="68">
        <v>45799.774189814816</v>
      </c>
      <c r="F336" s="68">
        <v>45918.69032407407</v>
      </c>
      <c r="G336" s="58">
        <v>14.0</v>
      </c>
      <c r="H336" s="58" t="s">
        <v>3342</v>
      </c>
      <c r="I336" s="58" t="s">
        <v>3877</v>
      </c>
      <c r="J336" s="58" t="s">
        <v>3342</v>
      </c>
      <c r="K336" s="58" t="s">
        <v>3868</v>
      </c>
      <c r="L336" s="58">
        <v>90.0</v>
      </c>
      <c r="M336" s="58" t="s">
        <v>3918</v>
      </c>
      <c r="N336" s="58">
        <v>2.0</v>
      </c>
      <c r="O336" s="58" t="b">
        <v>1</v>
      </c>
      <c r="P336" s="58"/>
      <c r="Q336" s="58"/>
      <c r="R336" s="59" t="str">
        <f>IF(COUNTIF('Active Employees'!B:B, B336)&gt;0,"Y","N")</f>
        <v>Y</v>
      </c>
      <c r="S336" s="58"/>
      <c r="T336" s="58"/>
    </row>
    <row r="337">
      <c r="A337" s="58" t="s">
        <v>4059</v>
      </c>
      <c r="B337" s="58" t="s">
        <v>880</v>
      </c>
      <c r="C337" s="58" t="s">
        <v>3961</v>
      </c>
      <c r="D337" s="58" t="s">
        <v>1440</v>
      </c>
      <c r="E337" s="68">
        <v>45799.77532407407</v>
      </c>
      <c r="F337" s="68">
        <v>45918.02855324074</v>
      </c>
      <c r="G337" s="58">
        <v>14.0</v>
      </c>
      <c r="H337" s="58" t="s">
        <v>3342</v>
      </c>
      <c r="I337" s="58" t="s">
        <v>3877</v>
      </c>
      <c r="J337" s="58" t="s">
        <v>3342</v>
      </c>
      <c r="K337" s="58" t="s">
        <v>3972</v>
      </c>
      <c r="L337" s="58">
        <v>99.0</v>
      </c>
      <c r="M337" s="58" t="s">
        <v>3885</v>
      </c>
      <c r="N337" s="58">
        <v>2.0</v>
      </c>
      <c r="O337" s="58" t="b">
        <v>1</v>
      </c>
      <c r="P337" s="58"/>
      <c r="Q337" s="58"/>
      <c r="R337" s="59" t="str">
        <f>IF(COUNTIF('Active Employees'!B:B, B337)&gt;0,"Y","N")</f>
        <v>Y</v>
      </c>
      <c r="S337" s="58"/>
      <c r="T337" s="58"/>
    </row>
    <row r="338">
      <c r="A338" s="58" t="s">
        <v>3150</v>
      </c>
      <c r="B338" s="58" t="s">
        <v>947</v>
      </c>
      <c r="C338" s="58" t="s">
        <v>3866</v>
      </c>
      <c r="D338" s="58" t="s">
        <v>3867</v>
      </c>
      <c r="E338" s="68">
        <v>45805.407534722224</v>
      </c>
      <c r="F338" s="68">
        <v>45918.79552083334</v>
      </c>
      <c r="G338" s="58">
        <v>14.0</v>
      </c>
      <c r="H338" s="58" t="s">
        <v>3342</v>
      </c>
      <c r="I338" s="58" t="s">
        <v>3877</v>
      </c>
      <c r="J338" s="58" t="s">
        <v>3342</v>
      </c>
      <c r="K338" s="58" t="s">
        <v>3868</v>
      </c>
      <c r="L338" s="58">
        <v>92.0</v>
      </c>
      <c r="M338" s="58" t="s">
        <v>3885</v>
      </c>
      <c r="N338" s="58">
        <v>2.0</v>
      </c>
      <c r="O338" s="58" t="b">
        <v>1</v>
      </c>
      <c r="P338" s="58"/>
      <c r="Q338" s="58"/>
      <c r="R338" s="59" t="str">
        <f>IF(COUNTIF('Active Employees'!B:B, B338)&gt;0,"Y","N")</f>
        <v>Y</v>
      </c>
      <c r="S338" s="58"/>
      <c r="T338" s="58"/>
    </row>
    <row r="339">
      <c r="A339" s="58" t="s">
        <v>3074</v>
      </c>
      <c r="B339" s="58" t="s">
        <v>695</v>
      </c>
      <c r="C339" s="58" t="s">
        <v>3866</v>
      </c>
      <c r="D339" s="58" t="s">
        <v>3867</v>
      </c>
      <c r="E339" s="68">
        <v>45799.816203703704</v>
      </c>
      <c r="F339" s="68">
        <v>45918.76740740741</v>
      </c>
      <c r="G339" s="58">
        <v>14.0</v>
      </c>
      <c r="H339" s="58" t="s">
        <v>3342</v>
      </c>
      <c r="I339" s="58" t="s">
        <v>3877</v>
      </c>
      <c r="J339" s="58" t="s">
        <v>3342</v>
      </c>
      <c r="K339" s="58" t="s">
        <v>3868</v>
      </c>
      <c r="L339" s="58">
        <v>166.0</v>
      </c>
      <c r="M339" s="58" t="s">
        <v>3878</v>
      </c>
      <c r="N339" s="58">
        <v>2.0</v>
      </c>
      <c r="O339" s="58" t="b">
        <v>1</v>
      </c>
      <c r="P339" s="58"/>
      <c r="Q339" s="58"/>
      <c r="R339" s="59" t="str">
        <f>IF(COUNTIF('Active Employees'!B:B, B339)&gt;0,"Y","N")</f>
        <v>Y</v>
      </c>
      <c r="S339" s="58"/>
      <c r="T339" s="58"/>
    </row>
    <row r="340">
      <c r="A340" s="58" t="s">
        <v>380</v>
      </c>
      <c r="B340" s="58" t="s">
        <v>273</v>
      </c>
      <c r="C340" s="58" t="s">
        <v>3866</v>
      </c>
      <c r="D340" s="58" t="s">
        <v>3867</v>
      </c>
      <c r="E340" s="68">
        <v>45799.7752662037</v>
      </c>
      <c r="F340" s="68">
        <v>45918.85744212963</v>
      </c>
      <c r="G340" s="58">
        <v>14.0</v>
      </c>
      <c r="H340" s="58" t="s">
        <v>3342</v>
      </c>
      <c r="I340" s="58" t="s">
        <v>3877</v>
      </c>
      <c r="J340" s="58" t="s">
        <v>3342</v>
      </c>
      <c r="K340" s="58" t="s">
        <v>3868</v>
      </c>
      <c r="L340" s="58">
        <v>130.0</v>
      </c>
      <c r="M340" s="58" t="s">
        <v>3885</v>
      </c>
      <c r="N340" s="58">
        <v>2.0</v>
      </c>
      <c r="O340" s="58" t="b">
        <v>1</v>
      </c>
      <c r="P340" s="58"/>
      <c r="Q340" s="58"/>
      <c r="R340" s="59" t="str">
        <f>IF(COUNTIF('Active Employees'!B:B, B340)&gt;0,"Y","N")</f>
        <v>Y</v>
      </c>
      <c r="S340" s="58"/>
      <c r="T340" s="58"/>
    </row>
    <row r="341">
      <c r="A341" s="58" t="s">
        <v>2971</v>
      </c>
      <c r="B341" s="58" t="s">
        <v>484</v>
      </c>
      <c r="C341" s="58" t="s">
        <v>3866</v>
      </c>
      <c r="D341" s="58" t="s">
        <v>3867</v>
      </c>
      <c r="E341" s="68">
        <v>45799.774247685185</v>
      </c>
      <c r="F341" s="68">
        <v>45918.60909722222</v>
      </c>
      <c r="G341" s="58">
        <v>14.0</v>
      </c>
      <c r="H341" s="58" t="s">
        <v>3342</v>
      </c>
      <c r="I341" s="58" t="s">
        <v>3877</v>
      </c>
      <c r="J341" s="58" t="s">
        <v>3342</v>
      </c>
      <c r="K341" s="58" t="s">
        <v>3868</v>
      </c>
      <c r="L341" s="58">
        <v>11.0</v>
      </c>
      <c r="M341" s="58" t="s">
        <v>3918</v>
      </c>
      <c r="N341" s="58">
        <v>2.0</v>
      </c>
      <c r="O341" s="58" t="b">
        <v>1</v>
      </c>
      <c r="P341" s="58"/>
      <c r="Q341" s="58"/>
      <c r="R341" s="59" t="str">
        <f>IF(COUNTIF('Active Employees'!B:B, B341)&gt;0,"Y","N")</f>
        <v>Y</v>
      </c>
      <c r="S341" s="58"/>
      <c r="T341" s="58"/>
    </row>
    <row r="342">
      <c r="A342" s="58" t="s">
        <v>3177</v>
      </c>
      <c r="B342" s="58" t="s">
        <v>1359</v>
      </c>
      <c r="C342" s="58" t="s">
        <v>3866</v>
      </c>
      <c r="D342" s="58" t="s">
        <v>3867</v>
      </c>
      <c r="E342" s="68">
        <v>45799.81704861111</v>
      </c>
      <c r="F342" s="68">
        <v>45918.90744212963</v>
      </c>
      <c r="G342" s="58">
        <v>14.0</v>
      </c>
      <c r="H342" s="58" t="s">
        <v>3342</v>
      </c>
      <c r="I342" s="58" t="s">
        <v>3877</v>
      </c>
      <c r="J342" s="58" t="s">
        <v>3342</v>
      </c>
      <c r="K342" s="58" t="s">
        <v>3868</v>
      </c>
      <c r="L342" s="58">
        <v>308.0</v>
      </c>
      <c r="M342" s="58" t="s">
        <v>3885</v>
      </c>
      <c r="N342" s="58">
        <v>2.0</v>
      </c>
      <c r="O342" s="58" t="b">
        <v>1</v>
      </c>
      <c r="P342" s="58"/>
      <c r="Q342" s="58"/>
      <c r="R342" s="59" t="str">
        <f>IF(COUNTIF('Active Employees'!B:B, B342)&gt;0,"Y","N")</f>
        <v>Y</v>
      </c>
      <c r="S342" s="58"/>
      <c r="T342" s="58"/>
    </row>
    <row r="343">
      <c r="A343" s="58" t="s">
        <v>3132</v>
      </c>
      <c r="B343" s="58" t="s">
        <v>671</v>
      </c>
      <c r="C343" s="58" t="s">
        <v>3866</v>
      </c>
      <c r="D343" s="58" t="s">
        <v>3867</v>
      </c>
      <c r="E343" s="68">
        <v>45799.77417824074</v>
      </c>
      <c r="F343" s="68">
        <v>45918.546793981484</v>
      </c>
      <c r="G343" s="58">
        <v>14.0</v>
      </c>
      <c r="H343" s="58" t="s">
        <v>3342</v>
      </c>
      <c r="I343" s="58" t="s">
        <v>3877</v>
      </c>
      <c r="J343" s="58" t="s">
        <v>3342</v>
      </c>
      <c r="K343" s="58" t="s">
        <v>3868</v>
      </c>
      <c r="L343" s="58">
        <v>107.0</v>
      </c>
      <c r="M343" s="58" t="s">
        <v>3918</v>
      </c>
      <c r="N343" s="58">
        <v>2.0</v>
      </c>
      <c r="O343" s="58" t="b">
        <v>1</v>
      </c>
      <c r="P343" s="58"/>
      <c r="Q343" s="58"/>
      <c r="R343" s="59" t="str">
        <f>IF(COUNTIF('Active Employees'!B:B, B343)&gt;0,"Y","N")</f>
        <v>Y</v>
      </c>
      <c r="S343" s="58"/>
      <c r="T343" s="58"/>
    </row>
    <row r="344">
      <c r="A344" s="58" t="s">
        <v>3136</v>
      </c>
      <c r="B344" s="58" t="s">
        <v>753</v>
      </c>
      <c r="C344" s="58" t="s">
        <v>3866</v>
      </c>
      <c r="D344" s="58" t="s">
        <v>3867</v>
      </c>
      <c r="E344" s="68">
        <v>45799.816203703704</v>
      </c>
      <c r="F344" s="68">
        <v>45918.64365740741</v>
      </c>
      <c r="G344" s="58">
        <v>14.0</v>
      </c>
      <c r="H344" s="58" t="s">
        <v>3342</v>
      </c>
      <c r="I344" s="58" t="s">
        <v>3877</v>
      </c>
      <c r="J344" s="58" t="s">
        <v>3342</v>
      </c>
      <c r="K344" s="58" t="s">
        <v>3868</v>
      </c>
      <c r="L344" s="58">
        <v>21.0</v>
      </c>
      <c r="M344" s="58" t="s">
        <v>3878</v>
      </c>
      <c r="N344" s="58">
        <v>2.0</v>
      </c>
      <c r="O344" s="58" t="b">
        <v>1</v>
      </c>
      <c r="P344" s="58"/>
      <c r="Q344" s="58"/>
      <c r="R344" s="59" t="str">
        <f>IF(COUNTIF('Active Employees'!B:B, B344)&gt;0,"Y","N")</f>
        <v>Y</v>
      </c>
      <c r="S344" s="58"/>
      <c r="T344" s="58"/>
    </row>
    <row r="345">
      <c r="A345" s="58" t="s">
        <v>550</v>
      </c>
      <c r="B345" s="58" t="s">
        <v>584</v>
      </c>
      <c r="C345" s="58" t="s">
        <v>4009</v>
      </c>
      <c r="D345" s="58" t="s">
        <v>4010</v>
      </c>
      <c r="E345" s="68">
        <v>45741.716157407405</v>
      </c>
      <c r="F345" s="68">
        <v>45918.92288194445</v>
      </c>
      <c r="G345" s="58">
        <v>14.0</v>
      </c>
      <c r="H345" s="58" t="s">
        <v>771</v>
      </c>
      <c r="I345" s="58" t="s">
        <v>856</v>
      </c>
      <c r="J345" s="68">
        <v>45740.8778125</v>
      </c>
      <c r="K345" s="58" t="s">
        <v>4011</v>
      </c>
      <c r="L345" s="58">
        <v>108.0</v>
      </c>
      <c r="M345" s="58" t="s">
        <v>4053</v>
      </c>
      <c r="N345" s="58">
        <v>3.0</v>
      </c>
      <c r="O345" s="58" t="b">
        <v>1</v>
      </c>
      <c r="P345" s="58"/>
      <c r="Q345" s="58"/>
      <c r="R345" s="59" t="str">
        <f>IF(COUNTIF('Active Employees'!B:B, B345)&gt;0,"Y","N")</f>
        <v>Y</v>
      </c>
      <c r="S345" s="58"/>
      <c r="T345" s="58"/>
    </row>
    <row r="346">
      <c r="A346" s="58" t="s">
        <v>304</v>
      </c>
      <c r="B346" s="58" t="s">
        <v>146</v>
      </c>
      <c r="C346" s="58" t="s">
        <v>3866</v>
      </c>
      <c r="D346" s="58" t="s">
        <v>3867</v>
      </c>
      <c r="E346" s="68">
        <v>45708.74297453704</v>
      </c>
      <c r="F346" s="68">
        <v>45918.85476851852</v>
      </c>
      <c r="G346" s="58">
        <v>14.0</v>
      </c>
      <c r="H346" s="58" t="s">
        <v>771</v>
      </c>
      <c r="I346" s="58" t="s">
        <v>856</v>
      </c>
      <c r="J346" s="68">
        <v>45708.528599537036</v>
      </c>
      <c r="K346" s="58" t="s">
        <v>3868</v>
      </c>
      <c r="L346" s="58">
        <v>446.0</v>
      </c>
      <c r="M346" s="58" t="s">
        <v>3918</v>
      </c>
      <c r="N346" s="58">
        <v>2.0</v>
      </c>
      <c r="O346" s="58" t="b">
        <v>1</v>
      </c>
      <c r="P346" s="58"/>
      <c r="Q346" s="58"/>
      <c r="R346" s="59" t="str">
        <f>IF(COUNTIF('Active Employees'!B:B, B346)&gt;0,"Y","N")</f>
        <v>Y</v>
      </c>
      <c r="S346" s="58"/>
      <c r="T346" s="58"/>
    </row>
    <row r="347">
      <c r="A347" s="58" t="s">
        <v>3259</v>
      </c>
      <c r="B347" s="58" t="s">
        <v>163</v>
      </c>
      <c r="C347" s="58" t="s">
        <v>3866</v>
      </c>
      <c r="D347" s="58" t="s">
        <v>3867</v>
      </c>
      <c r="E347" s="68">
        <v>45799.81619212963</v>
      </c>
      <c r="F347" s="68">
        <v>45918.97756944445</v>
      </c>
      <c r="G347" s="58">
        <v>14.0</v>
      </c>
      <c r="H347" s="58" t="s">
        <v>3342</v>
      </c>
      <c r="I347" s="58" t="s">
        <v>3877</v>
      </c>
      <c r="J347" s="58" t="s">
        <v>3342</v>
      </c>
      <c r="K347" s="58" t="s">
        <v>3868</v>
      </c>
      <c r="L347" s="58">
        <v>5.0</v>
      </c>
      <c r="M347" s="58" t="s">
        <v>3878</v>
      </c>
      <c r="N347" s="58">
        <v>2.0</v>
      </c>
      <c r="O347" s="58" t="b">
        <v>1</v>
      </c>
      <c r="P347" s="58"/>
      <c r="Q347" s="58"/>
      <c r="R347" s="59" t="str">
        <f>IF(COUNTIF('Active Employees'!B:B, B347)&gt;0,"Y","N")</f>
        <v>Y</v>
      </c>
      <c r="S347" s="58"/>
      <c r="T347" s="58"/>
    </row>
    <row r="348">
      <c r="A348" s="58" t="s">
        <v>1936</v>
      </c>
      <c r="B348" s="58" t="s">
        <v>899</v>
      </c>
      <c r="C348" s="58" t="s">
        <v>4009</v>
      </c>
      <c r="D348" s="58" t="s">
        <v>4010</v>
      </c>
      <c r="E348" s="68">
        <v>45799.77425925926</v>
      </c>
      <c r="F348" s="68">
        <v>45919.5603587963</v>
      </c>
      <c r="G348" s="58">
        <v>13.0</v>
      </c>
      <c r="H348" s="58" t="s">
        <v>3342</v>
      </c>
      <c r="I348" s="58" t="s">
        <v>3877</v>
      </c>
      <c r="J348" s="58" t="s">
        <v>3342</v>
      </c>
      <c r="K348" s="58" t="s">
        <v>4011</v>
      </c>
      <c r="L348" s="58">
        <v>1983.0</v>
      </c>
      <c r="M348" s="58" t="s">
        <v>3918</v>
      </c>
      <c r="N348" s="58">
        <v>2.0</v>
      </c>
      <c r="O348" s="58" t="b">
        <v>1</v>
      </c>
      <c r="P348" s="58"/>
      <c r="Q348" s="58"/>
      <c r="R348" s="59" t="str">
        <f>IF(COUNTIF('Active Employees'!B:B, B348)&gt;0,"Y","N")</f>
        <v>Y</v>
      </c>
      <c r="S348" s="58"/>
      <c r="T348" s="58"/>
    </row>
    <row r="349">
      <c r="A349" s="58" t="s">
        <v>3120</v>
      </c>
      <c r="B349" s="58" t="s">
        <v>1388</v>
      </c>
      <c r="C349" s="58" t="s">
        <v>3866</v>
      </c>
      <c r="D349" s="58" t="s">
        <v>3867</v>
      </c>
      <c r="E349" s="68">
        <v>45866.610497685186</v>
      </c>
      <c r="F349" s="68">
        <v>45919.92888888889</v>
      </c>
      <c r="G349" s="58">
        <v>13.0</v>
      </c>
      <c r="H349" s="58" t="s">
        <v>3342</v>
      </c>
      <c r="I349" s="58" t="s">
        <v>3877</v>
      </c>
      <c r="J349" s="58" t="s">
        <v>3342</v>
      </c>
      <c r="K349" s="58" t="s">
        <v>3868</v>
      </c>
      <c r="L349" s="58">
        <v>35.0</v>
      </c>
      <c r="M349" s="58" t="s">
        <v>3878</v>
      </c>
      <c r="N349" s="58">
        <v>2.0</v>
      </c>
      <c r="O349" s="58" t="b">
        <v>1</v>
      </c>
      <c r="P349" s="58"/>
      <c r="Q349" s="58"/>
      <c r="R349" s="59" t="str">
        <f>IF(COUNTIF('Active Employees'!B:B, B349)&gt;0,"Y","N")</f>
        <v>Y</v>
      </c>
      <c r="S349" s="58"/>
      <c r="T349" s="58"/>
    </row>
    <row r="350">
      <c r="A350" s="58" t="s">
        <v>207</v>
      </c>
      <c r="B350" s="58" t="s">
        <v>267</v>
      </c>
      <c r="C350" s="58" t="s">
        <v>3866</v>
      </c>
      <c r="D350" s="58" t="s">
        <v>3867</v>
      </c>
      <c r="E350" s="68">
        <v>45799.77422453704</v>
      </c>
      <c r="F350" s="68">
        <v>45919.69851851852</v>
      </c>
      <c r="G350" s="58">
        <v>13.0</v>
      </c>
      <c r="H350" s="58" t="s">
        <v>3342</v>
      </c>
      <c r="I350" s="58" t="s">
        <v>3877</v>
      </c>
      <c r="J350" s="58" t="s">
        <v>3342</v>
      </c>
      <c r="K350" s="58" t="s">
        <v>3868</v>
      </c>
      <c r="L350" s="58">
        <v>6.0</v>
      </c>
      <c r="M350" s="58" t="s">
        <v>3918</v>
      </c>
      <c r="N350" s="58">
        <v>2.0</v>
      </c>
      <c r="O350" s="58" t="b">
        <v>1</v>
      </c>
      <c r="P350" s="58"/>
      <c r="Q350" s="58"/>
      <c r="R350" s="59" t="str">
        <f>IF(COUNTIF('Active Employees'!B:B, B350)&gt;0,"Y","N")</f>
        <v>Y</v>
      </c>
      <c r="S350" s="58"/>
      <c r="T350" s="58"/>
    </row>
    <row r="351">
      <c r="A351" s="58" t="s">
        <v>3191</v>
      </c>
      <c r="B351" s="58" t="s">
        <v>1259</v>
      </c>
      <c r="C351" s="58" t="s">
        <v>3866</v>
      </c>
      <c r="D351" s="58" t="s">
        <v>3867</v>
      </c>
      <c r="E351" s="68">
        <v>45833.72850694445</v>
      </c>
      <c r="F351" s="68">
        <v>45919.856157407405</v>
      </c>
      <c r="G351" s="58">
        <v>13.0</v>
      </c>
      <c r="H351" s="58" t="s">
        <v>3342</v>
      </c>
      <c r="I351" s="58" t="s">
        <v>3877</v>
      </c>
      <c r="J351" s="58" t="s">
        <v>3342</v>
      </c>
      <c r="K351" s="58" t="s">
        <v>3868</v>
      </c>
      <c r="L351" s="58">
        <v>709.0</v>
      </c>
      <c r="M351" s="58" t="s">
        <v>3878</v>
      </c>
      <c r="N351" s="58">
        <v>2.0</v>
      </c>
      <c r="O351" s="58" t="b">
        <v>1</v>
      </c>
      <c r="P351" s="58"/>
      <c r="Q351" s="58"/>
      <c r="R351" s="59" t="str">
        <f>IF(COUNTIF('Active Employees'!B:B, B351)&gt;0,"Y","N")</f>
        <v>Y</v>
      </c>
      <c r="S351" s="58"/>
      <c r="T351" s="58"/>
    </row>
    <row r="352">
      <c r="A352" s="58" t="s">
        <v>3124</v>
      </c>
      <c r="B352" s="58" t="s">
        <v>432</v>
      </c>
      <c r="C352" s="58" t="s">
        <v>3866</v>
      </c>
      <c r="D352" s="58" t="s">
        <v>3867</v>
      </c>
      <c r="E352" s="68">
        <v>45799.77532407407</v>
      </c>
      <c r="F352" s="68">
        <v>45922.7622337963</v>
      </c>
      <c r="G352" s="58">
        <v>10.0</v>
      </c>
      <c r="H352" s="58" t="s">
        <v>3342</v>
      </c>
      <c r="I352" s="58" t="s">
        <v>3877</v>
      </c>
      <c r="J352" s="58" t="s">
        <v>3342</v>
      </c>
      <c r="K352" s="58" t="s">
        <v>3868</v>
      </c>
      <c r="L352" s="58">
        <v>8.0</v>
      </c>
      <c r="M352" s="58" t="s">
        <v>3885</v>
      </c>
      <c r="N352" s="58">
        <v>2.0</v>
      </c>
      <c r="O352" s="58" t="b">
        <v>1</v>
      </c>
      <c r="P352" s="58"/>
      <c r="Q352" s="58"/>
      <c r="R352" s="59" t="str">
        <f>IF(COUNTIF('Active Employees'!B:B, B352)&gt;0,"Y","N")</f>
        <v>Y</v>
      </c>
      <c r="S352" s="58"/>
      <c r="T352" s="58"/>
    </row>
    <row r="353">
      <c r="A353" s="58" t="s">
        <v>1804</v>
      </c>
      <c r="B353" s="58" t="s">
        <v>624</v>
      </c>
      <c r="C353" s="58" t="s">
        <v>3866</v>
      </c>
      <c r="D353" s="58" t="s">
        <v>3867</v>
      </c>
      <c r="E353" s="68">
        <v>45799.774189814816</v>
      </c>
      <c r="F353" s="68">
        <v>45922.59886574074</v>
      </c>
      <c r="G353" s="58">
        <v>10.0</v>
      </c>
      <c r="H353" s="58" t="s">
        <v>3342</v>
      </c>
      <c r="I353" s="58" t="s">
        <v>3877</v>
      </c>
      <c r="J353" s="58" t="s">
        <v>3342</v>
      </c>
      <c r="K353" s="58" t="s">
        <v>3868</v>
      </c>
      <c r="L353" s="58">
        <v>28.0</v>
      </c>
      <c r="M353" s="58" t="s">
        <v>3918</v>
      </c>
      <c r="N353" s="58">
        <v>2.0</v>
      </c>
      <c r="O353" s="58" t="b">
        <v>1</v>
      </c>
      <c r="P353" s="58"/>
      <c r="Q353" s="58"/>
      <c r="R353" s="59" t="str">
        <f>IF(COUNTIF('Active Employees'!B:B, B353)&gt;0,"Y","N")</f>
        <v>Y</v>
      </c>
      <c r="S353" s="58"/>
      <c r="T353" s="58"/>
    </row>
    <row r="354">
      <c r="A354" s="58" t="s">
        <v>538</v>
      </c>
      <c r="B354" s="58" t="s">
        <v>1238</v>
      </c>
      <c r="C354" s="58" t="s">
        <v>3866</v>
      </c>
      <c r="D354" s="58" t="s">
        <v>3867</v>
      </c>
      <c r="E354" s="68">
        <v>45799.77527777778</v>
      </c>
      <c r="F354" s="68">
        <v>45922.613020833334</v>
      </c>
      <c r="G354" s="58">
        <v>10.0</v>
      </c>
      <c r="H354" s="58" t="s">
        <v>3342</v>
      </c>
      <c r="I354" s="58" t="s">
        <v>3877</v>
      </c>
      <c r="J354" s="58" t="s">
        <v>3342</v>
      </c>
      <c r="K354" s="58" t="s">
        <v>3868</v>
      </c>
      <c r="L354" s="58">
        <v>182.0</v>
      </c>
      <c r="M354" s="58" t="s">
        <v>3885</v>
      </c>
      <c r="N354" s="58">
        <v>2.0</v>
      </c>
      <c r="O354" s="58" t="b">
        <v>1</v>
      </c>
      <c r="P354" s="58"/>
      <c r="Q354" s="58"/>
      <c r="R354" s="59" t="str">
        <f>IF(COUNTIF('Active Employees'!B:B, B354)&gt;0,"Y","N")</f>
        <v>Y</v>
      </c>
      <c r="S354" s="58"/>
      <c r="T354" s="58"/>
    </row>
    <row r="355">
      <c r="A355" s="58" t="s">
        <v>1829</v>
      </c>
      <c r="B355" s="58" t="s">
        <v>604</v>
      </c>
      <c r="C355" s="58" t="s">
        <v>3866</v>
      </c>
      <c r="D355" s="58" t="s">
        <v>3867</v>
      </c>
      <c r="E355" s="68">
        <v>45799.774247685185</v>
      </c>
      <c r="F355" s="68">
        <v>45922.40405092593</v>
      </c>
      <c r="G355" s="58">
        <v>10.0</v>
      </c>
      <c r="H355" s="58" t="s">
        <v>3342</v>
      </c>
      <c r="I355" s="58" t="s">
        <v>3877</v>
      </c>
      <c r="J355" s="58" t="s">
        <v>3342</v>
      </c>
      <c r="K355" s="58" t="s">
        <v>3868</v>
      </c>
      <c r="L355" s="58">
        <v>30.0</v>
      </c>
      <c r="M355" s="58" t="s">
        <v>3918</v>
      </c>
      <c r="N355" s="58">
        <v>2.0</v>
      </c>
      <c r="O355" s="58" t="b">
        <v>1</v>
      </c>
      <c r="P355" s="58"/>
      <c r="Q355" s="58"/>
      <c r="R355" s="59" t="str">
        <f>IF(COUNTIF('Active Employees'!B:B, B355)&gt;0,"Y","N")</f>
        <v>Y</v>
      </c>
      <c r="S355" s="58"/>
      <c r="T355" s="58"/>
    </row>
    <row r="356">
      <c r="A356" s="58" t="s">
        <v>3266</v>
      </c>
      <c r="B356" s="58" t="s">
        <v>1155</v>
      </c>
      <c r="C356" s="58" t="s">
        <v>3961</v>
      </c>
      <c r="D356" s="58" t="s">
        <v>1440</v>
      </c>
      <c r="E356" s="68">
        <v>45799.77453703704</v>
      </c>
      <c r="F356" s="68">
        <v>45922.94060185185</v>
      </c>
      <c r="G356" s="58">
        <v>10.0</v>
      </c>
      <c r="H356" s="58" t="s">
        <v>3342</v>
      </c>
      <c r="I356" s="58" t="s">
        <v>3877</v>
      </c>
      <c r="J356" s="58" t="s">
        <v>3342</v>
      </c>
      <c r="K356" s="58" t="s">
        <v>3972</v>
      </c>
      <c r="L356" s="58">
        <v>235.0</v>
      </c>
      <c r="M356" s="58" t="s">
        <v>3878</v>
      </c>
      <c r="N356" s="58">
        <v>2.0</v>
      </c>
      <c r="O356" s="58" t="b">
        <v>1</v>
      </c>
      <c r="P356" s="58"/>
      <c r="Q356" s="58"/>
      <c r="R356" s="59" t="str">
        <f>IF(COUNTIF('Active Employees'!B:B, B356)&gt;0,"Y","N")</f>
        <v>Y</v>
      </c>
      <c r="S356" s="58"/>
      <c r="T356" s="58"/>
    </row>
    <row r="357">
      <c r="A357" s="58" t="s">
        <v>3102</v>
      </c>
      <c r="B357" s="58" t="s">
        <v>1227</v>
      </c>
      <c r="C357" s="58" t="s">
        <v>3866</v>
      </c>
      <c r="D357" s="58" t="s">
        <v>3867</v>
      </c>
      <c r="E357" s="68">
        <v>45799.77521990741</v>
      </c>
      <c r="F357" s="68">
        <v>45922.795335648145</v>
      </c>
      <c r="G357" s="58">
        <v>10.0</v>
      </c>
      <c r="H357" s="58" t="s">
        <v>3342</v>
      </c>
      <c r="I357" s="58" t="s">
        <v>3877</v>
      </c>
      <c r="J357" s="58" t="s">
        <v>3342</v>
      </c>
      <c r="K357" s="58" t="s">
        <v>3868</v>
      </c>
      <c r="L357" s="58">
        <v>4.0</v>
      </c>
      <c r="M357" s="58" t="s">
        <v>3885</v>
      </c>
      <c r="N357" s="58">
        <v>2.0</v>
      </c>
      <c r="O357" s="58" t="b">
        <v>1</v>
      </c>
      <c r="P357" s="58"/>
      <c r="Q357" s="58"/>
      <c r="R357" s="59" t="str">
        <f>IF(COUNTIF('Active Employees'!B:B, B357)&gt;0,"Y","N")</f>
        <v>Y</v>
      </c>
      <c r="S357" s="58"/>
      <c r="T357" s="58"/>
    </row>
    <row r="358">
      <c r="A358" s="58" t="s">
        <v>1508</v>
      </c>
      <c r="B358" s="58" t="s">
        <v>386</v>
      </c>
      <c r="C358" s="58" t="s">
        <v>3866</v>
      </c>
      <c r="D358" s="58" t="s">
        <v>3867</v>
      </c>
      <c r="E358" s="68">
        <v>45799.774201388886</v>
      </c>
      <c r="F358" s="68">
        <v>45922.878912037035</v>
      </c>
      <c r="G358" s="58">
        <v>10.0</v>
      </c>
      <c r="H358" s="58" t="s">
        <v>3342</v>
      </c>
      <c r="I358" s="58" t="s">
        <v>3877</v>
      </c>
      <c r="J358" s="58" t="s">
        <v>3342</v>
      </c>
      <c r="K358" s="58" t="s">
        <v>3868</v>
      </c>
      <c r="L358" s="58">
        <v>69.0</v>
      </c>
      <c r="M358" s="58" t="s">
        <v>3918</v>
      </c>
      <c r="N358" s="58">
        <v>2.0</v>
      </c>
      <c r="O358" s="58" t="b">
        <v>1</v>
      </c>
      <c r="P358" s="58"/>
      <c r="Q358" s="58"/>
      <c r="R358" s="59" t="str">
        <f>IF(COUNTIF('Active Employees'!B:B, B358)&gt;0,"Y","N")</f>
        <v>Y</v>
      </c>
      <c r="S358" s="58"/>
      <c r="T358" s="58"/>
    </row>
    <row r="359">
      <c r="A359" s="58" t="s">
        <v>3197</v>
      </c>
      <c r="B359" s="58" t="s">
        <v>419</v>
      </c>
      <c r="C359" s="58" t="s">
        <v>3866</v>
      </c>
      <c r="D359" s="58" t="s">
        <v>3867</v>
      </c>
      <c r="E359" s="68">
        <v>45799.77525462963</v>
      </c>
      <c r="F359" s="68">
        <v>45922.61783564815</v>
      </c>
      <c r="G359" s="58">
        <v>10.0</v>
      </c>
      <c r="H359" s="58" t="s">
        <v>3342</v>
      </c>
      <c r="I359" s="58" t="s">
        <v>3877</v>
      </c>
      <c r="J359" s="58" t="s">
        <v>3342</v>
      </c>
      <c r="K359" s="58" t="s">
        <v>3868</v>
      </c>
      <c r="L359" s="58">
        <v>111.0</v>
      </c>
      <c r="M359" s="58" t="s">
        <v>3885</v>
      </c>
      <c r="N359" s="58">
        <v>2.0</v>
      </c>
      <c r="O359" s="58" t="b">
        <v>1</v>
      </c>
      <c r="P359" s="58"/>
      <c r="Q359" s="58"/>
      <c r="R359" s="59" t="str">
        <f>IF(COUNTIF('Active Employees'!B:B, B359)&gt;0,"Y","N")</f>
        <v>Y</v>
      </c>
      <c r="S359" s="58"/>
      <c r="T359" s="58"/>
    </row>
    <row r="360">
      <c r="A360" s="58" t="s">
        <v>29</v>
      </c>
      <c r="B360" s="58" t="s">
        <v>1086</v>
      </c>
      <c r="C360" s="58" t="s">
        <v>3866</v>
      </c>
      <c r="D360" s="58" t="s">
        <v>3867</v>
      </c>
      <c r="E360" s="68">
        <v>45799.77421296296</v>
      </c>
      <c r="F360" s="68">
        <v>45922.69831018519</v>
      </c>
      <c r="G360" s="58">
        <v>10.0</v>
      </c>
      <c r="H360" s="58" t="s">
        <v>3342</v>
      </c>
      <c r="I360" s="58" t="s">
        <v>3877</v>
      </c>
      <c r="J360" s="58" t="s">
        <v>3342</v>
      </c>
      <c r="K360" s="58" t="s">
        <v>3868</v>
      </c>
      <c r="L360" s="58">
        <v>157.0</v>
      </c>
      <c r="M360" s="58" t="s">
        <v>3918</v>
      </c>
      <c r="N360" s="58">
        <v>2.0</v>
      </c>
      <c r="O360" s="58" t="b">
        <v>1</v>
      </c>
      <c r="P360" s="58"/>
      <c r="Q360" s="58"/>
      <c r="R360" s="59" t="str">
        <f>IF(COUNTIF('Active Employees'!B:B, B360)&gt;0,"Y","N")</f>
        <v>Y</v>
      </c>
      <c r="S360" s="58"/>
      <c r="T360" s="58"/>
    </row>
    <row r="361">
      <c r="A361" s="58" t="s">
        <v>125</v>
      </c>
      <c r="B361" s="58" t="s">
        <v>815</v>
      </c>
      <c r="C361" s="58" t="s">
        <v>4009</v>
      </c>
      <c r="D361" s="58" t="s">
        <v>4010</v>
      </c>
      <c r="E361" s="68">
        <v>45799.77425925926</v>
      </c>
      <c r="F361" s="68">
        <v>45922.828576388885</v>
      </c>
      <c r="G361" s="58">
        <v>10.0</v>
      </c>
      <c r="H361" s="58" t="s">
        <v>3342</v>
      </c>
      <c r="I361" s="58" t="s">
        <v>3877</v>
      </c>
      <c r="J361" s="58" t="s">
        <v>3342</v>
      </c>
      <c r="K361" s="58" t="s">
        <v>4011</v>
      </c>
      <c r="L361" s="58">
        <v>58.0</v>
      </c>
      <c r="M361" s="58" t="s">
        <v>4013</v>
      </c>
      <c r="N361" s="58">
        <v>3.0</v>
      </c>
      <c r="O361" s="58" t="b">
        <v>1</v>
      </c>
      <c r="P361" s="58"/>
      <c r="Q361" s="58"/>
      <c r="R361" s="59" t="str">
        <f>IF(COUNTIF('Active Employees'!B:B, B361)&gt;0,"Y","N")</f>
        <v>Y</v>
      </c>
      <c r="S361" s="58"/>
      <c r="T361" s="58"/>
    </row>
    <row r="362">
      <c r="A362" s="58" t="s">
        <v>525</v>
      </c>
      <c r="B362" s="58" t="s">
        <v>38</v>
      </c>
      <c r="C362" s="58" t="s">
        <v>3866</v>
      </c>
      <c r="D362" s="58" t="s">
        <v>3867</v>
      </c>
      <c r="E362" s="68">
        <v>45799.77428240741</v>
      </c>
      <c r="F362" s="68">
        <v>45922.71925925926</v>
      </c>
      <c r="G362" s="58">
        <v>10.0</v>
      </c>
      <c r="H362" s="58" t="s">
        <v>3342</v>
      </c>
      <c r="I362" s="58" t="s">
        <v>3877</v>
      </c>
      <c r="J362" s="58" t="s">
        <v>3342</v>
      </c>
      <c r="K362" s="58" t="s">
        <v>3868</v>
      </c>
      <c r="L362" s="58">
        <v>6.0</v>
      </c>
      <c r="M362" s="58" t="s">
        <v>3982</v>
      </c>
      <c r="N362" s="58">
        <v>4.0</v>
      </c>
      <c r="O362" s="58" t="b">
        <v>1</v>
      </c>
      <c r="P362" s="58"/>
      <c r="Q362" s="58"/>
      <c r="R362" s="59" t="str">
        <f>IF(COUNTIF('Active Employees'!B:B, B362)&gt;0,"Y","N")</f>
        <v>Y</v>
      </c>
      <c r="S362" s="58"/>
      <c r="T362" s="58"/>
    </row>
    <row r="363">
      <c r="A363" s="58" t="s">
        <v>1756</v>
      </c>
      <c r="B363" s="58" t="s">
        <v>1264</v>
      </c>
      <c r="C363" s="58" t="s">
        <v>3866</v>
      </c>
      <c r="D363" s="58" t="s">
        <v>3867</v>
      </c>
      <c r="E363" s="68">
        <v>45799.774189814816</v>
      </c>
      <c r="F363" s="68">
        <v>45923.401967592596</v>
      </c>
      <c r="G363" s="58">
        <v>9.0</v>
      </c>
      <c r="H363" s="58" t="s">
        <v>3342</v>
      </c>
      <c r="I363" s="58" t="s">
        <v>3877</v>
      </c>
      <c r="J363" s="58" t="s">
        <v>3342</v>
      </c>
      <c r="K363" s="58" t="s">
        <v>3868</v>
      </c>
      <c r="L363" s="58">
        <v>3.0</v>
      </c>
      <c r="M363" s="58" t="s">
        <v>3918</v>
      </c>
      <c r="N363" s="58">
        <v>2.0</v>
      </c>
      <c r="O363" s="58" t="b">
        <v>1</v>
      </c>
      <c r="P363" s="58"/>
      <c r="Q363" s="58"/>
      <c r="R363" s="59" t="str">
        <f>IF(COUNTIF('Active Employees'!B:B, B363)&gt;0,"Y","N")</f>
        <v>Y</v>
      </c>
      <c r="S363" s="58"/>
      <c r="T363" s="58"/>
    </row>
    <row r="364">
      <c r="A364" s="58" t="s">
        <v>170</v>
      </c>
      <c r="B364" s="58" t="s">
        <v>654</v>
      </c>
      <c r="C364" s="58" t="s">
        <v>3866</v>
      </c>
      <c r="D364" s="58" t="s">
        <v>3867</v>
      </c>
      <c r="E364" s="68">
        <v>45804.39271990741</v>
      </c>
      <c r="F364" s="68">
        <v>45923.892175925925</v>
      </c>
      <c r="G364" s="58">
        <v>9.0</v>
      </c>
      <c r="H364" s="58" t="s">
        <v>3342</v>
      </c>
      <c r="I364" s="58" t="s">
        <v>3877</v>
      </c>
      <c r="J364" s="58" t="s">
        <v>3342</v>
      </c>
      <c r="K364" s="58" t="s">
        <v>3868</v>
      </c>
      <c r="L364" s="58">
        <v>132.0</v>
      </c>
      <c r="M364" s="58" t="s">
        <v>3885</v>
      </c>
      <c r="N364" s="58">
        <v>2.0</v>
      </c>
      <c r="O364" s="58" t="b">
        <v>1</v>
      </c>
      <c r="P364" s="58"/>
      <c r="Q364" s="58"/>
      <c r="R364" s="59" t="str">
        <f>IF(COUNTIF('Active Employees'!B:B, B364)&gt;0,"Y","N")</f>
        <v>Y</v>
      </c>
      <c r="S364" s="58"/>
      <c r="T364" s="58"/>
    </row>
    <row r="365">
      <c r="A365" s="58" t="s">
        <v>1832</v>
      </c>
      <c r="B365" s="58" t="s">
        <v>1344</v>
      </c>
      <c r="C365" s="58" t="s">
        <v>3961</v>
      </c>
      <c r="D365" s="58" t="s">
        <v>1440</v>
      </c>
      <c r="E365" s="68">
        <v>45799.77415509259</v>
      </c>
      <c r="F365" s="68">
        <v>45923.51449074074</v>
      </c>
      <c r="G365" s="58">
        <v>9.0</v>
      </c>
      <c r="H365" s="58" t="s">
        <v>3342</v>
      </c>
      <c r="I365" s="58" t="s">
        <v>3877</v>
      </c>
      <c r="J365" s="58" t="s">
        <v>3342</v>
      </c>
      <c r="K365" s="58" t="s">
        <v>3972</v>
      </c>
      <c r="L365" s="58">
        <v>310.0</v>
      </c>
      <c r="M365" s="58" t="s">
        <v>3918</v>
      </c>
      <c r="N365" s="58">
        <v>2.0</v>
      </c>
      <c r="O365" s="58" t="b">
        <v>1</v>
      </c>
      <c r="P365" s="58"/>
      <c r="Q365" s="58"/>
      <c r="R365" s="59" t="str">
        <f>IF(COUNTIF('Active Employees'!B:B, B365)&gt;0,"Y","N")</f>
        <v>Y</v>
      </c>
      <c r="S365" s="58"/>
      <c r="T365" s="58"/>
    </row>
    <row r="366">
      <c r="A366" s="58" t="s">
        <v>4060</v>
      </c>
      <c r="B366" s="58" t="s">
        <v>985</v>
      </c>
      <c r="C366" s="58" t="s">
        <v>3866</v>
      </c>
      <c r="D366" s="58" t="s">
        <v>3867</v>
      </c>
      <c r="E366" s="68">
        <v>45866.61052083333</v>
      </c>
      <c r="F366" s="68">
        <v>45923.617731481485</v>
      </c>
      <c r="G366" s="58">
        <v>9.0</v>
      </c>
      <c r="H366" s="58" t="s">
        <v>3342</v>
      </c>
      <c r="I366" s="58" t="s">
        <v>3877</v>
      </c>
      <c r="J366" s="58" t="s">
        <v>3342</v>
      </c>
      <c r="K366" s="58" t="s">
        <v>3868</v>
      </c>
      <c r="L366" s="58">
        <v>93.0</v>
      </c>
      <c r="M366" s="58" t="s">
        <v>3891</v>
      </c>
      <c r="N366" s="58">
        <v>3.0</v>
      </c>
      <c r="O366" s="58" t="b">
        <v>1</v>
      </c>
      <c r="P366" s="58"/>
      <c r="Q366" s="58"/>
      <c r="R366" s="59" t="str">
        <f>IF(COUNTIF('Active Employees'!B:B, B366)&gt;0,"Y","N")</f>
        <v>Y</v>
      </c>
      <c r="S366" s="58"/>
      <c r="T366" s="58"/>
    </row>
    <row r="367">
      <c r="A367" s="58" t="s">
        <v>1011</v>
      </c>
      <c r="B367" s="58" t="s">
        <v>866</v>
      </c>
      <c r="C367" s="58" t="s">
        <v>4009</v>
      </c>
      <c r="D367" s="58" t="s">
        <v>4010</v>
      </c>
      <c r="E367" s="68">
        <v>45799.77427083333</v>
      </c>
      <c r="F367" s="68">
        <v>45923.757060185184</v>
      </c>
      <c r="G367" s="58">
        <v>9.0</v>
      </c>
      <c r="H367" s="58" t="s">
        <v>3342</v>
      </c>
      <c r="I367" s="58" t="s">
        <v>3877</v>
      </c>
      <c r="J367" s="58" t="s">
        <v>3342</v>
      </c>
      <c r="K367" s="58" t="s">
        <v>4011</v>
      </c>
      <c r="L367" s="58">
        <v>37.0</v>
      </c>
      <c r="M367" s="58" t="s">
        <v>4022</v>
      </c>
      <c r="N367" s="58">
        <v>3.0</v>
      </c>
      <c r="O367" s="58" t="b">
        <v>1</v>
      </c>
      <c r="P367" s="58"/>
      <c r="Q367" s="58"/>
      <c r="R367" s="59" t="str">
        <f>IF(COUNTIF('Active Employees'!B:B, B367)&gt;0,"Y","N")</f>
        <v>Y</v>
      </c>
      <c r="S367" s="58"/>
      <c r="T367" s="58"/>
    </row>
    <row r="368">
      <c r="A368" s="58" t="s">
        <v>3028</v>
      </c>
      <c r="B368" s="58" t="s">
        <v>263</v>
      </c>
      <c r="C368" s="58" t="s">
        <v>3866</v>
      </c>
      <c r="D368" s="58" t="s">
        <v>3867</v>
      </c>
      <c r="E368" s="68">
        <v>45799.77533564815</v>
      </c>
      <c r="F368" s="68">
        <v>45924.519953703704</v>
      </c>
      <c r="G368" s="58">
        <v>8.0</v>
      </c>
      <c r="H368" s="58" t="s">
        <v>3342</v>
      </c>
      <c r="I368" s="58" t="s">
        <v>3877</v>
      </c>
      <c r="J368" s="58" t="s">
        <v>3342</v>
      </c>
      <c r="K368" s="58" t="s">
        <v>3868</v>
      </c>
      <c r="L368" s="58">
        <v>17.0</v>
      </c>
      <c r="M368" s="58" t="s">
        <v>3885</v>
      </c>
      <c r="N368" s="58">
        <v>2.0</v>
      </c>
      <c r="O368" s="58" t="b">
        <v>1</v>
      </c>
      <c r="P368" s="58"/>
      <c r="Q368" s="58"/>
      <c r="R368" s="59" t="str">
        <f>IF(COUNTIF('Active Employees'!B:B, B368)&gt;0,"Y","N")</f>
        <v>Y</v>
      </c>
      <c r="S368" s="58"/>
      <c r="T368" s="58"/>
    </row>
    <row r="369">
      <c r="A369" s="58" t="s">
        <v>4061</v>
      </c>
      <c r="B369" s="58" t="s">
        <v>1084</v>
      </c>
      <c r="C369" s="58" t="s">
        <v>3961</v>
      </c>
      <c r="D369" s="58" t="s">
        <v>1440</v>
      </c>
      <c r="E369" s="68">
        <v>45799.77438657408</v>
      </c>
      <c r="F369" s="68">
        <v>45924.890694444446</v>
      </c>
      <c r="G369" s="58">
        <v>8.0</v>
      </c>
      <c r="H369" s="58" t="s">
        <v>3342</v>
      </c>
      <c r="I369" s="58" t="s">
        <v>3877</v>
      </c>
      <c r="J369" s="58" t="s">
        <v>3342</v>
      </c>
      <c r="K369" s="58" t="s">
        <v>3972</v>
      </c>
      <c r="L369" s="58">
        <v>87.0</v>
      </c>
      <c r="M369" s="58" t="s">
        <v>3974</v>
      </c>
      <c r="N369" s="58">
        <v>3.0</v>
      </c>
      <c r="O369" s="58" t="b">
        <v>1</v>
      </c>
      <c r="P369" s="58"/>
      <c r="Q369" s="58"/>
      <c r="R369" s="59" t="str">
        <f>IF(COUNTIF('Active Employees'!B:B, B369)&gt;0,"Y","N")</f>
        <v>Y</v>
      </c>
      <c r="S369" s="58"/>
      <c r="T369" s="58"/>
    </row>
    <row r="370">
      <c r="A370" s="58" t="s">
        <v>3149</v>
      </c>
      <c r="B370" s="58" t="s">
        <v>542</v>
      </c>
      <c r="C370" s="58" t="s">
        <v>3866</v>
      </c>
      <c r="D370" s="58" t="s">
        <v>3867</v>
      </c>
      <c r="E370" s="68">
        <v>45799.7753125</v>
      </c>
      <c r="F370" s="68">
        <v>45924.77606481482</v>
      </c>
      <c r="G370" s="58">
        <v>8.0</v>
      </c>
      <c r="H370" s="58" t="s">
        <v>3342</v>
      </c>
      <c r="I370" s="58" t="s">
        <v>3877</v>
      </c>
      <c r="J370" s="58" t="s">
        <v>3342</v>
      </c>
      <c r="K370" s="58" t="s">
        <v>3868</v>
      </c>
      <c r="L370" s="58">
        <v>12.0</v>
      </c>
      <c r="M370" s="58" t="s">
        <v>3885</v>
      </c>
      <c r="N370" s="58">
        <v>2.0</v>
      </c>
      <c r="O370" s="58" t="b">
        <v>1</v>
      </c>
      <c r="P370" s="58"/>
      <c r="Q370" s="58"/>
      <c r="R370" s="59" t="str">
        <f>IF(COUNTIF('Active Employees'!B:B, B370)&gt;0,"Y","N")</f>
        <v>Y</v>
      </c>
      <c r="S370" s="58"/>
      <c r="T370" s="58"/>
    </row>
    <row r="371">
      <c r="A371" s="58" t="s">
        <v>3088</v>
      </c>
      <c r="B371" s="58" t="s">
        <v>173</v>
      </c>
      <c r="C371" s="58" t="s">
        <v>3866</v>
      </c>
      <c r="D371" s="58" t="s">
        <v>3867</v>
      </c>
      <c r="E371" s="68">
        <v>45799.77525462963</v>
      </c>
      <c r="F371" s="68">
        <v>45924.36277777778</v>
      </c>
      <c r="G371" s="58">
        <v>8.0</v>
      </c>
      <c r="H371" s="58" t="s">
        <v>3342</v>
      </c>
      <c r="I371" s="58" t="s">
        <v>3877</v>
      </c>
      <c r="J371" s="58" t="s">
        <v>3342</v>
      </c>
      <c r="K371" s="58" t="s">
        <v>3868</v>
      </c>
      <c r="L371" s="58">
        <v>103.0</v>
      </c>
      <c r="M371" s="58" t="s">
        <v>3885</v>
      </c>
      <c r="N371" s="58">
        <v>2.0</v>
      </c>
      <c r="O371" s="58" t="b">
        <v>1</v>
      </c>
      <c r="P371" s="58"/>
      <c r="Q371" s="58"/>
      <c r="R371" s="59" t="str">
        <f>IF(COUNTIF('Active Employees'!B:B, B371)&gt;0,"Y","N")</f>
        <v>Y</v>
      </c>
      <c r="S371" s="58"/>
      <c r="T371" s="58"/>
    </row>
    <row r="372">
      <c r="A372" s="58" t="s">
        <v>3062</v>
      </c>
      <c r="B372" s="58" t="s">
        <v>258</v>
      </c>
      <c r="C372" s="58" t="s">
        <v>3866</v>
      </c>
      <c r="D372" s="58" t="s">
        <v>3867</v>
      </c>
      <c r="E372" s="68">
        <v>45799.77453703704</v>
      </c>
      <c r="F372" s="68">
        <v>45924.659895833334</v>
      </c>
      <c r="G372" s="58">
        <v>8.0</v>
      </c>
      <c r="H372" s="58" t="s">
        <v>3342</v>
      </c>
      <c r="I372" s="58" t="s">
        <v>3877</v>
      </c>
      <c r="J372" s="58" t="s">
        <v>3342</v>
      </c>
      <c r="K372" s="58" t="s">
        <v>3868</v>
      </c>
      <c r="L372" s="58">
        <v>42.0</v>
      </c>
      <c r="M372" s="58" t="s">
        <v>3878</v>
      </c>
      <c r="N372" s="58">
        <v>2.0</v>
      </c>
      <c r="O372" s="58" t="b">
        <v>1</v>
      </c>
      <c r="P372" s="58"/>
      <c r="Q372" s="58"/>
      <c r="R372" s="59" t="str">
        <f>IF(COUNTIF('Active Employees'!B:B, B372)&gt;0,"Y","N")</f>
        <v>Y</v>
      </c>
      <c r="S372" s="58"/>
      <c r="T372" s="58"/>
    </row>
    <row r="373">
      <c r="A373" s="58" t="s">
        <v>3029</v>
      </c>
      <c r="B373" s="58" t="s">
        <v>802</v>
      </c>
      <c r="C373" s="58" t="s">
        <v>3866</v>
      </c>
      <c r="D373" s="58" t="s">
        <v>3867</v>
      </c>
      <c r="E373" s="68">
        <v>45799.77527777778</v>
      </c>
      <c r="F373" s="68">
        <v>45924.58167824074</v>
      </c>
      <c r="G373" s="58">
        <v>8.0</v>
      </c>
      <c r="H373" s="58" t="s">
        <v>3342</v>
      </c>
      <c r="I373" s="58" t="s">
        <v>3877</v>
      </c>
      <c r="J373" s="58" t="s">
        <v>3342</v>
      </c>
      <c r="K373" s="58" t="s">
        <v>3868</v>
      </c>
      <c r="L373" s="58">
        <v>69.0</v>
      </c>
      <c r="M373" s="58" t="s">
        <v>3885</v>
      </c>
      <c r="N373" s="58">
        <v>2.0</v>
      </c>
      <c r="O373" s="58" t="b">
        <v>1</v>
      </c>
      <c r="P373" s="58"/>
      <c r="Q373" s="58"/>
      <c r="R373" s="59" t="str">
        <f>IF(COUNTIF('Active Employees'!B:B, B373)&gt;0,"Y","N")</f>
        <v>Y</v>
      </c>
      <c r="S373" s="58"/>
      <c r="T373" s="58"/>
    </row>
    <row r="374">
      <c r="A374" s="58" t="s">
        <v>395</v>
      </c>
      <c r="B374" s="58" t="s">
        <v>397</v>
      </c>
      <c r="C374" s="58" t="s">
        <v>3866</v>
      </c>
      <c r="D374" s="58" t="s">
        <v>3867</v>
      </c>
      <c r="E374" s="68">
        <v>45901.61928240741</v>
      </c>
      <c r="F374" s="68">
        <v>45924.55269675926</v>
      </c>
      <c r="G374" s="58">
        <v>8.0</v>
      </c>
      <c r="H374" s="58" t="s">
        <v>3342</v>
      </c>
      <c r="I374" s="58" t="s">
        <v>3877</v>
      </c>
      <c r="J374" s="58" t="s">
        <v>3342</v>
      </c>
      <c r="K374" s="58" t="s">
        <v>3868</v>
      </c>
      <c r="L374" s="58">
        <v>57.0</v>
      </c>
      <c r="M374" s="58" t="s">
        <v>3878</v>
      </c>
      <c r="N374" s="58">
        <v>2.0</v>
      </c>
      <c r="O374" s="58" t="b">
        <v>1</v>
      </c>
      <c r="P374" s="58"/>
      <c r="Q374" s="58"/>
      <c r="R374" s="59" t="str">
        <f>IF(COUNTIF('Active Employees'!B:B, B374)&gt;0,"Y","N")</f>
        <v>Y</v>
      </c>
      <c r="S374" s="58"/>
      <c r="T374" s="58"/>
    </row>
    <row r="375">
      <c r="A375" s="58" t="s">
        <v>3169</v>
      </c>
      <c r="B375" s="58" t="s">
        <v>524</v>
      </c>
      <c r="C375" s="58" t="s">
        <v>3866</v>
      </c>
      <c r="D375" s="58" t="s">
        <v>3867</v>
      </c>
      <c r="E375" s="68">
        <v>45799.77428240741</v>
      </c>
      <c r="F375" s="68">
        <v>45924.635717592595</v>
      </c>
      <c r="G375" s="58">
        <v>8.0</v>
      </c>
      <c r="H375" s="58" t="s">
        <v>3342</v>
      </c>
      <c r="I375" s="58" t="s">
        <v>3877</v>
      </c>
      <c r="J375" s="58" t="s">
        <v>3342</v>
      </c>
      <c r="K375" s="58" t="s">
        <v>3868</v>
      </c>
      <c r="L375" s="58">
        <v>60.0</v>
      </c>
      <c r="M375" s="58" t="s">
        <v>3982</v>
      </c>
      <c r="N375" s="58">
        <v>4.0</v>
      </c>
      <c r="O375" s="58" t="b">
        <v>1</v>
      </c>
      <c r="P375" s="58"/>
      <c r="Q375" s="58"/>
      <c r="R375" s="59" t="str">
        <f>IF(COUNTIF('Active Employees'!B:B, B375)&gt;0,"Y","N")</f>
        <v>Y</v>
      </c>
      <c r="S375" s="58"/>
      <c r="T375" s="58"/>
    </row>
    <row r="376">
      <c r="A376" s="58" t="s">
        <v>3159</v>
      </c>
      <c r="B376" s="58" t="s">
        <v>440</v>
      </c>
      <c r="C376" s="58" t="s">
        <v>3866</v>
      </c>
      <c r="D376" s="58" t="s">
        <v>3867</v>
      </c>
      <c r="E376" s="68">
        <v>45799.775300925925</v>
      </c>
      <c r="F376" s="68">
        <v>45924.573645833334</v>
      </c>
      <c r="G376" s="58">
        <v>8.0</v>
      </c>
      <c r="H376" s="58" t="s">
        <v>3342</v>
      </c>
      <c r="I376" s="58" t="s">
        <v>3877</v>
      </c>
      <c r="J376" s="58" t="s">
        <v>3342</v>
      </c>
      <c r="K376" s="58" t="s">
        <v>3868</v>
      </c>
      <c r="L376" s="58">
        <v>311.0</v>
      </c>
      <c r="M376" s="58" t="s">
        <v>3885</v>
      </c>
      <c r="N376" s="58">
        <v>2.0</v>
      </c>
      <c r="O376" s="58" t="b">
        <v>1</v>
      </c>
      <c r="P376" s="58"/>
      <c r="Q376" s="58"/>
      <c r="R376" s="59" t="str">
        <f>IF(COUNTIF('Active Employees'!B:B, B376)&gt;0,"Y","N")</f>
        <v>Y</v>
      </c>
      <c r="S376" s="58"/>
      <c r="T376" s="58"/>
    </row>
    <row r="377">
      <c r="A377" s="58" t="s">
        <v>3165</v>
      </c>
      <c r="B377" s="58" t="s">
        <v>290</v>
      </c>
      <c r="C377" s="58" t="s">
        <v>3866</v>
      </c>
      <c r="D377" s="58" t="s">
        <v>3867</v>
      </c>
      <c r="E377" s="68">
        <v>45799.775300925925</v>
      </c>
      <c r="F377" s="68">
        <v>45924.57210648148</v>
      </c>
      <c r="G377" s="58">
        <v>8.0</v>
      </c>
      <c r="H377" s="58" t="s">
        <v>3342</v>
      </c>
      <c r="I377" s="58" t="s">
        <v>3877</v>
      </c>
      <c r="J377" s="58" t="s">
        <v>3342</v>
      </c>
      <c r="K377" s="58" t="s">
        <v>3868</v>
      </c>
      <c r="L377" s="58">
        <v>482.0</v>
      </c>
      <c r="M377" s="58" t="s">
        <v>3885</v>
      </c>
      <c r="N377" s="58">
        <v>2.0</v>
      </c>
      <c r="O377" s="58" t="b">
        <v>1</v>
      </c>
      <c r="P377" s="58"/>
      <c r="Q377" s="58"/>
      <c r="R377" s="59" t="str">
        <f>IF(COUNTIF('Active Employees'!B:B, B377)&gt;0,"Y","N")</f>
        <v>Y</v>
      </c>
      <c r="S377" s="58"/>
      <c r="T377" s="58"/>
    </row>
    <row r="378">
      <c r="A378" s="58" t="s">
        <v>3273</v>
      </c>
      <c r="B378" s="58" t="s">
        <v>155</v>
      </c>
      <c r="C378" s="58" t="s">
        <v>3866</v>
      </c>
      <c r="D378" s="58" t="s">
        <v>3867</v>
      </c>
      <c r="E378" s="68">
        <v>45799.775289351855</v>
      </c>
      <c r="F378" s="68">
        <v>45924.8094212963</v>
      </c>
      <c r="G378" s="58">
        <v>8.0</v>
      </c>
      <c r="H378" s="58" t="s">
        <v>3342</v>
      </c>
      <c r="I378" s="58" t="s">
        <v>3877</v>
      </c>
      <c r="J378" s="58" t="s">
        <v>3342</v>
      </c>
      <c r="K378" s="58" t="s">
        <v>3868</v>
      </c>
      <c r="L378" s="58">
        <v>28.0</v>
      </c>
      <c r="M378" s="58" t="s">
        <v>3885</v>
      </c>
      <c r="N378" s="58">
        <v>2.0</v>
      </c>
      <c r="O378" s="58" t="b">
        <v>1</v>
      </c>
      <c r="P378" s="58"/>
      <c r="Q378" s="58"/>
      <c r="R378" s="59" t="str">
        <f>IF(COUNTIF('Active Employees'!B:B, B378)&gt;0,"Y","N")</f>
        <v>Y</v>
      </c>
      <c r="S378" s="58"/>
      <c r="T378" s="58"/>
    </row>
    <row r="379">
      <c r="A379" s="58" t="s">
        <v>3129</v>
      </c>
      <c r="B379" s="58" t="s">
        <v>390</v>
      </c>
      <c r="C379" s="58" t="s">
        <v>3961</v>
      </c>
      <c r="D379" s="58" t="s">
        <v>1440</v>
      </c>
      <c r="E379" s="68">
        <v>45799.774189814816</v>
      </c>
      <c r="F379" s="68">
        <v>45924.49298611111</v>
      </c>
      <c r="G379" s="58">
        <v>8.0</v>
      </c>
      <c r="H379" s="58" t="s">
        <v>3342</v>
      </c>
      <c r="I379" s="58" t="s">
        <v>3877</v>
      </c>
      <c r="J379" s="58" t="s">
        <v>3342</v>
      </c>
      <c r="K379" s="58" t="s">
        <v>3972</v>
      </c>
      <c r="L379" s="58">
        <v>229.0</v>
      </c>
      <c r="M379" s="58" t="s">
        <v>3918</v>
      </c>
      <c r="N379" s="58">
        <v>2.0</v>
      </c>
      <c r="O379" s="58" t="b">
        <v>1</v>
      </c>
      <c r="P379" s="58"/>
      <c r="Q379" s="58"/>
      <c r="R379" s="59" t="str">
        <f>IF(COUNTIF('Active Employees'!B:B, B379)&gt;0,"Y","N")</f>
        <v>Y</v>
      </c>
      <c r="S379" s="58"/>
      <c r="T379" s="58"/>
    </row>
    <row r="380">
      <c r="A380" s="58" t="s">
        <v>3066</v>
      </c>
      <c r="B380" s="58" t="s">
        <v>72</v>
      </c>
      <c r="C380" s="58" t="s">
        <v>3866</v>
      </c>
      <c r="D380" s="58" t="s">
        <v>3867</v>
      </c>
      <c r="E380" s="68">
        <v>45799.77481481482</v>
      </c>
      <c r="F380" s="68">
        <v>45925.56466435185</v>
      </c>
      <c r="G380" s="58">
        <v>7.0</v>
      </c>
      <c r="H380" s="58" t="s">
        <v>3342</v>
      </c>
      <c r="I380" s="58" t="s">
        <v>3877</v>
      </c>
      <c r="J380" s="58" t="s">
        <v>3342</v>
      </c>
      <c r="K380" s="58" t="s">
        <v>3868</v>
      </c>
      <c r="L380" s="58">
        <v>237.0</v>
      </c>
      <c r="M380" s="58" t="s">
        <v>3869</v>
      </c>
      <c r="N380" s="58">
        <v>2.0</v>
      </c>
      <c r="O380" s="58" t="b">
        <v>1</v>
      </c>
      <c r="P380" s="58"/>
      <c r="Q380" s="58"/>
      <c r="R380" s="59" t="str">
        <f>IF(COUNTIF('Active Employees'!B:B, B380)&gt;0,"Y","N")</f>
        <v>Y</v>
      </c>
      <c r="S380" s="58"/>
      <c r="T380" s="58"/>
    </row>
    <row r="381">
      <c r="A381" s="58" t="s">
        <v>3121</v>
      </c>
      <c r="B381" s="58" t="s">
        <v>1357</v>
      </c>
      <c r="C381" s="58" t="s">
        <v>4009</v>
      </c>
      <c r="D381" s="58" t="s">
        <v>4010</v>
      </c>
      <c r="E381" s="68">
        <v>45727.86950231482</v>
      </c>
      <c r="F381" s="68">
        <v>45925.52012731481</v>
      </c>
      <c r="G381" s="58">
        <v>7.0</v>
      </c>
      <c r="H381" s="58" t="s">
        <v>771</v>
      </c>
      <c r="I381" s="58" t="s">
        <v>856</v>
      </c>
      <c r="J381" s="68">
        <v>45727.81429398148</v>
      </c>
      <c r="K381" s="58" t="s">
        <v>4011</v>
      </c>
      <c r="L381" s="58">
        <v>215.0</v>
      </c>
      <c r="M381" s="58" t="s">
        <v>3869</v>
      </c>
      <c r="N381" s="58">
        <v>2.0</v>
      </c>
      <c r="O381" s="58" t="b">
        <v>1</v>
      </c>
      <c r="P381" s="58"/>
      <c r="Q381" s="58"/>
      <c r="R381" s="59" t="str">
        <f>IF(COUNTIF('Active Employees'!B:B, B381)&gt;0,"Y","N")</f>
        <v>Y</v>
      </c>
      <c r="S381" s="58"/>
      <c r="T381" s="58"/>
    </row>
    <row r="382">
      <c r="A382" s="58" t="s">
        <v>3125</v>
      </c>
      <c r="B382" s="58" t="s">
        <v>366</v>
      </c>
      <c r="C382" s="58" t="s">
        <v>3866</v>
      </c>
      <c r="D382" s="58" t="s">
        <v>3867</v>
      </c>
      <c r="E382" s="68">
        <v>45799.81701388889</v>
      </c>
      <c r="F382" s="68">
        <v>45925.72478009259</v>
      </c>
      <c r="G382" s="58">
        <v>7.0</v>
      </c>
      <c r="H382" s="58" t="s">
        <v>3342</v>
      </c>
      <c r="I382" s="58" t="s">
        <v>3877</v>
      </c>
      <c r="J382" s="58" t="s">
        <v>3342</v>
      </c>
      <c r="K382" s="58" t="s">
        <v>3868</v>
      </c>
      <c r="L382" s="58">
        <v>725.0</v>
      </c>
      <c r="M382" s="58" t="s">
        <v>3885</v>
      </c>
      <c r="N382" s="58">
        <v>2.0</v>
      </c>
      <c r="O382" s="58" t="b">
        <v>1</v>
      </c>
      <c r="P382" s="58"/>
      <c r="Q382" s="58"/>
      <c r="R382" s="59" t="str">
        <f>IF(COUNTIF('Active Employees'!B:B, B382)&gt;0,"Y","N")</f>
        <v>Y</v>
      </c>
      <c r="S382" s="58"/>
      <c r="T382" s="58"/>
    </row>
    <row r="383">
      <c r="A383" s="58" t="s">
        <v>216</v>
      </c>
      <c r="B383" s="58" t="s">
        <v>1125</v>
      </c>
      <c r="C383" s="58" t="s">
        <v>3866</v>
      </c>
      <c r="D383" s="58" t="s">
        <v>3867</v>
      </c>
      <c r="E383" s="68">
        <v>45833.72846064815</v>
      </c>
      <c r="F383" s="68">
        <v>45925.67428240741</v>
      </c>
      <c r="G383" s="58">
        <v>7.0</v>
      </c>
      <c r="H383" s="58" t="s">
        <v>3342</v>
      </c>
      <c r="I383" s="58" t="s">
        <v>3877</v>
      </c>
      <c r="J383" s="58" t="s">
        <v>3342</v>
      </c>
      <c r="K383" s="58" t="s">
        <v>3868</v>
      </c>
      <c r="L383" s="58">
        <v>105.0</v>
      </c>
      <c r="M383" s="58" t="s">
        <v>3869</v>
      </c>
      <c r="N383" s="58">
        <v>2.0</v>
      </c>
      <c r="O383" s="58" t="b">
        <v>1</v>
      </c>
      <c r="P383" s="58"/>
      <c r="Q383" s="58"/>
      <c r="R383" s="59" t="str">
        <f>IF(COUNTIF('Active Employees'!B:B, B383)&gt;0,"Y","N")</f>
        <v>Y</v>
      </c>
      <c r="S383" s="58"/>
      <c r="T383" s="58"/>
    </row>
    <row r="384">
      <c r="A384" s="58" t="s">
        <v>387</v>
      </c>
      <c r="B384" s="58" t="s">
        <v>1346</v>
      </c>
      <c r="C384" s="58" t="s">
        <v>4009</v>
      </c>
      <c r="D384" s="58" t="s">
        <v>4010</v>
      </c>
      <c r="E384" s="68">
        <v>45764.806608796294</v>
      </c>
      <c r="F384" s="68">
        <v>45925.38857638889</v>
      </c>
      <c r="G384" s="58">
        <v>7.0</v>
      </c>
      <c r="H384" s="58" t="s">
        <v>771</v>
      </c>
      <c r="I384" s="58" t="s">
        <v>856</v>
      </c>
      <c r="J384" s="68">
        <v>45736.745416666665</v>
      </c>
      <c r="K384" s="58" t="s">
        <v>4011</v>
      </c>
      <c r="L384" s="58">
        <v>1770.0</v>
      </c>
      <c r="M384" s="58" t="s">
        <v>4062</v>
      </c>
      <c r="N384" s="58">
        <v>3.0</v>
      </c>
      <c r="O384" s="58" t="b">
        <v>1</v>
      </c>
      <c r="P384" s="58"/>
      <c r="Q384" s="58"/>
      <c r="R384" s="59" t="str">
        <f>IF(COUNTIF('Active Employees'!B:B, B384)&gt;0,"Y","N")</f>
        <v>Y</v>
      </c>
      <c r="S384" s="58"/>
      <c r="T384" s="58"/>
    </row>
    <row r="385">
      <c r="A385" s="58" t="s">
        <v>3270</v>
      </c>
      <c r="B385" s="58" t="s">
        <v>1143</v>
      </c>
      <c r="C385" s="58" t="s">
        <v>3866</v>
      </c>
      <c r="D385" s="58" t="s">
        <v>3867</v>
      </c>
      <c r="E385" s="68">
        <v>45799.77533564815</v>
      </c>
      <c r="F385" s="68">
        <v>45925.583125</v>
      </c>
      <c r="G385" s="58">
        <v>7.0</v>
      </c>
      <c r="H385" s="58" t="s">
        <v>3342</v>
      </c>
      <c r="I385" s="58" t="s">
        <v>3877</v>
      </c>
      <c r="J385" s="58" t="s">
        <v>3342</v>
      </c>
      <c r="K385" s="58" t="s">
        <v>3868</v>
      </c>
      <c r="L385" s="58">
        <v>9.0</v>
      </c>
      <c r="M385" s="58" t="s">
        <v>3885</v>
      </c>
      <c r="N385" s="58">
        <v>2.0</v>
      </c>
      <c r="O385" s="58" t="b">
        <v>1</v>
      </c>
      <c r="P385" s="58"/>
      <c r="Q385" s="58"/>
      <c r="R385" s="59" t="str">
        <f>IF(COUNTIF('Active Employees'!B:B, B385)&gt;0,"Y","N")</f>
        <v>Y</v>
      </c>
      <c r="S385" s="58"/>
      <c r="T385" s="58"/>
    </row>
    <row r="386">
      <c r="A386" s="58" t="s">
        <v>3189</v>
      </c>
      <c r="B386" s="58" t="s">
        <v>716</v>
      </c>
      <c r="C386" s="58" t="s">
        <v>3866</v>
      </c>
      <c r="D386" s="58" t="s">
        <v>3867</v>
      </c>
      <c r="E386" s="68">
        <v>45799.7753125</v>
      </c>
      <c r="F386" s="68">
        <v>45925.77303240741</v>
      </c>
      <c r="G386" s="58">
        <v>7.0</v>
      </c>
      <c r="H386" s="58" t="s">
        <v>3342</v>
      </c>
      <c r="I386" s="58" t="s">
        <v>3877</v>
      </c>
      <c r="J386" s="58" t="s">
        <v>3342</v>
      </c>
      <c r="K386" s="58" t="s">
        <v>3868</v>
      </c>
      <c r="L386" s="58">
        <v>484.0</v>
      </c>
      <c r="M386" s="58" t="s">
        <v>3885</v>
      </c>
      <c r="N386" s="58">
        <v>2.0</v>
      </c>
      <c r="O386" s="58" t="b">
        <v>1</v>
      </c>
      <c r="P386" s="58"/>
      <c r="Q386" s="58"/>
      <c r="R386" s="59" t="str">
        <f>IF(COUNTIF('Active Employees'!B:B, B386)&gt;0,"Y","N")</f>
        <v>Y</v>
      </c>
      <c r="S386" s="58"/>
      <c r="T386" s="58"/>
    </row>
    <row r="387">
      <c r="A387" s="58" t="s">
        <v>3274</v>
      </c>
      <c r="B387" s="58" t="s">
        <v>319</v>
      </c>
      <c r="C387" s="58" t="s">
        <v>3866</v>
      </c>
      <c r="D387" s="58" t="s">
        <v>3867</v>
      </c>
      <c r="E387" s="68">
        <v>45799.77521990741</v>
      </c>
      <c r="F387" s="68">
        <v>45925.09612268519</v>
      </c>
      <c r="G387" s="58">
        <v>7.0</v>
      </c>
      <c r="H387" s="58" t="s">
        <v>3342</v>
      </c>
      <c r="I387" s="58" t="s">
        <v>3877</v>
      </c>
      <c r="J387" s="58" t="s">
        <v>3342</v>
      </c>
      <c r="K387" s="58" t="s">
        <v>3868</v>
      </c>
      <c r="L387" s="58">
        <v>277.0</v>
      </c>
      <c r="M387" s="58" t="s">
        <v>3885</v>
      </c>
      <c r="N387" s="58">
        <v>2.0</v>
      </c>
      <c r="O387" s="58" t="b">
        <v>1</v>
      </c>
      <c r="P387" s="58"/>
      <c r="Q387" s="58"/>
      <c r="R387" s="59" t="str">
        <f>IF(COUNTIF('Active Employees'!B:B, B387)&gt;0,"Y","N")</f>
        <v>Y</v>
      </c>
      <c r="S387" s="58"/>
      <c r="T387" s="58"/>
    </row>
    <row r="388">
      <c r="A388" s="58" t="s">
        <v>637</v>
      </c>
      <c r="B388" s="58" t="s">
        <v>378</v>
      </c>
      <c r="C388" s="58" t="s">
        <v>3866</v>
      </c>
      <c r="D388" s="58" t="s">
        <v>3867</v>
      </c>
      <c r="E388" s="68">
        <v>45799.817037037035</v>
      </c>
      <c r="F388" s="68">
        <v>45925.20976851852</v>
      </c>
      <c r="G388" s="58">
        <v>7.0</v>
      </c>
      <c r="H388" s="58" t="s">
        <v>3342</v>
      </c>
      <c r="I388" s="58" t="s">
        <v>3877</v>
      </c>
      <c r="J388" s="58" t="s">
        <v>3342</v>
      </c>
      <c r="K388" s="58" t="s">
        <v>3868</v>
      </c>
      <c r="L388" s="58">
        <v>241.0</v>
      </c>
      <c r="M388" s="58" t="s">
        <v>3885</v>
      </c>
      <c r="N388" s="58">
        <v>2.0</v>
      </c>
      <c r="O388" s="58" t="b">
        <v>1</v>
      </c>
      <c r="P388" s="58"/>
      <c r="Q388" s="58"/>
      <c r="R388" s="59" t="str">
        <f>IF(COUNTIF('Active Employees'!B:B, B388)&gt;0,"Y","N")</f>
        <v>Y</v>
      </c>
      <c r="S388" s="58"/>
      <c r="T388" s="58"/>
    </row>
    <row r="389">
      <c r="A389" s="58" t="s">
        <v>3038</v>
      </c>
      <c r="B389" s="58" t="s">
        <v>1262</v>
      </c>
      <c r="C389" s="58" t="s">
        <v>3866</v>
      </c>
      <c r="D389" s="58" t="s">
        <v>3867</v>
      </c>
      <c r="E389" s="68">
        <v>45799.774201388886</v>
      </c>
      <c r="F389" s="68">
        <v>45925.57376157407</v>
      </c>
      <c r="G389" s="58">
        <v>7.0</v>
      </c>
      <c r="H389" s="58" t="s">
        <v>3342</v>
      </c>
      <c r="I389" s="58" t="s">
        <v>3877</v>
      </c>
      <c r="J389" s="58" t="s">
        <v>3342</v>
      </c>
      <c r="K389" s="58" t="s">
        <v>3868</v>
      </c>
      <c r="L389" s="58">
        <v>344.0</v>
      </c>
      <c r="M389" s="58" t="s">
        <v>3918</v>
      </c>
      <c r="N389" s="58">
        <v>2.0</v>
      </c>
      <c r="O389" s="58" t="b">
        <v>1</v>
      </c>
      <c r="P389" s="58"/>
      <c r="Q389" s="58"/>
      <c r="R389" s="59" t="str">
        <f>IF(COUNTIF('Active Employees'!B:B, B389)&gt;0,"Y","N")</f>
        <v>Y</v>
      </c>
      <c r="S389" s="58"/>
      <c r="T389" s="58"/>
    </row>
    <row r="390">
      <c r="A390" s="58" t="s">
        <v>3322</v>
      </c>
      <c r="B390" s="58" t="s">
        <v>1004</v>
      </c>
      <c r="C390" s="58" t="s">
        <v>3866</v>
      </c>
      <c r="D390" s="58" t="s">
        <v>3867</v>
      </c>
      <c r="E390" s="68">
        <v>45817.70605324074</v>
      </c>
      <c r="F390" s="68">
        <v>45925.64462962963</v>
      </c>
      <c r="G390" s="58">
        <v>7.0</v>
      </c>
      <c r="H390" s="58" t="s">
        <v>3342</v>
      </c>
      <c r="I390" s="58" t="s">
        <v>3877</v>
      </c>
      <c r="J390" s="58" t="s">
        <v>3342</v>
      </c>
      <c r="K390" s="58" t="s">
        <v>3868</v>
      </c>
      <c r="L390" s="58">
        <v>160.0</v>
      </c>
      <c r="M390" s="58" t="s">
        <v>3885</v>
      </c>
      <c r="N390" s="58">
        <v>2.0</v>
      </c>
      <c r="O390" s="58" t="b">
        <v>1</v>
      </c>
      <c r="P390" s="58"/>
      <c r="Q390" s="58"/>
      <c r="R390" s="59" t="str">
        <f>IF(COUNTIF('Active Employees'!B:B, B390)&gt;0,"Y","N")</f>
        <v>Y</v>
      </c>
      <c r="S390" s="58"/>
      <c r="T390" s="58"/>
    </row>
    <row r="391">
      <c r="A391" s="58" t="s">
        <v>360</v>
      </c>
      <c r="B391" s="58" t="s">
        <v>993</v>
      </c>
      <c r="C391" s="58" t="s">
        <v>3866</v>
      </c>
      <c r="D391" s="58" t="s">
        <v>3867</v>
      </c>
      <c r="E391" s="68">
        <v>45848.7491087963</v>
      </c>
      <c r="F391" s="68">
        <v>45925.64696759259</v>
      </c>
      <c r="G391" s="58">
        <v>7.0</v>
      </c>
      <c r="H391" s="58" t="s">
        <v>3342</v>
      </c>
      <c r="I391" s="58" t="s">
        <v>3877</v>
      </c>
      <c r="J391" s="58" t="s">
        <v>3342</v>
      </c>
      <c r="K391" s="58" t="s">
        <v>3868</v>
      </c>
      <c r="L391" s="58">
        <v>153.0</v>
      </c>
      <c r="M391" s="58" t="s">
        <v>3885</v>
      </c>
      <c r="N391" s="58">
        <v>2.0</v>
      </c>
      <c r="O391" s="58" t="b">
        <v>1</v>
      </c>
      <c r="P391" s="58"/>
      <c r="Q391" s="58"/>
      <c r="R391" s="59" t="str">
        <f>IF(COUNTIF('Active Employees'!B:B, B391)&gt;0,"Y","N")</f>
        <v>Y</v>
      </c>
      <c r="S391" s="58"/>
      <c r="T391" s="58"/>
    </row>
    <row r="392">
      <c r="A392" s="58" t="s">
        <v>399</v>
      </c>
      <c r="B392" s="58" t="s">
        <v>1148</v>
      </c>
      <c r="C392" s="58" t="s">
        <v>4009</v>
      </c>
      <c r="D392" s="58" t="s">
        <v>4010</v>
      </c>
      <c r="E392" s="68">
        <v>45799.77427083333</v>
      </c>
      <c r="F392" s="68">
        <v>45926.85459490741</v>
      </c>
      <c r="G392" s="58">
        <v>6.0</v>
      </c>
      <c r="H392" s="58" t="s">
        <v>3342</v>
      </c>
      <c r="I392" s="58" t="s">
        <v>3877</v>
      </c>
      <c r="J392" s="58" t="s">
        <v>3342</v>
      </c>
      <c r="K392" s="58" t="s">
        <v>4011</v>
      </c>
      <c r="L392" s="58">
        <v>52.0</v>
      </c>
      <c r="M392" s="58" t="s">
        <v>4013</v>
      </c>
      <c r="N392" s="58">
        <v>3.0</v>
      </c>
      <c r="O392" s="58" t="b">
        <v>1</v>
      </c>
      <c r="P392" s="58"/>
      <c r="Q392" s="58"/>
      <c r="R392" s="59" t="str">
        <f>IF(COUNTIF('Active Employees'!B:B, B392)&gt;0,"Y","N")</f>
        <v>Y</v>
      </c>
      <c r="S392" s="58"/>
      <c r="T392" s="58"/>
    </row>
    <row r="393">
      <c r="A393" s="58" t="s">
        <v>271</v>
      </c>
      <c r="B393" s="58" t="s">
        <v>131</v>
      </c>
      <c r="C393" s="58" t="s">
        <v>3866</v>
      </c>
      <c r="D393" s="58" t="s">
        <v>3867</v>
      </c>
      <c r="E393" s="68">
        <v>45799.77479166666</v>
      </c>
      <c r="F393" s="68">
        <v>45926.61712962963</v>
      </c>
      <c r="G393" s="58">
        <v>6.0</v>
      </c>
      <c r="H393" s="58" t="s">
        <v>3342</v>
      </c>
      <c r="I393" s="58" t="s">
        <v>3877</v>
      </c>
      <c r="J393" s="58" t="s">
        <v>3342</v>
      </c>
      <c r="K393" s="58" t="s">
        <v>3868</v>
      </c>
      <c r="L393" s="58">
        <v>21.0</v>
      </c>
      <c r="M393" s="58" t="s">
        <v>3869</v>
      </c>
      <c r="N393" s="58">
        <v>2.0</v>
      </c>
      <c r="O393" s="58" t="b">
        <v>1</v>
      </c>
      <c r="P393" s="58"/>
      <c r="Q393" s="58"/>
      <c r="R393" s="59" t="str">
        <f>IF(COUNTIF('Active Employees'!B:B, B393)&gt;0,"Y","N")</f>
        <v>Y</v>
      </c>
      <c r="S393" s="58"/>
      <c r="T393" s="58"/>
    </row>
    <row r="394">
      <c r="A394" s="58" t="s">
        <v>3301</v>
      </c>
      <c r="B394" s="58" t="s">
        <v>1024</v>
      </c>
      <c r="C394" s="58" t="s">
        <v>3866</v>
      </c>
      <c r="D394" s="58" t="s">
        <v>3867</v>
      </c>
      <c r="E394" s="68">
        <v>45799.817025462966</v>
      </c>
      <c r="F394" s="68">
        <v>45926.08555555555</v>
      </c>
      <c r="G394" s="58">
        <v>6.0</v>
      </c>
      <c r="H394" s="58" t="s">
        <v>3342</v>
      </c>
      <c r="I394" s="58" t="s">
        <v>3877</v>
      </c>
      <c r="J394" s="58" t="s">
        <v>3342</v>
      </c>
      <c r="K394" s="58" t="s">
        <v>3868</v>
      </c>
      <c r="L394" s="58">
        <v>137.0</v>
      </c>
      <c r="M394" s="58" t="s">
        <v>3885</v>
      </c>
      <c r="N394" s="58">
        <v>2.0</v>
      </c>
      <c r="O394" s="58" t="b">
        <v>1</v>
      </c>
      <c r="P394" s="58"/>
      <c r="Q394" s="58"/>
      <c r="R394" s="59" t="str">
        <f>IF(COUNTIF('Active Employees'!B:B, B394)&gt;0,"Y","N")</f>
        <v>Y</v>
      </c>
      <c r="S394" s="58"/>
      <c r="T394" s="58"/>
    </row>
    <row r="395">
      <c r="A395" s="58" t="s">
        <v>4063</v>
      </c>
      <c r="B395" s="58" t="s">
        <v>547</v>
      </c>
      <c r="C395" s="58" t="s">
        <v>3866</v>
      </c>
      <c r="D395" s="58" t="s">
        <v>3867</v>
      </c>
      <c r="E395" s="68">
        <v>45527.71505787037</v>
      </c>
      <c r="F395" s="68">
        <v>45926.57943287037</v>
      </c>
      <c r="G395" s="58">
        <v>6.0</v>
      </c>
      <c r="H395" s="58" t="s">
        <v>771</v>
      </c>
      <c r="I395" s="58" t="s">
        <v>856</v>
      </c>
      <c r="J395" s="68">
        <v>45517.59805555556</v>
      </c>
      <c r="K395" s="58" t="s">
        <v>3868</v>
      </c>
      <c r="L395" s="58">
        <v>8.0</v>
      </c>
      <c r="M395" s="58" t="s">
        <v>3869</v>
      </c>
      <c r="N395" s="58">
        <v>2.0</v>
      </c>
      <c r="O395" s="58" t="b">
        <v>1</v>
      </c>
      <c r="P395" s="58"/>
      <c r="Q395" s="58"/>
      <c r="R395" s="59" t="str">
        <f>IF(COUNTIF('Active Employees'!B:B, B395)&gt;0,"Y","N")</f>
        <v>Y</v>
      </c>
      <c r="S395" s="58"/>
      <c r="T395" s="58"/>
    </row>
    <row r="396">
      <c r="A396" s="58" t="s">
        <v>3144</v>
      </c>
      <c r="B396" s="58" t="s">
        <v>1437</v>
      </c>
      <c r="C396" s="58" t="s">
        <v>3866</v>
      </c>
      <c r="D396" s="58" t="s">
        <v>3867</v>
      </c>
      <c r="E396" s="68">
        <v>45799.77527777778</v>
      </c>
      <c r="F396" s="68">
        <v>45926.82380787037</v>
      </c>
      <c r="G396" s="58">
        <v>6.0</v>
      </c>
      <c r="H396" s="58" t="s">
        <v>3342</v>
      </c>
      <c r="I396" s="58" t="s">
        <v>3877</v>
      </c>
      <c r="J396" s="58" t="s">
        <v>3342</v>
      </c>
      <c r="K396" s="58" t="s">
        <v>3868</v>
      </c>
      <c r="L396" s="58">
        <v>378.0</v>
      </c>
      <c r="M396" s="58" t="s">
        <v>3885</v>
      </c>
      <c r="N396" s="58">
        <v>2.0</v>
      </c>
      <c r="O396" s="58" t="b">
        <v>1</v>
      </c>
      <c r="P396" s="58"/>
      <c r="Q396" s="58"/>
      <c r="R396" s="59" t="str">
        <f>IF(COUNTIF('Active Employees'!B:B, B396)&gt;0,"Y","N")</f>
        <v>Y</v>
      </c>
      <c r="S396" s="58"/>
      <c r="T396" s="58"/>
    </row>
    <row r="397">
      <c r="A397" s="58" t="s">
        <v>327</v>
      </c>
      <c r="B397" s="58" t="s">
        <v>1136</v>
      </c>
      <c r="C397" s="58" t="s">
        <v>3866</v>
      </c>
      <c r="D397" s="58" t="s">
        <v>3867</v>
      </c>
      <c r="E397" s="68">
        <v>45799.817025462966</v>
      </c>
      <c r="F397" s="68">
        <v>45926.06958333333</v>
      </c>
      <c r="G397" s="58">
        <v>6.0</v>
      </c>
      <c r="H397" s="58" t="s">
        <v>3342</v>
      </c>
      <c r="I397" s="58" t="s">
        <v>3877</v>
      </c>
      <c r="J397" s="58" t="s">
        <v>3342</v>
      </c>
      <c r="K397" s="58" t="s">
        <v>3868</v>
      </c>
      <c r="L397" s="58">
        <v>220.0</v>
      </c>
      <c r="M397" s="58" t="s">
        <v>3885</v>
      </c>
      <c r="N397" s="58">
        <v>2.0</v>
      </c>
      <c r="O397" s="58" t="b">
        <v>1</v>
      </c>
      <c r="P397" s="58"/>
      <c r="Q397" s="58"/>
      <c r="R397" s="59" t="str">
        <f>IF(COUNTIF('Active Employees'!B:B, B397)&gt;0,"Y","N")</f>
        <v>Y</v>
      </c>
      <c r="S397" s="58"/>
      <c r="T397" s="58"/>
    </row>
    <row r="398">
      <c r="A398" s="58" t="s">
        <v>3309</v>
      </c>
      <c r="B398" s="58" t="s">
        <v>1223</v>
      </c>
      <c r="C398" s="58" t="s">
        <v>3866</v>
      </c>
      <c r="D398" s="58" t="s">
        <v>3867</v>
      </c>
      <c r="E398" s="68">
        <v>45799.7753125</v>
      </c>
      <c r="F398" s="68">
        <v>45926.19752314815</v>
      </c>
      <c r="G398" s="58">
        <v>6.0</v>
      </c>
      <c r="H398" s="58" t="s">
        <v>3342</v>
      </c>
      <c r="I398" s="58" t="s">
        <v>3877</v>
      </c>
      <c r="J398" s="58" t="s">
        <v>3342</v>
      </c>
      <c r="K398" s="58" t="s">
        <v>3868</v>
      </c>
      <c r="L398" s="58">
        <v>116.0</v>
      </c>
      <c r="M398" s="58" t="s">
        <v>3885</v>
      </c>
      <c r="N398" s="58">
        <v>2.0</v>
      </c>
      <c r="O398" s="58" t="b">
        <v>1</v>
      </c>
      <c r="P398" s="58"/>
      <c r="Q398" s="58"/>
      <c r="R398" s="59" t="str">
        <f>IF(COUNTIF('Active Employees'!B:B, B398)&gt;0,"Y","N")</f>
        <v>Y</v>
      </c>
      <c r="S398" s="58"/>
      <c r="T398" s="58"/>
    </row>
    <row r="399">
      <c r="A399" s="58" t="s">
        <v>3215</v>
      </c>
      <c r="B399" s="58" t="s">
        <v>1278</v>
      </c>
      <c r="C399" s="58" t="s">
        <v>4009</v>
      </c>
      <c r="D399" s="58" t="s">
        <v>4010</v>
      </c>
      <c r="E399" s="68">
        <v>45799.775300925925</v>
      </c>
      <c r="F399" s="68">
        <v>45926.66509259259</v>
      </c>
      <c r="G399" s="58">
        <v>6.0</v>
      </c>
      <c r="H399" s="58" t="s">
        <v>3342</v>
      </c>
      <c r="I399" s="58" t="s">
        <v>3877</v>
      </c>
      <c r="J399" s="58" t="s">
        <v>3342</v>
      </c>
      <c r="K399" s="58" t="s">
        <v>4011</v>
      </c>
      <c r="L399" s="58">
        <v>76.0</v>
      </c>
      <c r="M399" s="58" t="s">
        <v>3885</v>
      </c>
      <c r="N399" s="58">
        <v>2.0</v>
      </c>
      <c r="O399" s="58" t="b">
        <v>1</v>
      </c>
      <c r="P399" s="58"/>
      <c r="Q399" s="58"/>
      <c r="R399" s="59" t="str">
        <f>IF(COUNTIF('Active Employees'!B:B, B399)&gt;0,"Y","N")</f>
        <v>Y</v>
      </c>
      <c r="S399" s="58"/>
      <c r="T399" s="58"/>
    </row>
    <row r="400">
      <c r="A400" s="58" t="s">
        <v>1187</v>
      </c>
      <c r="B400" s="58" t="s">
        <v>247</v>
      </c>
      <c r="C400" s="58" t="s">
        <v>3961</v>
      </c>
      <c r="D400" s="58" t="s">
        <v>1440</v>
      </c>
      <c r="E400" s="68">
        <v>45719.80484953704</v>
      </c>
      <c r="F400" s="68">
        <v>45927.01810185185</v>
      </c>
      <c r="G400" s="58">
        <v>5.0</v>
      </c>
      <c r="H400" s="58" t="s">
        <v>3959</v>
      </c>
      <c r="I400" s="58" t="s">
        <v>3960</v>
      </c>
      <c r="J400" s="68">
        <v>45716.958449074074</v>
      </c>
      <c r="K400" s="58" t="s">
        <v>3972</v>
      </c>
      <c r="L400" s="58">
        <v>198.0</v>
      </c>
      <c r="M400" s="58" t="s">
        <v>3885</v>
      </c>
      <c r="N400" s="58">
        <v>2.0</v>
      </c>
      <c r="O400" s="58" t="b">
        <v>1</v>
      </c>
      <c r="P400" s="58"/>
      <c r="Q400" s="58"/>
      <c r="R400" s="59" t="str">
        <f>IF(COUNTIF('Active Employees'!B:B, B400)&gt;0,"Y","N")</f>
        <v>Y</v>
      </c>
      <c r="S400" s="58"/>
      <c r="T400" s="58"/>
    </row>
    <row r="401">
      <c r="A401" s="58" t="s">
        <v>3201</v>
      </c>
      <c r="B401" s="58" t="s">
        <v>369</v>
      </c>
      <c r="C401" s="58" t="s">
        <v>4009</v>
      </c>
      <c r="D401" s="58" t="s">
        <v>4010</v>
      </c>
      <c r="E401" s="68">
        <v>45799.77521990741</v>
      </c>
      <c r="F401" s="68">
        <v>45928.96771990741</v>
      </c>
      <c r="G401" s="58">
        <v>4.0</v>
      </c>
      <c r="H401" s="58" t="s">
        <v>3342</v>
      </c>
      <c r="I401" s="58" t="s">
        <v>3877</v>
      </c>
      <c r="J401" s="58" t="s">
        <v>3342</v>
      </c>
      <c r="K401" s="58" t="s">
        <v>4011</v>
      </c>
      <c r="L401" s="58">
        <v>705.0</v>
      </c>
      <c r="M401" s="58" t="s">
        <v>3885</v>
      </c>
      <c r="N401" s="58">
        <v>2.0</v>
      </c>
      <c r="O401" s="58" t="b">
        <v>1</v>
      </c>
      <c r="P401" s="58"/>
      <c r="Q401" s="58"/>
      <c r="R401" s="59" t="str">
        <f>IF(COUNTIF('Active Employees'!B:B, B401)&gt;0,"Y","N")</f>
        <v>Y</v>
      </c>
      <c r="S401" s="58"/>
      <c r="T401" s="58"/>
    </row>
    <row r="402">
      <c r="A402" s="58" t="s">
        <v>3087</v>
      </c>
      <c r="B402" s="58" t="s">
        <v>822</v>
      </c>
      <c r="C402" s="58" t="s">
        <v>3866</v>
      </c>
      <c r="D402" s="58" t="s">
        <v>3867</v>
      </c>
      <c r="E402" s="68">
        <v>45799.77422453704</v>
      </c>
      <c r="F402" s="68">
        <v>45929.402395833335</v>
      </c>
      <c r="G402" s="58">
        <v>3.0</v>
      </c>
      <c r="H402" s="58" t="s">
        <v>3342</v>
      </c>
      <c r="I402" s="58" t="s">
        <v>3877</v>
      </c>
      <c r="J402" s="58" t="s">
        <v>3342</v>
      </c>
      <c r="K402" s="58" t="s">
        <v>3868</v>
      </c>
      <c r="L402" s="58">
        <v>34.0</v>
      </c>
      <c r="M402" s="58" t="s">
        <v>3918</v>
      </c>
      <c r="N402" s="58">
        <v>2.0</v>
      </c>
      <c r="O402" s="58" t="b">
        <v>1</v>
      </c>
      <c r="P402" s="58"/>
      <c r="Q402" s="58"/>
      <c r="R402" s="59" t="str">
        <f>IF(COUNTIF('Active Employees'!B:B, B402)&gt;0,"Y","N")</f>
        <v>Y</v>
      </c>
      <c r="S402" s="58"/>
      <c r="T402" s="58"/>
    </row>
    <row r="403">
      <c r="A403" s="58" t="s">
        <v>144</v>
      </c>
      <c r="B403" s="58" t="s">
        <v>1020</v>
      </c>
      <c r="C403" s="58" t="s">
        <v>3866</v>
      </c>
      <c r="D403" s="58" t="s">
        <v>3867</v>
      </c>
      <c r="E403" s="68">
        <v>45799.81701388889</v>
      </c>
      <c r="F403" s="68">
        <v>45929.356203703705</v>
      </c>
      <c r="G403" s="58">
        <v>3.0</v>
      </c>
      <c r="H403" s="58" t="s">
        <v>3342</v>
      </c>
      <c r="I403" s="58" t="s">
        <v>3877</v>
      </c>
      <c r="J403" s="58" t="s">
        <v>3342</v>
      </c>
      <c r="K403" s="58" t="s">
        <v>3868</v>
      </c>
      <c r="L403" s="58">
        <v>500.0</v>
      </c>
      <c r="M403" s="58" t="s">
        <v>3885</v>
      </c>
      <c r="N403" s="58">
        <v>2.0</v>
      </c>
      <c r="O403" s="58" t="b">
        <v>1</v>
      </c>
      <c r="P403" s="58"/>
      <c r="Q403" s="58"/>
      <c r="R403" s="59" t="str">
        <f>IF(COUNTIF('Active Employees'!B:B, B403)&gt;0,"Y","N")</f>
        <v>Y</v>
      </c>
      <c r="S403" s="58"/>
      <c r="T403" s="58"/>
    </row>
    <row r="404">
      <c r="A404" s="58" t="s">
        <v>3291</v>
      </c>
      <c r="B404" s="58" t="s">
        <v>647</v>
      </c>
      <c r="C404" s="58" t="s">
        <v>3866</v>
      </c>
      <c r="D404" s="58" t="s">
        <v>3867</v>
      </c>
      <c r="E404" s="68">
        <v>45799.77533564815</v>
      </c>
      <c r="F404" s="68">
        <v>45929.84931712963</v>
      </c>
      <c r="G404" s="58">
        <v>3.0</v>
      </c>
      <c r="H404" s="58" t="s">
        <v>3342</v>
      </c>
      <c r="I404" s="58" t="s">
        <v>3877</v>
      </c>
      <c r="J404" s="58" t="s">
        <v>3342</v>
      </c>
      <c r="K404" s="58" t="s">
        <v>3868</v>
      </c>
      <c r="L404" s="58">
        <v>280.0</v>
      </c>
      <c r="M404" s="58" t="s">
        <v>3885</v>
      </c>
      <c r="N404" s="58">
        <v>2.0</v>
      </c>
      <c r="O404" s="58" t="b">
        <v>1</v>
      </c>
      <c r="P404" s="58"/>
      <c r="Q404" s="58"/>
      <c r="R404" s="59" t="str">
        <f>IF(COUNTIF('Active Employees'!B:B, B404)&gt;0,"Y","N")</f>
        <v>Y</v>
      </c>
      <c r="S404" s="58"/>
      <c r="T404" s="58"/>
    </row>
    <row r="405">
      <c r="A405" s="58" t="s">
        <v>3097</v>
      </c>
      <c r="B405" s="58" t="s">
        <v>1189</v>
      </c>
      <c r="C405" s="58" t="s">
        <v>3866</v>
      </c>
      <c r="D405" s="58" t="s">
        <v>3867</v>
      </c>
      <c r="E405" s="68">
        <v>45799.7740162037</v>
      </c>
      <c r="F405" s="68">
        <v>45929.63711805556</v>
      </c>
      <c r="G405" s="58">
        <v>3.0</v>
      </c>
      <c r="H405" s="58" t="s">
        <v>3342</v>
      </c>
      <c r="I405" s="58" t="s">
        <v>3877</v>
      </c>
      <c r="J405" s="58" t="s">
        <v>3342</v>
      </c>
      <c r="K405" s="58" t="s">
        <v>3868</v>
      </c>
      <c r="L405" s="58">
        <v>37.0</v>
      </c>
      <c r="M405" s="58" t="s">
        <v>3911</v>
      </c>
      <c r="N405" s="58">
        <v>3.0</v>
      </c>
      <c r="O405" s="58" t="b">
        <v>1</v>
      </c>
      <c r="P405" s="58"/>
      <c r="Q405" s="58"/>
      <c r="R405" s="59" t="str">
        <f>IF(COUNTIF('Active Employees'!B:B, B405)&gt;0,"Y","N")</f>
        <v>Y</v>
      </c>
      <c r="S405" s="58"/>
      <c r="T405" s="58"/>
    </row>
    <row r="406">
      <c r="A406" s="58" t="s">
        <v>3295</v>
      </c>
      <c r="B406" s="58" t="s">
        <v>926</v>
      </c>
      <c r="C406" s="58" t="s">
        <v>3866</v>
      </c>
      <c r="D406" s="58" t="s">
        <v>3867</v>
      </c>
      <c r="E406" s="68">
        <v>45799.775300925925</v>
      </c>
      <c r="F406" s="68">
        <v>45929.36071759259</v>
      </c>
      <c r="G406" s="58">
        <v>3.0</v>
      </c>
      <c r="H406" s="58" t="s">
        <v>3342</v>
      </c>
      <c r="I406" s="58" t="s">
        <v>3877</v>
      </c>
      <c r="J406" s="58" t="s">
        <v>3342</v>
      </c>
      <c r="K406" s="58" t="s">
        <v>3868</v>
      </c>
      <c r="L406" s="58">
        <v>378.0</v>
      </c>
      <c r="M406" s="58" t="s">
        <v>3885</v>
      </c>
      <c r="N406" s="58">
        <v>2.0</v>
      </c>
      <c r="O406" s="58" t="b">
        <v>1</v>
      </c>
      <c r="P406" s="58"/>
      <c r="Q406" s="58"/>
      <c r="R406" s="59" t="str">
        <f>IF(COUNTIF('Active Employees'!B:B, B406)&gt;0,"Y","N")</f>
        <v>Y</v>
      </c>
      <c r="S406" s="58"/>
      <c r="T406" s="58"/>
    </row>
    <row r="407">
      <c r="A407" s="58" t="s">
        <v>3296</v>
      </c>
      <c r="B407" s="58" t="s">
        <v>1306</v>
      </c>
      <c r="C407" s="58" t="s">
        <v>4009</v>
      </c>
      <c r="D407" s="58" t="s">
        <v>4010</v>
      </c>
      <c r="E407" s="68">
        <v>45799.775243055556</v>
      </c>
      <c r="F407" s="68">
        <v>45929.635613425926</v>
      </c>
      <c r="G407" s="58">
        <v>3.0</v>
      </c>
      <c r="H407" s="58" t="s">
        <v>3342</v>
      </c>
      <c r="I407" s="58" t="s">
        <v>3877</v>
      </c>
      <c r="J407" s="58" t="s">
        <v>3342</v>
      </c>
      <c r="K407" s="58" t="s">
        <v>4011</v>
      </c>
      <c r="L407" s="58">
        <v>132.0</v>
      </c>
      <c r="M407" s="58" t="s">
        <v>3885</v>
      </c>
      <c r="N407" s="58">
        <v>2.0</v>
      </c>
      <c r="O407" s="58" t="b">
        <v>1</v>
      </c>
      <c r="P407" s="58"/>
      <c r="Q407" s="58"/>
      <c r="R407" s="59" t="str">
        <f>IF(COUNTIF('Active Employees'!B:B, B407)&gt;0,"Y","N")</f>
        <v>Y</v>
      </c>
      <c r="S407" s="58"/>
      <c r="T407" s="58"/>
    </row>
    <row r="408">
      <c r="A408" s="58" t="s">
        <v>1859</v>
      </c>
      <c r="B408" s="58" t="s">
        <v>332</v>
      </c>
      <c r="C408" s="58" t="s">
        <v>3866</v>
      </c>
      <c r="D408" s="58" t="s">
        <v>3867</v>
      </c>
      <c r="E408" s="68">
        <v>45799.77417824074</v>
      </c>
      <c r="F408" s="68">
        <v>45929.61467592593</v>
      </c>
      <c r="G408" s="58">
        <v>3.0</v>
      </c>
      <c r="H408" s="58" t="s">
        <v>3342</v>
      </c>
      <c r="I408" s="58" t="s">
        <v>3877</v>
      </c>
      <c r="J408" s="58" t="s">
        <v>3342</v>
      </c>
      <c r="K408" s="58" t="s">
        <v>3868</v>
      </c>
      <c r="L408" s="58">
        <v>65.0</v>
      </c>
      <c r="M408" s="58" t="s">
        <v>3918</v>
      </c>
      <c r="N408" s="58">
        <v>2.0</v>
      </c>
      <c r="O408" s="58" t="b">
        <v>1</v>
      </c>
      <c r="P408" s="58"/>
      <c r="Q408" s="58"/>
      <c r="R408" s="59" t="str">
        <f>IF(COUNTIF('Active Employees'!B:B, B408)&gt;0,"Y","N")</f>
        <v>Y</v>
      </c>
      <c r="S408" s="58"/>
      <c r="T408" s="58"/>
    </row>
    <row r="409">
      <c r="A409" s="58" t="s">
        <v>3140</v>
      </c>
      <c r="B409" s="58" t="s">
        <v>122</v>
      </c>
      <c r="C409" s="58" t="s">
        <v>3866</v>
      </c>
      <c r="D409" s="58" t="s">
        <v>3867</v>
      </c>
      <c r="E409" s="68">
        <v>45799.816203703704</v>
      </c>
      <c r="F409" s="68">
        <v>45929.68168981482</v>
      </c>
      <c r="G409" s="58">
        <v>3.0</v>
      </c>
      <c r="H409" s="58" t="s">
        <v>3342</v>
      </c>
      <c r="I409" s="58" t="s">
        <v>3877</v>
      </c>
      <c r="J409" s="58" t="s">
        <v>3342</v>
      </c>
      <c r="K409" s="58" t="s">
        <v>3868</v>
      </c>
      <c r="L409" s="58">
        <v>11.0</v>
      </c>
      <c r="M409" s="58" t="s">
        <v>3878</v>
      </c>
      <c r="N409" s="58">
        <v>2.0</v>
      </c>
      <c r="O409" s="58" t="b">
        <v>1</v>
      </c>
      <c r="P409" s="58"/>
      <c r="Q409" s="58"/>
      <c r="R409" s="59" t="str">
        <f>IF(COUNTIF('Active Employees'!B:B, B409)&gt;0,"Y","N")</f>
        <v>Y</v>
      </c>
      <c r="S409" s="58"/>
      <c r="T409" s="58"/>
    </row>
    <row r="410">
      <c r="A410" s="58" t="s">
        <v>3318</v>
      </c>
      <c r="B410" s="58" t="s">
        <v>575</v>
      </c>
      <c r="C410" s="58" t="s">
        <v>3866</v>
      </c>
      <c r="D410" s="58" t="s">
        <v>3867</v>
      </c>
      <c r="E410" s="68">
        <v>45799.77525462963</v>
      </c>
      <c r="F410" s="68">
        <v>45929.63543981482</v>
      </c>
      <c r="G410" s="58">
        <v>3.0</v>
      </c>
      <c r="H410" s="58" t="s">
        <v>3342</v>
      </c>
      <c r="I410" s="58" t="s">
        <v>3877</v>
      </c>
      <c r="J410" s="58" t="s">
        <v>3342</v>
      </c>
      <c r="K410" s="58" t="s">
        <v>3868</v>
      </c>
      <c r="L410" s="58">
        <v>1000.0</v>
      </c>
      <c r="M410" s="58" t="s">
        <v>3885</v>
      </c>
      <c r="N410" s="58">
        <v>2.0</v>
      </c>
      <c r="O410" s="58" t="b">
        <v>1</v>
      </c>
      <c r="P410" s="58"/>
      <c r="Q410" s="58"/>
      <c r="R410" s="59" t="str">
        <f>IF(COUNTIF('Active Employees'!B:B, B410)&gt;0,"Y","N")</f>
        <v>Y</v>
      </c>
      <c r="S410" s="58"/>
      <c r="T410" s="58"/>
    </row>
    <row r="411">
      <c r="A411" s="58" t="s">
        <v>336</v>
      </c>
      <c r="B411" s="58" t="s">
        <v>1431</v>
      </c>
      <c r="C411" s="58" t="s">
        <v>4009</v>
      </c>
      <c r="D411" s="58" t="s">
        <v>4010</v>
      </c>
      <c r="E411" s="68">
        <v>45799.77425925926</v>
      </c>
      <c r="F411" s="68">
        <v>45929.67359953704</v>
      </c>
      <c r="G411" s="58">
        <v>3.0</v>
      </c>
      <c r="H411" s="58" t="s">
        <v>3342</v>
      </c>
      <c r="I411" s="58" t="s">
        <v>3877</v>
      </c>
      <c r="J411" s="58" t="s">
        <v>3342</v>
      </c>
      <c r="K411" s="58" t="s">
        <v>4011</v>
      </c>
      <c r="L411" s="58">
        <v>2807.0</v>
      </c>
      <c r="M411" s="58" t="s">
        <v>3918</v>
      </c>
      <c r="N411" s="58">
        <v>2.0</v>
      </c>
      <c r="O411" s="58" t="b">
        <v>1</v>
      </c>
      <c r="P411" s="58"/>
      <c r="Q411" s="58"/>
      <c r="R411" s="59" t="str">
        <f>IF(COUNTIF('Active Employees'!B:B, B411)&gt;0,"Y","N")</f>
        <v>Y</v>
      </c>
      <c r="S411" s="58"/>
      <c r="T411" s="58"/>
    </row>
    <row r="412">
      <c r="A412" s="58" t="s">
        <v>3141</v>
      </c>
      <c r="B412" s="58" t="s">
        <v>1105</v>
      </c>
      <c r="C412" s="58" t="s">
        <v>3866</v>
      </c>
      <c r="D412" s="58" t="s">
        <v>3867</v>
      </c>
      <c r="E412" s="68">
        <v>45901.619108796294</v>
      </c>
      <c r="F412" s="68">
        <v>45929.614652777775</v>
      </c>
      <c r="G412" s="58">
        <v>3.0</v>
      </c>
      <c r="H412" s="58" t="s">
        <v>3342</v>
      </c>
      <c r="I412" s="58" t="s">
        <v>3877</v>
      </c>
      <c r="J412" s="58" t="s">
        <v>3342</v>
      </c>
      <c r="K412" s="58" t="s">
        <v>3868</v>
      </c>
      <c r="L412" s="58">
        <v>75.0</v>
      </c>
      <c r="M412" s="58" t="s">
        <v>3918</v>
      </c>
      <c r="N412" s="58">
        <v>2.0</v>
      </c>
      <c r="O412" s="58" t="b">
        <v>1</v>
      </c>
      <c r="P412" s="58"/>
      <c r="Q412" s="58"/>
      <c r="R412" s="59" t="str">
        <f>IF(COUNTIF('Active Employees'!B:B, B412)&gt;0,"Y","N")</f>
        <v>Y</v>
      </c>
      <c r="S412" s="58"/>
      <c r="T412" s="58"/>
    </row>
    <row r="413">
      <c r="A413" s="58" t="s">
        <v>3044</v>
      </c>
      <c r="B413" s="58" t="s">
        <v>270</v>
      </c>
      <c r="C413" s="58" t="s">
        <v>3866</v>
      </c>
      <c r="D413" s="58" t="s">
        <v>3867</v>
      </c>
      <c r="E413" s="68">
        <v>45799.77480324074</v>
      </c>
      <c r="F413" s="68">
        <v>45929.625625</v>
      </c>
      <c r="G413" s="58">
        <v>3.0</v>
      </c>
      <c r="H413" s="58" t="s">
        <v>3342</v>
      </c>
      <c r="I413" s="58" t="s">
        <v>3877</v>
      </c>
      <c r="J413" s="58" t="s">
        <v>3342</v>
      </c>
      <c r="K413" s="58" t="s">
        <v>3868</v>
      </c>
      <c r="L413" s="58">
        <v>30.0</v>
      </c>
      <c r="M413" s="58" t="s">
        <v>3869</v>
      </c>
      <c r="N413" s="58">
        <v>2.0</v>
      </c>
      <c r="O413" s="58" t="b">
        <v>1</v>
      </c>
      <c r="P413" s="58"/>
      <c r="Q413" s="58"/>
      <c r="R413" s="59" t="str">
        <f>IF(COUNTIF('Active Employees'!B:B, B413)&gt;0,"Y","N")</f>
        <v>Y</v>
      </c>
      <c r="S413" s="58"/>
      <c r="T413" s="58"/>
    </row>
    <row r="414">
      <c r="A414" s="58" t="s">
        <v>3321</v>
      </c>
      <c r="B414" s="58" t="s">
        <v>776</v>
      </c>
      <c r="C414" s="58" t="s">
        <v>3866</v>
      </c>
      <c r="D414" s="58" t="s">
        <v>3867</v>
      </c>
      <c r="E414" s="68">
        <v>45799.81701388889</v>
      </c>
      <c r="F414" s="68">
        <v>45929.36072916666</v>
      </c>
      <c r="G414" s="58">
        <v>3.0</v>
      </c>
      <c r="H414" s="58" t="s">
        <v>3342</v>
      </c>
      <c r="I414" s="58" t="s">
        <v>3877</v>
      </c>
      <c r="J414" s="58" t="s">
        <v>3342</v>
      </c>
      <c r="K414" s="58" t="s">
        <v>3868</v>
      </c>
      <c r="L414" s="58">
        <v>4.0</v>
      </c>
      <c r="M414" s="58" t="s">
        <v>3885</v>
      </c>
      <c r="N414" s="58">
        <v>2.0</v>
      </c>
      <c r="O414" s="58" t="b">
        <v>1</v>
      </c>
      <c r="P414" s="58"/>
      <c r="Q414" s="58"/>
      <c r="R414" s="59" t="str">
        <f>IF(COUNTIF('Active Employees'!B:B, B414)&gt;0,"Y","N")</f>
        <v>Y</v>
      </c>
      <c r="S414" s="58"/>
      <c r="T414" s="58"/>
    </row>
    <row r="415">
      <c r="A415" s="58" t="s">
        <v>107</v>
      </c>
      <c r="B415" s="58" t="s">
        <v>1361</v>
      </c>
      <c r="C415" s="58" t="s">
        <v>3866</v>
      </c>
      <c r="D415" s="58" t="s">
        <v>3867</v>
      </c>
      <c r="E415" s="68">
        <v>45799.77425925926</v>
      </c>
      <c r="F415" s="68">
        <v>45929.753599537034</v>
      </c>
      <c r="G415" s="58">
        <v>3.0</v>
      </c>
      <c r="H415" s="58" t="s">
        <v>3342</v>
      </c>
      <c r="I415" s="58" t="s">
        <v>3877</v>
      </c>
      <c r="J415" s="58" t="s">
        <v>3342</v>
      </c>
      <c r="K415" s="58" t="s">
        <v>3868</v>
      </c>
      <c r="L415" s="58">
        <v>852.0</v>
      </c>
      <c r="M415" s="58" t="s">
        <v>3918</v>
      </c>
      <c r="N415" s="58">
        <v>2.0</v>
      </c>
      <c r="O415" s="58" t="b">
        <v>1</v>
      </c>
      <c r="P415" s="58"/>
      <c r="Q415" s="58"/>
      <c r="R415" s="59" t="str">
        <f>IF(COUNTIF('Active Employees'!B:B, B415)&gt;0,"Y","N")</f>
        <v>Y</v>
      </c>
      <c r="S415" s="58"/>
      <c r="T415" s="58"/>
    </row>
    <row r="416">
      <c r="A416" s="58" t="s">
        <v>1951</v>
      </c>
      <c r="B416" s="58" t="s">
        <v>688</v>
      </c>
      <c r="C416" s="58" t="s">
        <v>3866</v>
      </c>
      <c r="D416" s="58" t="s">
        <v>3867</v>
      </c>
      <c r="E416" s="68">
        <v>45799.774247685185</v>
      </c>
      <c r="F416" s="68">
        <v>45929.45515046296</v>
      </c>
      <c r="G416" s="58">
        <v>3.0</v>
      </c>
      <c r="H416" s="58" t="s">
        <v>3342</v>
      </c>
      <c r="I416" s="58" t="s">
        <v>3877</v>
      </c>
      <c r="J416" s="58" t="s">
        <v>3342</v>
      </c>
      <c r="K416" s="58" t="s">
        <v>3868</v>
      </c>
      <c r="L416" s="58">
        <v>77.0</v>
      </c>
      <c r="M416" s="58" t="s">
        <v>3918</v>
      </c>
      <c r="N416" s="58">
        <v>2.0</v>
      </c>
      <c r="O416" s="58" t="b">
        <v>1</v>
      </c>
      <c r="P416" s="58"/>
      <c r="Q416" s="58"/>
      <c r="R416" s="59" t="str">
        <f>IF(COUNTIF('Active Employees'!B:B, B416)&gt;0,"Y","N")</f>
        <v>Y</v>
      </c>
      <c r="S416" s="58"/>
      <c r="T416" s="58"/>
    </row>
    <row r="417">
      <c r="A417" s="58" t="s">
        <v>3122</v>
      </c>
      <c r="B417" s="58" t="s">
        <v>1062</v>
      </c>
      <c r="C417" s="58" t="s">
        <v>3961</v>
      </c>
      <c r="D417" s="58" t="s">
        <v>1440</v>
      </c>
      <c r="E417" s="68">
        <v>45719.24965277778</v>
      </c>
      <c r="F417" s="68">
        <v>45929.666446759256</v>
      </c>
      <c r="G417" s="58">
        <v>3.0</v>
      </c>
      <c r="H417" s="58" t="s">
        <v>3959</v>
      </c>
      <c r="I417" s="58" t="s">
        <v>3960</v>
      </c>
      <c r="J417" s="68">
        <v>45716.958449074074</v>
      </c>
      <c r="K417" s="58" t="s">
        <v>3972</v>
      </c>
      <c r="L417" s="58">
        <v>3148.0</v>
      </c>
      <c r="M417" s="58" t="s">
        <v>3869</v>
      </c>
      <c r="N417" s="58">
        <v>2.0</v>
      </c>
      <c r="O417" s="58" t="b">
        <v>1</v>
      </c>
      <c r="P417" s="58"/>
      <c r="Q417" s="58"/>
      <c r="R417" s="59" t="str">
        <f>IF(COUNTIF('Active Employees'!B:B, B417)&gt;0,"Y","N")</f>
        <v>Y</v>
      </c>
      <c r="S417" s="58"/>
      <c r="T417" s="58"/>
    </row>
    <row r="418">
      <c r="A418" s="58" t="s">
        <v>3203</v>
      </c>
      <c r="B418" s="58" t="s">
        <v>43</v>
      </c>
      <c r="C418" s="58" t="s">
        <v>3961</v>
      </c>
      <c r="D418" s="58" t="s">
        <v>1440</v>
      </c>
      <c r="E418" s="68">
        <v>45799.81621527778</v>
      </c>
      <c r="F418" s="68">
        <v>45929.759791666664</v>
      </c>
      <c r="G418" s="58">
        <v>3.0</v>
      </c>
      <c r="H418" s="58" t="s">
        <v>3342</v>
      </c>
      <c r="I418" s="58" t="s">
        <v>3877</v>
      </c>
      <c r="J418" s="58" t="s">
        <v>3342</v>
      </c>
      <c r="K418" s="58" t="s">
        <v>3972</v>
      </c>
      <c r="L418" s="58">
        <v>204.0</v>
      </c>
      <c r="M418" s="58" t="s">
        <v>3878</v>
      </c>
      <c r="N418" s="58">
        <v>2.0</v>
      </c>
      <c r="O418" s="58" t="b">
        <v>1</v>
      </c>
      <c r="P418" s="58"/>
      <c r="Q418" s="58"/>
      <c r="R418" s="59" t="str">
        <f>IF(COUNTIF('Active Employees'!B:B, B418)&gt;0,"Y","N")</f>
        <v>Y</v>
      </c>
      <c r="S418" s="58"/>
      <c r="T418" s="58"/>
    </row>
    <row r="419">
      <c r="A419" s="58" t="s">
        <v>3174</v>
      </c>
      <c r="B419" s="58" t="s">
        <v>478</v>
      </c>
      <c r="C419" s="58" t="s">
        <v>4009</v>
      </c>
      <c r="D419" s="58" t="s">
        <v>4010</v>
      </c>
      <c r="E419" s="68">
        <v>45719.79800925926</v>
      </c>
      <c r="F419" s="68">
        <v>45929.66851851852</v>
      </c>
      <c r="G419" s="58">
        <v>3.0</v>
      </c>
      <c r="H419" s="58" t="s">
        <v>3959</v>
      </c>
      <c r="I419" s="58" t="s">
        <v>3960</v>
      </c>
      <c r="J419" s="68">
        <v>45716.958449074074</v>
      </c>
      <c r="K419" s="58" t="s">
        <v>4011</v>
      </c>
      <c r="L419" s="58">
        <v>256.0</v>
      </c>
      <c r="M419" s="58" t="s">
        <v>3869</v>
      </c>
      <c r="N419" s="58">
        <v>2.0</v>
      </c>
      <c r="O419" s="58" t="b">
        <v>1</v>
      </c>
      <c r="P419" s="58"/>
      <c r="Q419" s="58"/>
      <c r="R419" s="59" t="str">
        <f>IF(COUNTIF('Active Employees'!B:B, B419)&gt;0,"Y","N")</f>
        <v>Y</v>
      </c>
      <c r="S419" s="58"/>
      <c r="T419" s="58"/>
    </row>
    <row r="420">
      <c r="A420" s="58" t="s">
        <v>178</v>
      </c>
      <c r="B420" s="58" t="s">
        <v>836</v>
      </c>
      <c r="C420" s="58" t="s">
        <v>4009</v>
      </c>
      <c r="D420" s="58" t="s">
        <v>4010</v>
      </c>
      <c r="E420" s="68">
        <v>45721.542592592596</v>
      </c>
      <c r="F420" s="68">
        <v>45929.74762731481</v>
      </c>
      <c r="G420" s="58">
        <v>3.0</v>
      </c>
      <c r="H420" s="58" t="s">
        <v>3959</v>
      </c>
      <c r="I420" s="58" t="s">
        <v>3960</v>
      </c>
      <c r="J420" s="68">
        <v>45716.958449074074</v>
      </c>
      <c r="K420" s="58" t="s">
        <v>4011</v>
      </c>
      <c r="L420" s="58">
        <v>1545.0</v>
      </c>
      <c r="M420" s="58" t="s">
        <v>3885</v>
      </c>
      <c r="N420" s="58">
        <v>2.0</v>
      </c>
      <c r="O420" s="58" t="b">
        <v>1</v>
      </c>
      <c r="P420" s="58"/>
      <c r="Q420" s="58"/>
      <c r="R420" s="59" t="str">
        <f>IF(COUNTIF('Active Employees'!B:B, B420)&gt;0,"Y","N")</f>
        <v>Y</v>
      </c>
      <c r="S420" s="58"/>
      <c r="T420" s="58"/>
    </row>
    <row r="421">
      <c r="A421" s="58" t="s">
        <v>3206</v>
      </c>
      <c r="B421" s="58" t="s">
        <v>1439</v>
      </c>
      <c r="C421" s="58" t="s">
        <v>3866</v>
      </c>
      <c r="D421" s="58" t="s">
        <v>3867</v>
      </c>
      <c r="E421" s="68">
        <v>45799.81621527778</v>
      </c>
      <c r="F421" s="68">
        <v>45929.66616898148</v>
      </c>
      <c r="G421" s="58">
        <v>3.0</v>
      </c>
      <c r="H421" s="58" t="s">
        <v>3342</v>
      </c>
      <c r="I421" s="58" t="s">
        <v>3877</v>
      </c>
      <c r="J421" s="58" t="s">
        <v>3342</v>
      </c>
      <c r="K421" s="58" t="s">
        <v>3868</v>
      </c>
      <c r="L421" s="58">
        <v>185.0</v>
      </c>
      <c r="M421" s="58" t="s">
        <v>3878</v>
      </c>
      <c r="N421" s="58">
        <v>2.0</v>
      </c>
      <c r="O421" s="58" t="b">
        <v>1</v>
      </c>
      <c r="P421" s="58"/>
      <c r="Q421" s="58"/>
      <c r="R421" s="59" t="str">
        <f>IF(COUNTIF('Active Employees'!B:B, B421)&gt;0,"Y","N")</f>
        <v>Y</v>
      </c>
      <c r="S421" s="58"/>
      <c r="T421" s="58"/>
    </row>
    <row r="422">
      <c r="A422" s="58" t="s">
        <v>4064</v>
      </c>
      <c r="B422" s="58" t="s">
        <v>1091</v>
      </c>
      <c r="C422" s="58" t="s">
        <v>3866</v>
      </c>
      <c r="D422" s="58" t="s">
        <v>3867</v>
      </c>
      <c r="E422" s="68">
        <v>45799.77402777778</v>
      </c>
      <c r="F422" s="68">
        <v>45930.55767361111</v>
      </c>
      <c r="G422" s="58">
        <v>2.0</v>
      </c>
      <c r="H422" s="58" t="s">
        <v>3342</v>
      </c>
      <c r="I422" s="58" t="s">
        <v>3877</v>
      </c>
      <c r="J422" s="58" t="s">
        <v>3342</v>
      </c>
      <c r="K422" s="58" t="s">
        <v>3868</v>
      </c>
      <c r="L422" s="58">
        <v>61.0</v>
      </c>
      <c r="M422" s="58" t="s">
        <v>3911</v>
      </c>
      <c r="N422" s="58">
        <v>3.0</v>
      </c>
      <c r="O422" s="58" t="b">
        <v>1</v>
      </c>
      <c r="P422" s="58"/>
      <c r="Q422" s="58"/>
      <c r="R422" s="59" t="str">
        <f>IF(COUNTIF('Active Employees'!B:B, B422)&gt;0,"Y","N")</f>
        <v>Y</v>
      </c>
      <c r="S422" s="58"/>
      <c r="T422" s="58"/>
    </row>
    <row r="423">
      <c r="A423" s="58" t="s">
        <v>3286</v>
      </c>
      <c r="B423" s="58" t="s">
        <v>1132</v>
      </c>
      <c r="C423" s="58" t="s">
        <v>3961</v>
      </c>
      <c r="D423" s="58" t="s">
        <v>1440</v>
      </c>
      <c r="E423" s="68">
        <v>45799.795115740744</v>
      </c>
      <c r="F423" s="68">
        <v>45930.80633101852</v>
      </c>
      <c r="G423" s="58">
        <v>2.0</v>
      </c>
      <c r="H423" s="58" t="s">
        <v>3342</v>
      </c>
      <c r="I423" s="58" t="s">
        <v>3877</v>
      </c>
      <c r="J423" s="58" t="s">
        <v>3342</v>
      </c>
      <c r="K423" s="58" t="s">
        <v>3972</v>
      </c>
      <c r="L423" s="58">
        <v>554.0</v>
      </c>
      <c r="M423" s="58" t="s">
        <v>3869</v>
      </c>
      <c r="N423" s="58">
        <v>2.0</v>
      </c>
      <c r="O423" s="58" t="b">
        <v>1</v>
      </c>
      <c r="P423" s="58"/>
      <c r="Q423" s="58"/>
      <c r="R423" s="59" t="str">
        <f>IF(COUNTIF('Active Employees'!B:B, B423)&gt;0,"Y","N")</f>
        <v>Y</v>
      </c>
      <c r="S423" s="58"/>
      <c r="T423" s="58"/>
    </row>
    <row r="424">
      <c r="A424" s="58" t="s">
        <v>3288</v>
      </c>
      <c r="B424" s="58" t="s">
        <v>1178</v>
      </c>
      <c r="C424" s="58" t="s">
        <v>3961</v>
      </c>
      <c r="D424" s="58" t="s">
        <v>1440</v>
      </c>
      <c r="E424" s="68">
        <v>45511.879745370374</v>
      </c>
      <c r="F424" s="68">
        <v>45930.609930555554</v>
      </c>
      <c r="G424" s="58">
        <v>2.0</v>
      </c>
      <c r="H424" s="58" t="s">
        <v>771</v>
      </c>
      <c r="I424" s="58" t="s">
        <v>856</v>
      </c>
      <c r="J424" s="68">
        <v>45386.12571759259</v>
      </c>
      <c r="K424" s="58" t="s">
        <v>3972</v>
      </c>
      <c r="L424" s="58">
        <v>175.0</v>
      </c>
      <c r="M424" s="58" t="s">
        <v>3873</v>
      </c>
      <c r="N424" s="58">
        <v>2.0</v>
      </c>
      <c r="O424" s="58" t="b">
        <v>1</v>
      </c>
      <c r="P424" s="58"/>
      <c r="Q424" s="58"/>
      <c r="R424" s="59" t="str">
        <f>IF(COUNTIF('Active Employees'!B:B, B424)&gt;0,"Y","N")</f>
        <v>Y</v>
      </c>
      <c r="S424" s="58"/>
      <c r="T424" s="58"/>
    </row>
    <row r="425">
      <c r="A425" s="58" t="s">
        <v>3265</v>
      </c>
      <c r="B425" s="58" t="s">
        <v>558</v>
      </c>
      <c r="C425" s="58" t="s">
        <v>3866</v>
      </c>
      <c r="D425" s="58" t="s">
        <v>3867</v>
      </c>
      <c r="E425" s="68">
        <v>45799.81704861111</v>
      </c>
      <c r="F425" s="68">
        <v>45930.82898148148</v>
      </c>
      <c r="G425" s="58">
        <v>2.0</v>
      </c>
      <c r="H425" s="58" t="s">
        <v>3342</v>
      </c>
      <c r="I425" s="58" t="s">
        <v>3877</v>
      </c>
      <c r="J425" s="58" t="s">
        <v>3342</v>
      </c>
      <c r="K425" s="58" t="s">
        <v>3868</v>
      </c>
      <c r="L425" s="58">
        <v>1410.0</v>
      </c>
      <c r="M425" s="58" t="s">
        <v>3885</v>
      </c>
      <c r="N425" s="58">
        <v>2.0</v>
      </c>
      <c r="O425" s="58" t="b">
        <v>1</v>
      </c>
      <c r="P425" s="58"/>
      <c r="Q425" s="58"/>
      <c r="R425" s="59" t="str">
        <f>IF(COUNTIF('Active Employees'!B:B, B425)&gt;0,"Y","N")</f>
        <v>Y</v>
      </c>
      <c r="S425" s="58"/>
      <c r="T425" s="58"/>
    </row>
    <row r="426">
      <c r="A426" s="58" t="s">
        <v>2983</v>
      </c>
      <c r="B426" s="58" t="s">
        <v>996</v>
      </c>
      <c r="C426" s="58" t="s">
        <v>3961</v>
      </c>
      <c r="D426" s="58" t="s">
        <v>1440</v>
      </c>
      <c r="E426" s="68">
        <v>45799.77425925926</v>
      </c>
      <c r="F426" s="68">
        <v>45930.900196759256</v>
      </c>
      <c r="G426" s="58">
        <v>2.0</v>
      </c>
      <c r="H426" s="58" t="s">
        <v>3342</v>
      </c>
      <c r="I426" s="58" t="s">
        <v>3877</v>
      </c>
      <c r="J426" s="58" t="s">
        <v>3342</v>
      </c>
      <c r="K426" s="58" t="s">
        <v>3972</v>
      </c>
      <c r="L426" s="58">
        <v>2265.0</v>
      </c>
      <c r="M426" s="58" t="s">
        <v>3918</v>
      </c>
      <c r="N426" s="58">
        <v>2.0</v>
      </c>
      <c r="O426" s="58" t="b">
        <v>1</v>
      </c>
      <c r="P426" s="58"/>
      <c r="Q426" s="58"/>
      <c r="R426" s="59" t="str">
        <f>IF(COUNTIF('Active Employees'!B:B, B426)&gt;0,"Y","N")</f>
        <v>Y</v>
      </c>
      <c r="S426" s="58"/>
      <c r="T426" s="58"/>
    </row>
    <row r="427">
      <c r="A427" s="58" t="s">
        <v>188</v>
      </c>
      <c r="B427" s="58" t="s">
        <v>781</v>
      </c>
      <c r="C427" s="58" t="s">
        <v>4009</v>
      </c>
      <c r="D427" s="58" t="s">
        <v>4010</v>
      </c>
      <c r="E427" s="68">
        <v>45769.84449074074</v>
      </c>
      <c r="F427" s="68">
        <v>45930.87768518519</v>
      </c>
      <c r="G427" s="58">
        <v>2.0</v>
      </c>
      <c r="H427" s="58" t="s">
        <v>203</v>
      </c>
      <c r="I427" s="58" t="s">
        <v>626</v>
      </c>
      <c r="J427" s="68">
        <v>45769.769895833335</v>
      </c>
      <c r="K427" s="58" t="s">
        <v>4011</v>
      </c>
      <c r="L427" s="58">
        <v>16.0</v>
      </c>
      <c r="M427" s="58" t="s">
        <v>4047</v>
      </c>
      <c r="N427" s="58">
        <v>3.0</v>
      </c>
      <c r="O427" s="58" t="b">
        <v>1</v>
      </c>
      <c r="P427" s="58"/>
      <c r="Q427" s="58"/>
      <c r="R427" s="59" t="str">
        <f>IF(COUNTIF('Active Employees'!B:B, B427)&gt;0,"Y","N")</f>
        <v>Y</v>
      </c>
      <c r="S427" s="58"/>
      <c r="T427" s="58"/>
    </row>
    <row r="428">
      <c r="A428" s="58" t="s">
        <v>3248</v>
      </c>
      <c r="B428" s="58" t="s">
        <v>912</v>
      </c>
      <c r="C428" s="58" t="s">
        <v>3866</v>
      </c>
      <c r="D428" s="58" t="s">
        <v>3867</v>
      </c>
      <c r="E428" s="68">
        <v>45799.7753125</v>
      </c>
      <c r="F428" s="68">
        <v>45930.65525462963</v>
      </c>
      <c r="G428" s="58">
        <v>2.0</v>
      </c>
      <c r="H428" s="58" t="s">
        <v>3342</v>
      </c>
      <c r="I428" s="58" t="s">
        <v>3877</v>
      </c>
      <c r="J428" s="58" t="s">
        <v>3342</v>
      </c>
      <c r="K428" s="58" t="s">
        <v>3868</v>
      </c>
      <c r="L428" s="58">
        <v>680.0</v>
      </c>
      <c r="M428" s="58" t="s">
        <v>3885</v>
      </c>
      <c r="N428" s="58">
        <v>2.0</v>
      </c>
      <c r="O428" s="58" t="b">
        <v>1</v>
      </c>
      <c r="P428" s="58"/>
      <c r="Q428" s="58"/>
      <c r="R428" s="59" t="str">
        <f>IF(COUNTIF('Active Employees'!B:B, B428)&gt;0,"Y","N")</f>
        <v>Y</v>
      </c>
      <c r="S428" s="58"/>
      <c r="T428" s="58"/>
    </row>
    <row r="429">
      <c r="A429" s="58" t="s">
        <v>4065</v>
      </c>
      <c r="B429" s="58" t="s">
        <v>442</v>
      </c>
      <c r="C429" s="58" t="s">
        <v>3866</v>
      </c>
      <c r="D429" s="58" t="s">
        <v>3867</v>
      </c>
      <c r="E429" s="68">
        <v>45901.619409722225</v>
      </c>
      <c r="F429" s="68">
        <v>45930.83725694445</v>
      </c>
      <c r="G429" s="58">
        <v>2.0</v>
      </c>
      <c r="H429" s="58" t="s">
        <v>3342</v>
      </c>
      <c r="I429" s="58" t="s">
        <v>3877</v>
      </c>
      <c r="J429" s="58" t="s">
        <v>3342</v>
      </c>
      <c r="K429" s="58" t="s">
        <v>3868</v>
      </c>
      <c r="L429" s="58">
        <v>337.0</v>
      </c>
      <c r="M429" s="58" t="s">
        <v>3918</v>
      </c>
      <c r="N429" s="58">
        <v>2.0</v>
      </c>
      <c r="O429" s="58" t="b">
        <v>1</v>
      </c>
      <c r="P429" s="58"/>
      <c r="Q429" s="58"/>
      <c r="R429" s="59" t="str">
        <f>IF(COUNTIF('Active Employees'!B:B, B429)&gt;0,"Y","N")</f>
        <v>Y</v>
      </c>
      <c r="S429" s="58"/>
      <c r="T429" s="58"/>
    </row>
    <row r="430">
      <c r="A430" s="58" t="s">
        <v>3211</v>
      </c>
      <c r="B430" s="58" t="s">
        <v>218</v>
      </c>
      <c r="C430" s="58" t="s">
        <v>4009</v>
      </c>
      <c r="D430" s="58" t="s">
        <v>4010</v>
      </c>
      <c r="E430" s="68">
        <v>45799.7753125</v>
      </c>
      <c r="F430" s="68">
        <v>45930.77976851852</v>
      </c>
      <c r="G430" s="58">
        <v>2.0</v>
      </c>
      <c r="H430" s="58" t="s">
        <v>3342</v>
      </c>
      <c r="I430" s="58" t="s">
        <v>3877</v>
      </c>
      <c r="J430" s="58" t="s">
        <v>3342</v>
      </c>
      <c r="K430" s="58" t="s">
        <v>4011</v>
      </c>
      <c r="L430" s="58">
        <v>1268.0</v>
      </c>
      <c r="M430" s="58" t="s">
        <v>3885</v>
      </c>
      <c r="N430" s="58">
        <v>2.0</v>
      </c>
      <c r="O430" s="58" t="b">
        <v>1</v>
      </c>
      <c r="P430" s="58"/>
      <c r="Q430" s="58"/>
      <c r="R430" s="59" t="str">
        <f>IF(COUNTIF('Active Employees'!B:B, B430)&gt;0,"Y","N")</f>
        <v>Y</v>
      </c>
      <c r="S430" s="58"/>
      <c r="T430" s="58"/>
    </row>
    <row r="431">
      <c r="A431" s="58" t="s">
        <v>3037</v>
      </c>
      <c r="B431" s="58" t="s">
        <v>96</v>
      </c>
      <c r="C431" s="58" t="s">
        <v>3866</v>
      </c>
      <c r="D431" s="58" t="s">
        <v>3867</v>
      </c>
      <c r="E431" s="68">
        <v>45799.77480324074</v>
      </c>
      <c r="F431" s="68">
        <v>45930.39231481482</v>
      </c>
      <c r="G431" s="58">
        <v>2.0</v>
      </c>
      <c r="H431" s="58" t="s">
        <v>3342</v>
      </c>
      <c r="I431" s="58" t="s">
        <v>3877</v>
      </c>
      <c r="J431" s="58" t="s">
        <v>3342</v>
      </c>
      <c r="K431" s="58" t="s">
        <v>3868</v>
      </c>
      <c r="L431" s="58">
        <v>69.0</v>
      </c>
      <c r="M431" s="58" t="s">
        <v>3869</v>
      </c>
      <c r="N431" s="58">
        <v>2.0</v>
      </c>
      <c r="O431" s="58" t="b">
        <v>1</v>
      </c>
      <c r="P431" s="58"/>
      <c r="Q431" s="58"/>
      <c r="R431" s="59" t="str">
        <f>IF(COUNTIF('Active Employees'!B:B, B431)&gt;0,"Y","N")</f>
        <v>Y</v>
      </c>
      <c r="S431" s="58"/>
      <c r="T431" s="58"/>
    </row>
    <row r="432">
      <c r="A432" s="58" t="s">
        <v>3315</v>
      </c>
      <c r="B432" s="58" t="s">
        <v>1074</v>
      </c>
      <c r="C432" s="58" t="s">
        <v>3961</v>
      </c>
      <c r="D432" s="58" t="s">
        <v>1440</v>
      </c>
      <c r="E432" s="68">
        <v>45169.63469907407</v>
      </c>
      <c r="F432" s="68">
        <v>45930.77070601852</v>
      </c>
      <c r="G432" s="58">
        <v>2.0</v>
      </c>
      <c r="H432" s="58" t="s">
        <v>3342</v>
      </c>
      <c r="I432" s="58" t="s">
        <v>3877</v>
      </c>
      <c r="J432" s="58" t="s">
        <v>3342</v>
      </c>
      <c r="K432" s="58" t="s">
        <v>3972</v>
      </c>
      <c r="L432" s="58">
        <v>1335.0</v>
      </c>
      <c r="M432" s="58" t="s">
        <v>3982</v>
      </c>
      <c r="N432" s="58">
        <v>4.0</v>
      </c>
      <c r="O432" s="58" t="b">
        <v>1</v>
      </c>
      <c r="P432" s="58"/>
      <c r="Q432" s="58"/>
      <c r="R432" s="59" t="str">
        <f>IF(COUNTIF('Active Employees'!B:B, B432)&gt;0,"Y","N")</f>
        <v>Y</v>
      </c>
      <c r="S432" s="58"/>
      <c r="T432" s="58"/>
    </row>
    <row r="433">
      <c r="A433" s="58" t="s">
        <v>3249</v>
      </c>
      <c r="B433" s="58" t="s">
        <v>706</v>
      </c>
      <c r="C433" s="58" t="s">
        <v>3961</v>
      </c>
      <c r="D433" s="58" t="s">
        <v>3962</v>
      </c>
      <c r="E433" s="68">
        <v>45147.71708333334</v>
      </c>
      <c r="F433" s="68">
        <v>45930.84709490741</v>
      </c>
      <c r="G433" s="58">
        <v>2.0</v>
      </c>
      <c r="H433" s="58" t="s">
        <v>3342</v>
      </c>
      <c r="I433" s="58" t="s">
        <v>3877</v>
      </c>
      <c r="J433" s="58" t="s">
        <v>3342</v>
      </c>
      <c r="K433" s="58" t="s">
        <v>3963</v>
      </c>
      <c r="L433" s="58">
        <v>96.0</v>
      </c>
      <c r="M433" s="58" t="s">
        <v>3918</v>
      </c>
      <c r="N433" s="58">
        <v>2.0</v>
      </c>
      <c r="O433" s="58" t="b">
        <v>1</v>
      </c>
      <c r="P433" s="58"/>
      <c r="Q433" s="58"/>
      <c r="R433" s="59" t="str">
        <f>IF(COUNTIF('Active Employees'!B:B, B433)&gt;0,"Y","N")</f>
        <v>Y</v>
      </c>
      <c r="S433" s="58"/>
      <c r="T433" s="58"/>
    </row>
    <row r="434">
      <c r="A434" s="58" t="s">
        <v>613</v>
      </c>
      <c r="B434" s="58" t="s">
        <v>763</v>
      </c>
      <c r="C434" s="58" t="s">
        <v>3866</v>
      </c>
      <c r="D434" s="58" t="s">
        <v>3867</v>
      </c>
      <c r="E434" s="68">
        <v>45799.817037037035</v>
      </c>
      <c r="F434" s="68">
        <v>45930.74626157407</v>
      </c>
      <c r="G434" s="58">
        <v>2.0</v>
      </c>
      <c r="H434" s="58" t="s">
        <v>3342</v>
      </c>
      <c r="I434" s="58" t="s">
        <v>3877</v>
      </c>
      <c r="J434" s="58" t="s">
        <v>3342</v>
      </c>
      <c r="K434" s="58" t="s">
        <v>3868</v>
      </c>
      <c r="L434" s="58">
        <v>145.0</v>
      </c>
      <c r="M434" s="58" t="s">
        <v>3885</v>
      </c>
      <c r="N434" s="58">
        <v>2.0</v>
      </c>
      <c r="O434" s="58" t="b">
        <v>1</v>
      </c>
      <c r="P434" s="58"/>
      <c r="Q434" s="58"/>
      <c r="R434" s="59" t="str">
        <f>IF(COUNTIF('Active Employees'!B:B, B434)&gt;0,"Y","N")</f>
        <v>Y</v>
      </c>
      <c r="S434" s="58"/>
      <c r="T434" s="58"/>
    </row>
    <row r="435">
      <c r="A435" s="58" t="s">
        <v>352</v>
      </c>
      <c r="B435" s="58" t="s">
        <v>1375</v>
      </c>
      <c r="C435" s="58" t="s">
        <v>4009</v>
      </c>
      <c r="D435" s="58" t="s">
        <v>4010</v>
      </c>
      <c r="E435" s="68">
        <v>45317.695393518516</v>
      </c>
      <c r="F435" s="68">
        <v>45930.59575231482</v>
      </c>
      <c r="G435" s="58">
        <v>2.0</v>
      </c>
      <c r="H435" s="58" t="s">
        <v>771</v>
      </c>
      <c r="I435" s="58" t="s">
        <v>856</v>
      </c>
      <c r="J435" s="68">
        <v>45308.662303240744</v>
      </c>
      <c r="K435" s="58" t="s">
        <v>4011</v>
      </c>
      <c r="L435" s="58">
        <v>374.0</v>
      </c>
      <c r="M435" s="58" t="s">
        <v>3873</v>
      </c>
      <c r="N435" s="58">
        <v>2.0</v>
      </c>
      <c r="O435" s="58" t="b">
        <v>1</v>
      </c>
      <c r="P435" s="58"/>
      <c r="Q435" s="58"/>
      <c r="R435" s="59" t="str">
        <f>IF(COUNTIF('Active Employees'!B:B, B435)&gt;0,"Y","N")</f>
        <v>Y</v>
      </c>
      <c r="S435" s="58"/>
      <c r="T435" s="58"/>
    </row>
    <row r="436">
      <c r="A436" s="58" t="s">
        <v>3231</v>
      </c>
      <c r="B436" s="58" t="s">
        <v>611</v>
      </c>
      <c r="C436" s="58" t="s">
        <v>3866</v>
      </c>
      <c r="D436" s="58" t="s">
        <v>3867</v>
      </c>
      <c r="E436" s="68">
        <v>45799.77521990741</v>
      </c>
      <c r="F436" s="68">
        <v>45930.67931712963</v>
      </c>
      <c r="G436" s="58">
        <v>2.0</v>
      </c>
      <c r="H436" s="58" t="s">
        <v>3342</v>
      </c>
      <c r="I436" s="58" t="s">
        <v>3877</v>
      </c>
      <c r="J436" s="58" t="s">
        <v>3342</v>
      </c>
      <c r="K436" s="58" t="s">
        <v>3868</v>
      </c>
      <c r="L436" s="58">
        <v>241.0</v>
      </c>
      <c r="M436" s="58" t="s">
        <v>3885</v>
      </c>
      <c r="N436" s="58">
        <v>2.0</v>
      </c>
      <c r="O436" s="58" t="b">
        <v>1</v>
      </c>
      <c r="P436" s="58"/>
      <c r="Q436" s="58"/>
      <c r="R436" s="59" t="str">
        <f>IF(COUNTIF('Active Employees'!B:B, B436)&gt;0,"Y","N")</f>
        <v>Y</v>
      </c>
      <c r="S436" s="58"/>
      <c r="T436" s="58"/>
    </row>
    <row r="437">
      <c r="A437" s="58" t="s">
        <v>3250</v>
      </c>
      <c r="B437" s="58" t="s">
        <v>424</v>
      </c>
      <c r="C437" s="58" t="s">
        <v>4009</v>
      </c>
      <c r="D437" s="58" t="s">
        <v>4010</v>
      </c>
      <c r="E437" s="68">
        <v>45799.774247685185</v>
      </c>
      <c r="F437" s="68">
        <v>45930.60693287037</v>
      </c>
      <c r="G437" s="58">
        <v>2.0</v>
      </c>
      <c r="H437" s="58" t="s">
        <v>3342</v>
      </c>
      <c r="I437" s="58" t="s">
        <v>3877</v>
      </c>
      <c r="J437" s="58" t="s">
        <v>3342</v>
      </c>
      <c r="K437" s="58" t="s">
        <v>4011</v>
      </c>
      <c r="L437" s="58">
        <v>1995.0</v>
      </c>
      <c r="M437" s="58" t="s">
        <v>3918</v>
      </c>
      <c r="N437" s="58">
        <v>2.0</v>
      </c>
      <c r="O437" s="58" t="b">
        <v>1</v>
      </c>
      <c r="P437" s="58"/>
      <c r="Q437" s="58"/>
      <c r="R437" s="59" t="str">
        <f>IF(COUNTIF('Active Employees'!B:B, B437)&gt;0,"Y","N")</f>
        <v>Y</v>
      </c>
      <c r="S437" s="58"/>
      <c r="T437" s="58"/>
    </row>
    <row r="438">
      <c r="A438" s="58" t="s">
        <v>3271</v>
      </c>
      <c r="B438" s="58" t="s">
        <v>844</v>
      </c>
      <c r="C438" s="58" t="s">
        <v>3866</v>
      </c>
      <c r="D438" s="58" t="s">
        <v>3867</v>
      </c>
      <c r="E438" s="68">
        <v>45799.775289351855</v>
      </c>
      <c r="F438" s="68">
        <v>45930.67854166667</v>
      </c>
      <c r="G438" s="58">
        <v>2.0</v>
      </c>
      <c r="H438" s="58" t="s">
        <v>3342</v>
      </c>
      <c r="I438" s="58" t="s">
        <v>3877</v>
      </c>
      <c r="J438" s="58" t="s">
        <v>3342</v>
      </c>
      <c r="K438" s="58" t="s">
        <v>3868</v>
      </c>
      <c r="L438" s="58">
        <v>41.0</v>
      </c>
      <c r="M438" s="58" t="s">
        <v>3885</v>
      </c>
      <c r="N438" s="58">
        <v>2.0</v>
      </c>
      <c r="O438" s="58" t="b">
        <v>1</v>
      </c>
      <c r="P438" s="58"/>
      <c r="Q438" s="58"/>
      <c r="R438" s="59" t="str">
        <f>IF(COUNTIF('Active Employees'!B:B, B438)&gt;0,"Y","N")</f>
        <v>Y</v>
      </c>
      <c r="S438" s="58"/>
      <c r="T438" s="58"/>
    </row>
    <row r="439">
      <c r="A439" s="58" t="s">
        <v>183</v>
      </c>
      <c r="B439" s="58" t="s">
        <v>358</v>
      </c>
      <c r="C439" s="58" t="s">
        <v>3866</v>
      </c>
      <c r="D439" s="58" t="s">
        <v>3867</v>
      </c>
      <c r="E439" s="68">
        <v>45799.77532407407</v>
      </c>
      <c r="F439" s="68">
        <v>45930.33872685185</v>
      </c>
      <c r="G439" s="58">
        <v>2.0</v>
      </c>
      <c r="H439" s="58" t="s">
        <v>3342</v>
      </c>
      <c r="I439" s="58" t="s">
        <v>3877</v>
      </c>
      <c r="J439" s="58" t="s">
        <v>3342</v>
      </c>
      <c r="K439" s="58" t="s">
        <v>3868</v>
      </c>
      <c r="L439" s="58">
        <v>143.0</v>
      </c>
      <c r="M439" s="58" t="s">
        <v>3885</v>
      </c>
      <c r="N439" s="58">
        <v>2.0</v>
      </c>
      <c r="O439" s="58" t="b">
        <v>1</v>
      </c>
      <c r="P439" s="58"/>
      <c r="Q439" s="58"/>
      <c r="R439" s="59" t="str">
        <f>IF(COUNTIF('Active Employees'!B:B, B439)&gt;0,"Y","N")</f>
        <v>Y</v>
      </c>
      <c r="S439" s="58"/>
      <c r="T439" s="58"/>
    </row>
    <row r="440">
      <c r="A440" s="58" t="s">
        <v>3166</v>
      </c>
      <c r="B440" s="58" t="s">
        <v>88</v>
      </c>
      <c r="C440" s="58" t="s">
        <v>3866</v>
      </c>
      <c r="D440" s="58" t="s">
        <v>3867</v>
      </c>
      <c r="E440" s="68">
        <v>45799.817037037035</v>
      </c>
      <c r="F440" s="68">
        <v>45930.66884259259</v>
      </c>
      <c r="G440" s="58">
        <v>2.0</v>
      </c>
      <c r="H440" s="58" t="s">
        <v>3342</v>
      </c>
      <c r="I440" s="58" t="s">
        <v>3877</v>
      </c>
      <c r="J440" s="58" t="s">
        <v>3342</v>
      </c>
      <c r="K440" s="58" t="s">
        <v>3868</v>
      </c>
      <c r="L440" s="58">
        <v>221.0</v>
      </c>
      <c r="M440" s="58" t="s">
        <v>3885</v>
      </c>
      <c r="N440" s="58">
        <v>2.0</v>
      </c>
      <c r="O440" s="58" t="b">
        <v>1</v>
      </c>
      <c r="P440" s="58"/>
      <c r="Q440" s="58"/>
      <c r="R440" s="59" t="str">
        <f>IF(COUNTIF('Active Employees'!B:B, B440)&gt;0,"Y","N")</f>
        <v>Y</v>
      </c>
      <c r="S440" s="58"/>
      <c r="T440" s="58"/>
    </row>
    <row r="441">
      <c r="A441" s="58" t="s">
        <v>1906</v>
      </c>
      <c r="B441" s="58" t="s">
        <v>869</v>
      </c>
      <c r="C441" s="58" t="s">
        <v>4009</v>
      </c>
      <c r="D441" s="58" t="s">
        <v>4010</v>
      </c>
      <c r="E441" s="68">
        <v>45799.774201388886</v>
      </c>
      <c r="F441" s="68">
        <v>45930.52153935185</v>
      </c>
      <c r="G441" s="58">
        <v>2.0</v>
      </c>
      <c r="H441" s="58" t="s">
        <v>3342</v>
      </c>
      <c r="I441" s="58" t="s">
        <v>3877</v>
      </c>
      <c r="J441" s="58" t="s">
        <v>3342</v>
      </c>
      <c r="K441" s="58" t="s">
        <v>4011</v>
      </c>
      <c r="L441" s="58">
        <v>98.0</v>
      </c>
      <c r="M441" s="58" t="s">
        <v>3918</v>
      </c>
      <c r="N441" s="58">
        <v>2.0</v>
      </c>
      <c r="O441" s="58" t="b">
        <v>1</v>
      </c>
      <c r="P441" s="58"/>
      <c r="Q441" s="58"/>
      <c r="R441" s="59" t="str">
        <f>IF(COUNTIF('Active Employees'!B:B, B441)&gt;0,"Y","N")</f>
        <v>Y</v>
      </c>
      <c r="S441" s="58"/>
      <c r="T441" s="58"/>
    </row>
    <row r="442">
      <c r="A442" s="58" t="s">
        <v>448</v>
      </c>
      <c r="B442" s="58" t="s">
        <v>684</v>
      </c>
      <c r="C442" s="58" t="s">
        <v>4009</v>
      </c>
      <c r="D442" s="58" t="s">
        <v>4010</v>
      </c>
      <c r="E442" s="68">
        <v>45681.70086805556</v>
      </c>
      <c r="F442" s="68">
        <v>45930.930185185185</v>
      </c>
      <c r="G442" s="58">
        <v>2.0</v>
      </c>
      <c r="H442" s="58" t="s">
        <v>771</v>
      </c>
      <c r="I442" s="58" t="s">
        <v>856</v>
      </c>
      <c r="J442" s="68">
        <v>45308.662303240744</v>
      </c>
      <c r="K442" s="58" t="s">
        <v>4011</v>
      </c>
      <c r="L442" s="58">
        <v>141.0</v>
      </c>
      <c r="M442" s="58" t="s">
        <v>3873</v>
      </c>
      <c r="N442" s="58">
        <v>2.0</v>
      </c>
      <c r="O442" s="58" t="b">
        <v>1</v>
      </c>
      <c r="P442" s="58"/>
      <c r="Q442" s="58"/>
      <c r="R442" s="59" t="str">
        <f>IF(COUNTIF('Active Employees'!B:B, B442)&gt;0,"Y","N")</f>
        <v>Y</v>
      </c>
      <c r="S442" s="58"/>
      <c r="T442" s="58"/>
    </row>
    <row r="443">
      <c r="A443" s="58" t="s">
        <v>3190</v>
      </c>
      <c r="B443" s="58" t="s">
        <v>1080</v>
      </c>
      <c r="C443" s="58" t="s">
        <v>3866</v>
      </c>
      <c r="D443" s="58" t="s">
        <v>3867</v>
      </c>
      <c r="E443" s="68">
        <v>45799.817025462966</v>
      </c>
      <c r="F443" s="68">
        <v>45930.884791666664</v>
      </c>
      <c r="G443" s="58">
        <v>2.0</v>
      </c>
      <c r="H443" s="58" t="s">
        <v>3342</v>
      </c>
      <c r="I443" s="58" t="s">
        <v>3877</v>
      </c>
      <c r="J443" s="58" t="s">
        <v>3342</v>
      </c>
      <c r="K443" s="58" t="s">
        <v>3868</v>
      </c>
      <c r="L443" s="58">
        <v>988.0</v>
      </c>
      <c r="M443" s="58" t="s">
        <v>3885</v>
      </c>
      <c r="N443" s="58">
        <v>2.0</v>
      </c>
      <c r="O443" s="58" t="b">
        <v>1</v>
      </c>
      <c r="P443" s="58"/>
      <c r="Q443" s="58"/>
      <c r="R443" s="59" t="str">
        <f>IF(COUNTIF('Active Employees'!B:B, B443)&gt;0,"Y","N")</f>
        <v>Y</v>
      </c>
      <c r="S443" s="58"/>
      <c r="T443" s="58"/>
    </row>
    <row r="444">
      <c r="A444" s="58" t="s">
        <v>1913</v>
      </c>
      <c r="B444" s="58" t="s">
        <v>1067</v>
      </c>
      <c r="C444" s="58" t="s">
        <v>3866</v>
      </c>
      <c r="D444" s="58" t="s">
        <v>3867</v>
      </c>
      <c r="E444" s="68">
        <v>45799.7753125</v>
      </c>
      <c r="F444" s="68">
        <v>45930.80006944444</v>
      </c>
      <c r="G444" s="58">
        <v>2.0</v>
      </c>
      <c r="H444" s="58" t="s">
        <v>3342</v>
      </c>
      <c r="I444" s="58" t="s">
        <v>3877</v>
      </c>
      <c r="J444" s="58" t="s">
        <v>3342</v>
      </c>
      <c r="K444" s="58" t="s">
        <v>3868</v>
      </c>
      <c r="L444" s="58">
        <v>173.0</v>
      </c>
      <c r="M444" s="58" t="s">
        <v>3885</v>
      </c>
      <c r="N444" s="58">
        <v>2.0</v>
      </c>
      <c r="O444" s="58" t="b">
        <v>1</v>
      </c>
      <c r="P444" s="58"/>
      <c r="Q444" s="58"/>
      <c r="R444" s="59" t="str">
        <f>IF(COUNTIF('Active Employees'!B:B, B444)&gt;0,"Y","N")</f>
        <v>Y</v>
      </c>
      <c r="S444" s="58"/>
      <c r="T444" s="58"/>
    </row>
    <row r="445">
      <c r="A445" s="58" t="s">
        <v>3303</v>
      </c>
      <c r="B445" s="58" t="s">
        <v>1297</v>
      </c>
      <c r="C445" s="58" t="s">
        <v>3866</v>
      </c>
      <c r="D445" s="58" t="s">
        <v>3867</v>
      </c>
      <c r="E445" s="68">
        <v>45799.81700231481</v>
      </c>
      <c r="F445" s="68">
        <v>45930.833032407405</v>
      </c>
      <c r="G445" s="58">
        <v>2.0</v>
      </c>
      <c r="H445" s="58" t="s">
        <v>3342</v>
      </c>
      <c r="I445" s="58" t="s">
        <v>3877</v>
      </c>
      <c r="J445" s="58" t="s">
        <v>3342</v>
      </c>
      <c r="K445" s="58" t="s">
        <v>3868</v>
      </c>
      <c r="L445" s="58">
        <v>667.0</v>
      </c>
      <c r="M445" s="58" t="s">
        <v>3885</v>
      </c>
      <c r="N445" s="58">
        <v>2.0</v>
      </c>
      <c r="O445" s="58" t="b">
        <v>1</v>
      </c>
      <c r="P445" s="58"/>
      <c r="Q445" s="58"/>
      <c r="R445" s="59" t="str">
        <f>IF(COUNTIF('Active Employees'!B:B, B445)&gt;0,"Y","N")</f>
        <v>Y</v>
      </c>
      <c r="S445" s="58"/>
      <c r="T445" s="58"/>
    </row>
    <row r="446">
      <c r="A446" s="58" t="s">
        <v>1934</v>
      </c>
      <c r="B446" s="58" t="s">
        <v>1328</v>
      </c>
      <c r="C446" s="58" t="s">
        <v>3961</v>
      </c>
      <c r="D446" s="58" t="s">
        <v>1440</v>
      </c>
      <c r="E446" s="68">
        <v>45799.774143518516</v>
      </c>
      <c r="F446" s="68">
        <v>45930.13710648148</v>
      </c>
      <c r="G446" s="58">
        <v>2.0</v>
      </c>
      <c r="H446" s="58" t="s">
        <v>3342</v>
      </c>
      <c r="I446" s="58" t="s">
        <v>3877</v>
      </c>
      <c r="J446" s="58" t="s">
        <v>3342</v>
      </c>
      <c r="K446" s="58" t="s">
        <v>3972</v>
      </c>
      <c r="L446" s="58">
        <v>2272.0</v>
      </c>
      <c r="M446" s="58" t="s">
        <v>3918</v>
      </c>
      <c r="N446" s="58">
        <v>2.0</v>
      </c>
      <c r="O446" s="58" t="b">
        <v>1</v>
      </c>
      <c r="P446" s="58"/>
      <c r="Q446" s="58"/>
      <c r="R446" s="59" t="str">
        <f>IF(COUNTIF('Active Employees'!B:B, B446)&gt;0,"Y","N")</f>
        <v>Y</v>
      </c>
      <c r="S446" s="58"/>
      <c r="T446" s="58"/>
    </row>
    <row r="447">
      <c r="A447" s="58" t="s">
        <v>3160</v>
      </c>
      <c r="B447" s="58" t="s">
        <v>66</v>
      </c>
      <c r="C447" s="58" t="s">
        <v>3866</v>
      </c>
      <c r="D447" s="58" t="s">
        <v>3867</v>
      </c>
      <c r="E447" s="68">
        <v>45799.77521990741</v>
      </c>
      <c r="F447" s="68">
        <v>45930.39743055555</v>
      </c>
      <c r="G447" s="58">
        <v>2.0</v>
      </c>
      <c r="H447" s="58" t="s">
        <v>3342</v>
      </c>
      <c r="I447" s="58" t="s">
        <v>3877</v>
      </c>
      <c r="J447" s="58" t="s">
        <v>3342</v>
      </c>
      <c r="K447" s="58" t="s">
        <v>3868</v>
      </c>
      <c r="L447" s="58">
        <v>609.0</v>
      </c>
      <c r="M447" s="58" t="s">
        <v>3885</v>
      </c>
      <c r="N447" s="58">
        <v>2.0</v>
      </c>
      <c r="O447" s="58" t="b">
        <v>1</v>
      </c>
      <c r="P447" s="58"/>
      <c r="Q447" s="58"/>
      <c r="R447" s="59" t="str">
        <f>IF(COUNTIF('Active Employees'!B:B, B447)&gt;0,"Y","N")</f>
        <v>Y</v>
      </c>
      <c r="S447" s="58"/>
      <c r="T447" s="58"/>
    </row>
    <row r="448">
      <c r="A448" s="58" t="s">
        <v>3238</v>
      </c>
      <c r="B448" s="58" t="s">
        <v>1043</v>
      </c>
      <c r="C448" s="58" t="s">
        <v>3866</v>
      </c>
      <c r="D448" s="58" t="s">
        <v>3867</v>
      </c>
      <c r="E448" s="68">
        <v>45799.775289351855</v>
      </c>
      <c r="F448" s="68">
        <v>45930.695706018516</v>
      </c>
      <c r="G448" s="58">
        <v>2.0</v>
      </c>
      <c r="H448" s="58" t="s">
        <v>3342</v>
      </c>
      <c r="I448" s="58" t="s">
        <v>3877</v>
      </c>
      <c r="J448" s="58" t="s">
        <v>3342</v>
      </c>
      <c r="K448" s="58" t="s">
        <v>3868</v>
      </c>
      <c r="L448" s="58">
        <v>552.0</v>
      </c>
      <c r="M448" s="58" t="s">
        <v>3885</v>
      </c>
      <c r="N448" s="58">
        <v>2.0</v>
      </c>
      <c r="O448" s="58" t="b">
        <v>1</v>
      </c>
      <c r="P448" s="58"/>
      <c r="Q448" s="58"/>
      <c r="R448" s="59" t="str">
        <f>IF(COUNTIF('Active Employees'!B:B, B448)&gt;0,"Y","N")</f>
        <v>Y</v>
      </c>
      <c r="S448" s="58"/>
      <c r="T448" s="58"/>
    </row>
    <row r="449">
      <c r="A449" s="58" t="s">
        <v>3111</v>
      </c>
      <c r="B449" s="58" t="s">
        <v>1046</v>
      </c>
      <c r="C449" s="58" t="s">
        <v>3866</v>
      </c>
      <c r="D449" s="58" t="s">
        <v>3867</v>
      </c>
      <c r="E449" s="68">
        <v>45799.77523148148</v>
      </c>
      <c r="F449" s="68">
        <v>45930.67872685185</v>
      </c>
      <c r="G449" s="58">
        <v>2.0</v>
      </c>
      <c r="H449" s="58" t="s">
        <v>3342</v>
      </c>
      <c r="I449" s="58" t="s">
        <v>3877</v>
      </c>
      <c r="J449" s="58" t="s">
        <v>3342</v>
      </c>
      <c r="K449" s="58" t="s">
        <v>3868</v>
      </c>
      <c r="L449" s="58">
        <v>73.0</v>
      </c>
      <c r="M449" s="58" t="s">
        <v>3885</v>
      </c>
      <c r="N449" s="58">
        <v>2.0</v>
      </c>
      <c r="O449" s="58" t="b">
        <v>1</v>
      </c>
      <c r="P449" s="58"/>
      <c r="Q449" s="58"/>
      <c r="R449" s="59" t="str">
        <f>IF(COUNTIF('Active Employees'!B:B, B449)&gt;0,"Y","N")</f>
        <v>Y</v>
      </c>
      <c r="S449" s="58"/>
      <c r="T449" s="58"/>
    </row>
    <row r="450">
      <c r="A450" s="58" t="s">
        <v>47</v>
      </c>
      <c r="B450" s="58" t="s">
        <v>958</v>
      </c>
      <c r="C450" s="58" t="s">
        <v>4009</v>
      </c>
      <c r="D450" s="58" t="s">
        <v>4010</v>
      </c>
      <c r="E450" s="68">
        <v>45799.77425925926</v>
      </c>
      <c r="F450" s="68">
        <v>45930.186747685184</v>
      </c>
      <c r="G450" s="58">
        <v>2.0</v>
      </c>
      <c r="H450" s="58" t="s">
        <v>3342</v>
      </c>
      <c r="I450" s="58" t="s">
        <v>3877</v>
      </c>
      <c r="J450" s="58" t="s">
        <v>3342</v>
      </c>
      <c r="K450" s="58" t="s">
        <v>4011</v>
      </c>
      <c r="L450" s="58">
        <v>224.0</v>
      </c>
      <c r="M450" s="58" t="s">
        <v>4013</v>
      </c>
      <c r="N450" s="58">
        <v>3.0</v>
      </c>
      <c r="O450" s="58" t="b">
        <v>1</v>
      </c>
      <c r="P450" s="58"/>
      <c r="Q450" s="58"/>
      <c r="R450" s="59" t="str">
        <f>IF(COUNTIF('Active Employees'!B:B, B450)&gt;0,"Y","N")</f>
        <v>Y</v>
      </c>
      <c r="S450" s="58"/>
      <c r="T450" s="58"/>
    </row>
    <row r="451">
      <c r="A451" s="58" t="s">
        <v>86</v>
      </c>
      <c r="B451" s="58" t="s">
        <v>1009</v>
      </c>
      <c r="C451" s="58" t="s">
        <v>3866</v>
      </c>
      <c r="D451" s="58" t="s">
        <v>3867</v>
      </c>
      <c r="E451" s="68">
        <v>45799.77527777778</v>
      </c>
      <c r="F451" s="68">
        <v>45931.62267361111</v>
      </c>
      <c r="G451" s="58">
        <v>1.0</v>
      </c>
      <c r="H451" s="58" t="s">
        <v>3342</v>
      </c>
      <c r="I451" s="58" t="s">
        <v>3877</v>
      </c>
      <c r="J451" s="58" t="s">
        <v>3342</v>
      </c>
      <c r="K451" s="58" t="s">
        <v>3868</v>
      </c>
      <c r="L451" s="58">
        <v>470.0</v>
      </c>
      <c r="M451" s="58" t="s">
        <v>3885</v>
      </c>
      <c r="N451" s="58">
        <v>2.0</v>
      </c>
      <c r="O451" s="58" t="b">
        <v>1</v>
      </c>
      <c r="P451" s="58"/>
      <c r="Q451" s="58"/>
      <c r="R451" s="59" t="str">
        <f>IF(COUNTIF('Active Employees'!B:B, B451)&gt;0,"Y","N")</f>
        <v>Y</v>
      </c>
      <c r="S451" s="58"/>
      <c r="T451" s="58"/>
    </row>
    <row r="452">
      <c r="A452" s="58" t="s">
        <v>3034</v>
      </c>
      <c r="B452" s="58" t="s">
        <v>1192</v>
      </c>
      <c r="C452" s="58" t="s">
        <v>3866</v>
      </c>
      <c r="D452" s="58" t="s">
        <v>3867</v>
      </c>
      <c r="E452" s="68">
        <v>45799.816203703704</v>
      </c>
      <c r="F452" s="68">
        <v>45931.63046296296</v>
      </c>
      <c r="G452" s="58">
        <v>1.0</v>
      </c>
      <c r="H452" s="58" t="s">
        <v>3342</v>
      </c>
      <c r="I452" s="58" t="s">
        <v>3877</v>
      </c>
      <c r="J452" s="58" t="s">
        <v>3342</v>
      </c>
      <c r="K452" s="58" t="s">
        <v>3868</v>
      </c>
      <c r="L452" s="58">
        <v>36.0</v>
      </c>
      <c r="M452" s="58" t="s">
        <v>3878</v>
      </c>
      <c r="N452" s="58">
        <v>2.0</v>
      </c>
      <c r="O452" s="58" t="b">
        <v>1</v>
      </c>
      <c r="P452" s="58"/>
      <c r="Q452" s="58"/>
      <c r="R452" s="59" t="str">
        <f>IF(COUNTIF('Active Employees'!B:B, B452)&gt;0,"Y","N")</f>
        <v>Y</v>
      </c>
      <c r="S452" s="58"/>
      <c r="T452" s="58"/>
    </row>
    <row r="453">
      <c r="A453" s="58" t="s">
        <v>3280</v>
      </c>
      <c r="B453" s="58" t="s">
        <v>1280</v>
      </c>
      <c r="C453" s="58" t="s">
        <v>3866</v>
      </c>
      <c r="D453" s="58" t="s">
        <v>3867</v>
      </c>
      <c r="E453" s="68">
        <v>45799.77523148148</v>
      </c>
      <c r="F453" s="68">
        <v>45931.683541666665</v>
      </c>
      <c r="G453" s="58">
        <v>1.0</v>
      </c>
      <c r="H453" s="58" t="s">
        <v>3342</v>
      </c>
      <c r="I453" s="58" t="s">
        <v>3877</v>
      </c>
      <c r="J453" s="58" t="s">
        <v>3342</v>
      </c>
      <c r="K453" s="58" t="s">
        <v>3868</v>
      </c>
      <c r="L453" s="58">
        <v>426.0</v>
      </c>
      <c r="M453" s="58" t="s">
        <v>3885</v>
      </c>
      <c r="N453" s="58">
        <v>2.0</v>
      </c>
      <c r="O453" s="58" t="b">
        <v>1</v>
      </c>
      <c r="P453" s="58"/>
      <c r="Q453" s="58"/>
      <c r="R453" s="59" t="str">
        <f>IF(COUNTIF('Active Employees'!B:B, B453)&gt;0,"Y","N")</f>
        <v>Y</v>
      </c>
      <c r="S453" s="58"/>
      <c r="T453" s="58"/>
    </row>
    <row r="454">
      <c r="A454" s="58" t="s">
        <v>664</v>
      </c>
      <c r="B454" s="58" t="s">
        <v>175</v>
      </c>
      <c r="C454" s="58" t="s">
        <v>3866</v>
      </c>
      <c r="D454" s="58" t="s">
        <v>3867</v>
      </c>
      <c r="E454" s="68">
        <v>45799.81700231481</v>
      </c>
      <c r="F454" s="68">
        <v>45931.663310185184</v>
      </c>
      <c r="G454" s="58">
        <v>1.0</v>
      </c>
      <c r="H454" s="58" t="s">
        <v>3342</v>
      </c>
      <c r="I454" s="58" t="s">
        <v>3877</v>
      </c>
      <c r="J454" s="58" t="s">
        <v>3342</v>
      </c>
      <c r="K454" s="58" t="s">
        <v>3868</v>
      </c>
      <c r="L454" s="58">
        <v>331.0</v>
      </c>
      <c r="M454" s="58" t="s">
        <v>3885</v>
      </c>
      <c r="N454" s="58">
        <v>2.0</v>
      </c>
      <c r="O454" s="58" t="b">
        <v>1</v>
      </c>
      <c r="P454" s="58"/>
      <c r="Q454" s="58"/>
      <c r="R454" s="59" t="str">
        <f>IF(COUNTIF('Active Employees'!B:B, B454)&gt;0,"Y","N")</f>
        <v>Y</v>
      </c>
      <c r="S454" s="58"/>
      <c r="T454" s="58"/>
    </row>
    <row r="455">
      <c r="A455" s="58" t="s">
        <v>3260</v>
      </c>
      <c r="B455" s="58" t="s">
        <v>1173</v>
      </c>
      <c r="C455" s="58" t="s">
        <v>3866</v>
      </c>
      <c r="D455" s="58" t="s">
        <v>3867</v>
      </c>
      <c r="E455" s="68">
        <v>45799.775300925925</v>
      </c>
      <c r="F455" s="68">
        <v>45931.41002314815</v>
      </c>
      <c r="G455" s="58">
        <v>1.0</v>
      </c>
      <c r="H455" s="58" t="s">
        <v>3342</v>
      </c>
      <c r="I455" s="58" t="s">
        <v>3877</v>
      </c>
      <c r="J455" s="58" t="s">
        <v>3342</v>
      </c>
      <c r="K455" s="58" t="s">
        <v>3868</v>
      </c>
      <c r="L455" s="58">
        <v>298.0</v>
      </c>
      <c r="M455" s="58" t="s">
        <v>3885</v>
      </c>
      <c r="N455" s="58">
        <v>2.0</v>
      </c>
      <c r="O455" s="58" t="b">
        <v>1</v>
      </c>
      <c r="P455" s="58"/>
      <c r="Q455" s="58"/>
      <c r="R455" s="59" t="str">
        <f>IF(COUNTIF('Active Employees'!B:B, B455)&gt;0,"Y","N")</f>
        <v>Y</v>
      </c>
      <c r="S455" s="58"/>
      <c r="T455" s="58"/>
    </row>
    <row r="456">
      <c r="A456" s="58" t="s">
        <v>288</v>
      </c>
      <c r="B456" s="58" t="s">
        <v>60</v>
      </c>
      <c r="C456" s="58" t="s">
        <v>3961</v>
      </c>
      <c r="D456" s="58" t="s">
        <v>1440</v>
      </c>
      <c r="E456" s="68">
        <v>45799.77421296296</v>
      </c>
      <c r="F456" s="68">
        <v>45931.613275462965</v>
      </c>
      <c r="G456" s="58">
        <v>1.0</v>
      </c>
      <c r="H456" s="58" t="s">
        <v>3342</v>
      </c>
      <c r="I456" s="58" t="s">
        <v>3877</v>
      </c>
      <c r="J456" s="58" t="s">
        <v>3342</v>
      </c>
      <c r="K456" s="58" t="s">
        <v>3972</v>
      </c>
      <c r="L456" s="58">
        <v>590.0</v>
      </c>
      <c r="M456" s="58" t="s">
        <v>3918</v>
      </c>
      <c r="N456" s="58">
        <v>2.0</v>
      </c>
      <c r="O456" s="58" t="b">
        <v>1</v>
      </c>
      <c r="P456" s="58"/>
      <c r="Q456" s="58"/>
      <c r="R456" s="59" t="str">
        <f>IF(COUNTIF('Active Employees'!B:B, B456)&gt;0,"Y","N")</f>
        <v>Y</v>
      </c>
      <c r="S456" s="58"/>
      <c r="T456" s="58"/>
    </row>
    <row r="457">
      <c r="A457" s="58" t="s">
        <v>3217</v>
      </c>
      <c r="B457" s="58" t="s">
        <v>480</v>
      </c>
      <c r="C457" s="58" t="s">
        <v>3866</v>
      </c>
      <c r="D457" s="58" t="s">
        <v>3867</v>
      </c>
      <c r="E457" s="68">
        <v>45799.7752662037</v>
      </c>
      <c r="F457" s="68">
        <v>45931.47392361111</v>
      </c>
      <c r="G457" s="58">
        <v>1.0</v>
      </c>
      <c r="H457" s="58" t="s">
        <v>3342</v>
      </c>
      <c r="I457" s="58" t="s">
        <v>3877</v>
      </c>
      <c r="J457" s="58" t="s">
        <v>3342</v>
      </c>
      <c r="K457" s="58" t="s">
        <v>3868</v>
      </c>
      <c r="L457" s="58">
        <v>1155.0</v>
      </c>
      <c r="M457" s="58" t="s">
        <v>3885</v>
      </c>
      <c r="N457" s="58">
        <v>2.0</v>
      </c>
      <c r="O457" s="58" t="b">
        <v>1</v>
      </c>
      <c r="P457" s="58"/>
      <c r="Q457" s="58"/>
      <c r="R457" s="59" t="str">
        <f>IF(COUNTIF('Active Employees'!B:B, B457)&gt;0,"Y","N")</f>
        <v>Y</v>
      </c>
      <c r="S457" s="58"/>
      <c r="T457" s="58"/>
    </row>
    <row r="458">
      <c r="A458" s="58" t="s">
        <v>667</v>
      </c>
      <c r="B458" s="58" t="s">
        <v>693</v>
      </c>
      <c r="C458" s="58" t="s">
        <v>3866</v>
      </c>
      <c r="D458" s="58" t="s">
        <v>3867</v>
      </c>
      <c r="E458" s="68">
        <v>45908.61769675926</v>
      </c>
      <c r="F458" s="68">
        <v>45931.89739583333</v>
      </c>
      <c r="G458" s="58">
        <v>1.0</v>
      </c>
      <c r="H458" s="58" t="s">
        <v>3342</v>
      </c>
      <c r="I458" s="58" t="s">
        <v>3877</v>
      </c>
      <c r="J458" s="58" t="s">
        <v>3342</v>
      </c>
      <c r="K458" s="58" t="s">
        <v>3868</v>
      </c>
      <c r="L458" s="58">
        <v>40.0</v>
      </c>
      <c r="M458" s="58" t="s">
        <v>3918</v>
      </c>
      <c r="N458" s="58">
        <v>2.0</v>
      </c>
      <c r="O458" s="58" t="b">
        <v>1</v>
      </c>
      <c r="P458" s="58"/>
      <c r="Q458" s="58"/>
      <c r="R458" s="59" t="str">
        <f>IF(COUNTIF('Active Employees'!B:B, B458)&gt;0,"Y","N")</f>
        <v>Y</v>
      </c>
      <c r="S458" s="58"/>
      <c r="T458" s="58"/>
    </row>
    <row r="459">
      <c r="A459" s="58" t="s">
        <v>3220</v>
      </c>
      <c r="B459" s="58" t="s">
        <v>1457</v>
      </c>
      <c r="C459" s="58" t="s">
        <v>3866</v>
      </c>
      <c r="D459" s="58" t="s">
        <v>3867</v>
      </c>
      <c r="E459" s="68">
        <v>45799.81704861111</v>
      </c>
      <c r="F459" s="68">
        <v>45931.76599537037</v>
      </c>
      <c r="G459" s="58">
        <v>1.0</v>
      </c>
      <c r="H459" s="58" t="s">
        <v>3342</v>
      </c>
      <c r="I459" s="58" t="s">
        <v>3877</v>
      </c>
      <c r="J459" s="58" t="s">
        <v>3342</v>
      </c>
      <c r="K459" s="58" t="s">
        <v>3868</v>
      </c>
      <c r="L459" s="58">
        <v>572.0</v>
      </c>
      <c r="M459" s="58" t="s">
        <v>3885</v>
      </c>
      <c r="N459" s="58">
        <v>2.0</v>
      </c>
      <c r="O459" s="58" t="b">
        <v>1</v>
      </c>
      <c r="P459" s="58"/>
      <c r="Q459" s="58"/>
      <c r="R459" s="59" t="str">
        <f>IF(COUNTIF('Active Employees'!B:B, B459)&gt;0,"Y","N")</f>
        <v>Y</v>
      </c>
      <c r="S459" s="58"/>
      <c r="T459" s="58"/>
    </row>
    <row r="460">
      <c r="A460" s="58" t="s">
        <v>3242</v>
      </c>
      <c r="B460" s="58" t="s">
        <v>253</v>
      </c>
      <c r="C460" s="58" t="s">
        <v>3961</v>
      </c>
      <c r="D460" s="58" t="s">
        <v>1440</v>
      </c>
      <c r="E460" s="68">
        <v>45719.79361111111</v>
      </c>
      <c r="F460" s="68">
        <v>45931.73099537037</v>
      </c>
      <c r="G460" s="58">
        <v>1.0</v>
      </c>
      <c r="H460" s="58" t="s">
        <v>3959</v>
      </c>
      <c r="I460" s="58" t="s">
        <v>3960</v>
      </c>
      <c r="J460" s="68">
        <v>45716.958449074074</v>
      </c>
      <c r="K460" s="58" t="s">
        <v>3972</v>
      </c>
      <c r="L460" s="58">
        <v>362.0</v>
      </c>
      <c r="M460" s="58" t="s">
        <v>3869</v>
      </c>
      <c r="N460" s="58">
        <v>2.0</v>
      </c>
      <c r="O460" s="58" t="b">
        <v>1</v>
      </c>
      <c r="P460" s="58"/>
      <c r="Q460" s="58"/>
      <c r="R460" s="59" t="str">
        <f>IF(COUNTIF('Active Employees'!B:B, B460)&gt;0,"Y","N")</f>
        <v>Y</v>
      </c>
      <c r="S460" s="58"/>
      <c r="T460" s="58"/>
    </row>
    <row r="461">
      <c r="A461" s="58" t="s">
        <v>3187</v>
      </c>
      <c r="B461" s="58" t="s">
        <v>197</v>
      </c>
      <c r="C461" s="58" t="s">
        <v>3866</v>
      </c>
      <c r="D461" s="58" t="s">
        <v>3867</v>
      </c>
      <c r="E461" s="68">
        <v>45799.775300925925</v>
      </c>
      <c r="F461" s="68">
        <v>45931.83146990741</v>
      </c>
      <c r="G461" s="58">
        <v>1.0</v>
      </c>
      <c r="H461" s="58" t="s">
        <v>3342</v>
      </c>
      <c r="I461" s="58" t="s">
        <v>3877</v>
      </c>
      <c r="J461" s="58" t="s">
        <v>3342</v>
      </c>
      <c r="K461" s="58" t="s">
        <v>3868</v>
      </c>
      <c r="L461" s="58">
        <v>652.0</v>
      </c>
      <c r="M461" s="58" t="s">
        <v>3885</v>
      </c>
      <c r="N461" s="58">
        <v>2.0</v>
      </c>
      <c r="O461" s="58" t="b">
        <v>1</v>
      </c>
      <c r="P461" s="58"/>
      <c r="Q461" s="58"/>
      <c r="R461" s="59" t="str">
        <f>IF(COUNTIF('Active Employees'!B:B, B461)&gt;0,"Y","N")</f>
        <v>Y</v>
      </c>
      <c r="S461" s="58"/>
      <c r="T461" s="58"/>
    </row>
    <row r="462">
      <c r="A462" s="58" t="s">
        <v>63</v>
      </c>
      <c r="B462" s="58" t="s">
        <v>421</v>
      </c>
      <c r="C462" s="58" t="s">
        <v>4009</v>
      </c>
      <c r="D462" s="58" t="s">
        <v>4010</v>
      </c>
      <c r="E462" s="68">
        <v>45763.75724537037</v>
      </c>
      <c r="F462" s="68">
        <v>45931.694652777776</v>
      </c>
      <c r="G462" s="58">
        <v>1.0</v>
      </c>
      <c r="H462" s="58" t="s">
        <v>771</v>
      </c>
      <c r="I462" s="58" t="s">
        <v>856</v>
      </c>
      <c r="J462" s="68">
        <v>45763.684328703705</v>
      </c>
      <c r="K462" s="58" t="s">
        <v>4011</v>
      </c>
      <c r="L462" s="58">
        <v>1152.0</v>
      </c>
      <c r="M462" s="58" t="s">
        <v>3918</v>
      </c>
      <c r="N462" s="58">
        <v>2.0</v>
      </c>
      <c r="O462" s="58" t="b">
        <v>1</v>
      </c>
      <c r="P462" s="58"/>
      <c r="Q462" s="58"/>
      <c r="R462" s="59" t="str">
        <f>IF(COUNTIF('Active Employees'!B:B, B462)&gt;0,"Y","N")</f>
        <v>Y</v>
      </c>
      <c r="S462" s="58"/>
      <c r="T462" s="58"/>
    </row>
    <row r="463">
      <c r="A463" s="58" t="s">
        <v>3071</v>
      </c>
      <c r="B463" s="58" t="s">
        <v>1076</v>
      </c>
      <c r="C463" s="58" t="s">
        <v>3866</v>
      </c>
      <c r="D463" s="58" t="s">
        <v>3867</v>
      </c>
      <c r="E463" s="68">
        <v>45799.77479166666</v>
      </c>
      <c r="F463" s="68">
        <v>45931.83592592592</v>
      </c>
      <c r="G463" s="58">
        <v>1.0</v>
      </c>
      <c r="H463" s="58" t="s">
        <v>3342</v>
      </c>
      <c r="I463" s="58" t="s">
        <v>3877</v>
      </c>
      <c r="J463" s="58" t="s">
        <v>3342</v>
      </c>
      <c r="K463" s="58" t="s">
        <v>3868</v>
      </c>
      <c r="L463" s="58">
        <v>82.0</v>
      </c>
      <c r="M463" s="58" t="s">
        <v>3869</v>
      </c>
      <c r="N463" s="58">
        <v>2.0</v>
      </c>
      <c r="O463" s="58" t="b">
        <v>1</v>
      </c>
      <c r="P463" s="58"/>
      <c r="Q463" s="58"/>
      <c r="R463" s="59" t="str">
        <f>IF(COUNTIF('Active Employees'!B:B, B463)&gt;0,"Y","N")</f>
        <v>Y</v>
      </c>
      <c r="S463" s="58"/>
      <c r="T463" s="58"/>
    </row>
    <row r="464">
      <c r="A464" s="58" t="s">
        <v>3245</v>
      </c>
      <c r="B464" s="58" t="s">
        <v>594</v>
      </c>
      <c r="C464" s="58" t="s">
        <v>3961</v>
      </c>
      <c r="D464" s="58" t="s">
        <v>3962</v>
      </c>
      <c r="E464" s="68">
        <v>45189.65667824074</v>
      </c>
      <c r="F464" s="68">
        <v>45931.786261574074</v>
      </c>
      <c r="G464" s="58">
        <v>1.0</v>
      </c>
      <c r="H464" s="58" t="s">
        <v>3342</v>
      </c>
      <c r="I464" s="58" t="s">
        <v>3877</v>
      </c>
      <c r="J464" s="58" t="s">
        <v>3342</v>
      </c>
      <c r="K464" s="58" t="s">
        <v>3963</v>
      </c>
      <c r="L464" s="58">
        <v>361.0</v>
      </c>
      <c r="M464" s="58" t="s">
        <v>3918</v>
      </c>
      <c r="N464" s="58">
        <v>2.0</v>
      </c>
      <c r="O464" s="58" t="b">
        <v>1</v>
      </c>
      <c r="P464" s="58"/>
      <c r="Q464" s="58"/>
      <c r="R464" s="59" t="str">
        <f>IF(COUNTIF('Active Employees'!B:B, B464)&gt;0,"Y","N")</f>
        <v>Y</v>
      </c>
      <c r="S464" s="58"/>
      <c r="T464" s="58"/>
    </row>
    <row r="465">
      <c r="A465" s="58" t="s">
        <v>15</v>
      </c>
      <c r="B465" s="58" t="s">
        <v>1006</v>
      </c>
      <c r="C465" s="58" t="s">
        <v>3866</v>
      </c>
      <c r="D465" s="58" t="s">
        <v>3867</v>
      </c>
      <c r="E465" s="68">
        <v>45887.64512731481</v>
      </c>
      <c r="F465" s="68">
        <v>45931.852175925924</v>
      </c>
      <c r="G465" s="58">
        <v>1.0</v>
      </c>
      <c r="H465" s="58" t="s">
        <v>3342</v>
      </c>
      <c r="I465" s="58" t="s">
        <v>3877</v>
      </c>
      <c r="J465" s="58" t="s">
        <v>3342</v>
      </c>
      <c r="K465" s="58" t="s">
        <v>3868</v>
      </c>
      <c r="L465" s="58">
        <v>909.0</v>
      </c>
      <c r="M465" s="58" t="s">
        <v>3918</v>
      </c>
      <c r="N465" s="58">
        <v>2.0</v>
      </c>
      <c r="O465" s="58" t="b">
        <v>1</v>
      </c>
      <c r="P465" s="58"/>
      <c r="Q465" s="58"/>
      <c r="R465" s="59" t="str">
        <f>IF(COUNTIF('Active Employees'!B:B, B465)&gt;0,"Y","N")</f>
        <v>Y</v>
      </c>
      <c r="S465" s="58"/>
      <c r="T465" s="58"/>
    </row>
    <row r="466">
      <c r="A466" s="58" t="s">
        <v>1790</v>
      </c>
      <c r="B466" s="58" t="s">
        <v>1241</v>
      </c>
      <c r="C466" s="58" t="s">
        <v>3961</v>
      </c>
      <c r="D466" s="58" t="s">
        <v>1440</v>
      </c>
      <c r="E466" s="68">
        <v>45799.77416666667</v>
      </c>
      <c r="F466" s="68">
        <v>45931.434270833335</v>
      </c>
      <c r="G466" s="58">
        <v>1.0</v>
      </c>
      <c r="H466" s="58" t="s">
        <v>3342</v>
      </c>
      <c r="I466" s="58" t="s">
        <v>3877</v>
      </c>
      <c r="J466" s="58" t="s">
        <v>3342</v>
      </c>
      <c r="K466" s="58" t="s">
        <v>3972</v>
      </c>
      <c r="L466" s="58">
        <v>44.0</v>
      </c>
      <c r="M466" s="58" t="s">
        <v>3918</v>
      </c>
      <c r="N466" s="58">
        <v>2.0</v>
      </c>
      <c r="O466" s="58" t="b">
        <v>1</v>
      </c>
      <c r="P466" s="58"/>
      <c r="Q466" s="58"/>
      <c r="R466" s="59" t="str">
        <f>IF(COUNTIF('Active Employees'!B:B, B466)&gt;0,"Y","N")</f>
        <v>Y</v>
      </c>
      <c r="S466" s="58"/>
      <c r="T466" s="58"/>
    </row>
    <row r="467">
      <c r="A467" s="58" t="s">
        <v>203</v>
      </c>
      <c r="B467" s="58" t="s">
        <v>626</v>
      </c>
      <c r="C467" s="58" t="s">
        <v>3961</v>
      </c>
      <c r="D467" s="58" t="s">
        <v>3962</v>
      </c>
      <c r="E467" s="68">
        <v>45678.96125</v>
      </c>
      <c r="F467" s="68">
        <v>45931.836331018516</v>
      </c>
      <c r="G467" s="58">
        <v>1.0</v>
      </c>
      <c r="H467" s="58" t="s">
        <v>3249</v>
      </c>
      <c r="I467" s="58" t="s">
        <v>706</v>
      </c>
      <c r="J467" s="68">
        <v>45678.91836805556</v>
      </c>
      <c r="K467" s="58" t="s">
        <v>3963</v>
      </c>
      <c r="L467" s="58">
        <v>5343.0</v>
      </c>
      <c r="M467" s="58" t="s">
        <v>3869</v>
      </c>
      <c r="N467" s="58">
        <v>2.0</v>
      </c>
      <c r="O467" s="58" t="b">
        <v>1</v>
      </c>
      <c r="P467" s="58"/>
      <c r="Q467" s="58"/>
      <c r="R467" s="59" t="str">
        <f>IF(COUNTIF('Active Employees'!B:B, B467)&gt;0,"Y","N")</f>
        <v>Y</v>
      </c>
      <c r="S467" s="58"/>
      <c r="T467" s="58"/>
    </row>
    <row r="468">
      <c r="A468" s="58" t="s">
        <v>129</v>
      </c>
      <c r="B468" s="58" t="s">
        <v>1195</v>
      </c>
      <c r="C468" s="58" t="s">
        <v>3866</v>
      </c>
      <c r="D468" s="58" t="s">
        <v>3867</v>
      </c>
      <c r="E468" s="68">
        <v>45901.619305555556</v>
      </c>
      <c r="F468" s="68">
        <v>45931.8990162037</v>
      </c>
      <c r="G468" s="58">
        <v>1.0</v>
      </c>
      <c r="H468" s="58" t="s">
        <v>3342</v>
      </c>
      <c r="I468" s="58" t="s">
        <v>3877</v>
      </c>
      <c r="J468" s="58" t="s">
        <v>3342</v>
      </c>
      <c r="K468" s="58" t="s">
        <v>3868</v>
      </c>
      <c r="L468" s="58">
        <v>69.0</v>
      </c>
      <c r="M468" s="58" t="s">
        <v>3918</v>
      </c>
      <c r="N468" s="58">
        <v>2.0</v>
      </c>
      <c r="O468" s="58" t="b">
        <v>1</v>
      </c>
      <c r="P468" s="58"/>
      <c r="Q468" s="58"/>
      <c r="R468" s="59" t="str">
        <f>IF(COUNTIF('Active Employees'!B:B, B468)&gt;0,"Y","N")</f>
        <v>Y</v>
      </c>
      <c r="S468" s="58"/>
      <c r="T468" s="58"/>
    </row>
    <row r="469">
      <c r="A469" s="58" t="s">
        <v>4066</v>
      </c>
      <c r="B469" s="58" t="s">
        <v>797</v>
      </c>
      <c r="C469" s="58" t="s">
        <v>3866</v>
      </c>
      <c r="D469" s="58" t="s">
        <v>3867</v>
      </c>
      <c r="E469" s="68">
        <v>45873.606203703705</v>
      </c>
      <c r="F469" s="68">
        <v>45931.583506944444</v>
      </c>
      <c r="G469" s="58">
        <v>1.0</v>
      </c>
      <c r="H469" s="58" t="s">
        <v>3342</v>
      </c>
      <c r="I469" s="58" t="s">
        <v>3877</v>
      </c>
      <c r="J469" s="58" t="s">
        <v>3342</v>
      </c>
      <c r="K469" s="58" t="s">
        <v>3868</v>
      </c>
      <c r="L469" s="58">
        <v>7.0</v>
      </c>
      <c r="M469" s="58" t="s">
        <v>3918</v>
      </c>
      <c r="N469" s="58">
        <v>2.0</v>
      </c>
      <c r="O469" s="58" t="b">
        <v>1</v>
      </c>
      <c r="P469" s="58"/>
      <c r="Q469" s="58"/>
      <c r="R469" s="59" t="str">
        <f>IF(COUNTIF('Active Employees'!B:B, B469)&gt;0,"Y","N")</f>
        <v>Y</v>
      </c>
      <c r="S469" s="58"/>
      <c r="T469" s="58"/>
    </row>
    <row r="470">
      <c r="A470" s="58" t="s">
        <v>3193</v>
      </c>
      <c r="B470" s="58" t="s">
        <v>779</v>
      </c>
      <c r="C470" s="58" t="s">
        <v>3866</v>
      </c>
      <c r="D470" s="58" t="s">
        <v>3867</v>
      </c>
      <c r="E470" s="68">
        <v>45880.61681712963</v>
      </c>
      <c r="F470" s="68">
        <v>45931.81747685185</v>
      </c>
      <c r="G470" s="58">
        <v>1.0</v>
      </c>
      <c r="H470" s="58" t="s">
        <v>3342</v>
      </c>
      <c r="I470" s="58" t="s">
        <v>3877</v>
      </c>
      <c r="J470" s="58" t="s">
        <v>3342</v>
      </c>
      <c r="K470" s="58" t="s">
        <v>3868</v>
      </c>
      <c r="L470" s="58">
        <v>355.0</v>
      </c>
      <c r="M470" s="58" t="s">
        <v>3869</v>
      </c>
      <c r="N470" s="58">
        <v>2.0</v>
      </c>
      <c r="O470" s="58" t="b">
        <v>1</v>
      </c>
      <c r="P470" s="58"/>
      <c r="Q470" s="58"/>
      <c r="R470" s="59" t="str">
        <f>IF(COUNTIF('Active Employees'!B:B, B470)&gt;0,"Y","N")</f>
        <v>Y</v>
      </c>
      <c r="S470" s="58"/>
      <c r="T470" s="58"/>
    </row>
    <row r="471">
      <c r="A471" s="58" t="s">
        <v>3298</v>
      </c>
      <c r="B471" s="58" t="s">
        <v>153</v>
      </c>
      <c r="C471" s="58" t="s">
        <v>3866</v>
      </c>
      <c r="D471" s="58" t="s">
        <v>3867</v>
      </c>
      <c r="E471" s="68">
        <v>45799.817037037035</v>
      </c>
      <c r="F471" s="68">
        <v>45931.796006944445</v>
      </c>
      <c r="G471" s="58">
        <v>1.0</v>
      </c>
      <c r="H471" s="58" t="s">
        <v>3342</v>
      </c>
      <c r="I471" s="58" t="s">
        <v>3877</v>
      </c>
      <c r="J471" s="58" t="s">
        <v>3342</v>
      </c>
      <c r="K471" s="58" t="s">
        <v>3868</v>
      </c>
      <c r="L471" s="58">
        <v>101.0</v>
      </c>
      <c r="M471" s="58" t="s">
        <v>3885</v>
      </c>
      <c r="N471" s="58">
        <v>2.0</v>
      </c>
      <c r="O471" s="58" t="b">
        <v>1</v>
      </c>
      <c r="P471" s="58"/>
      <c r="Q471" s="58"/>
      <c r="R471" s="59" t="str">
        <f>IF(COUNTIF('Active Employees'!B:B, B471)&gt;0,"Y","N")</f>
        <v>Y</v>
      </c>
      <c r="S471" s="58"/>
      <c r="T471" s="58"/>
    </row>
    <row r="472">
      <c r="A472" s="58" t="s">
        <v>1843</v>
      </c>
      <c r="B472" s="58" t="s">
        <v>736</v>
      </c>
      <c r="C472" s="58" t="s">
        <v>3866</v>
      </c>
      <c r="D472" s="58" t="s">
        <v>3867</v>
      </c>
      <c r="E472" s="68">
        <v>45799.77422453704</v>
      </c>
      <c r="F472" s="68">
        <v>45931.7937962963</v>
      </c>
      <c r="G472" s="58">
        <v>1.0</v>
      </c>
      <c r="H472" s="58" t="s">
        <v>3342</v>
      </c>
      <c r="I472" s="58" t="s">
        <v>3877</v>
      </c>
      <c r="J472" s="58" t="s">
        <v>3342</v>
      </c>
      <c r="K472" s="58" t="s">
        <v>3868</v>
      </c>
      <c r="L472" s="58">
        <v>140.0</v>
      </c>
      <c r="M472" s="58" t="s">
        <v>3918</v>
      </c>
      <c r="N472" s="58">
        <v>2.0</v>
      </c>
      <c r="O472" s="58" t="b">
        <v>1</v>
      </c>
      <c r="P472" s="58"/>
      <c r="Q472" s="58"/>
      <c r="R472" s="59" t="str">
        <f>IF(COUNTIF('Active Employees'!B:B, B472)&gt;0,"Y","N")</f>
        <v>Y</v>
      </c>
      <c r="S472" s="58"/>
      <c r="T472" s="58"/>
    </row>
    <row r="473">
      <c r="A473" s="58" t="s">
        <v>3267</v>
      </c>
      <c r="B473" s="58" t="s">
        <v>392</v>
      </c>
      <c r="C473" s="58" t="s">
        <v>4009</v>
      </c>
      <c r="D473" s="58" t="s">
        <v>4010</v>
      </c>
      <c r="E473" s="68">
        <v>45706.74429398148</v>
      </c>
      <c r="F473" s="68">
        <v>45931.69534722222</v>
      </c>
      <c r="G473" s="58">
        <v>1.0</v>
      </c>
      <c r="H473" s="58" t="s">
        <v>3342</v>
      </c>
      <c r="I473" s="58" t="s">
        <v>3877</v>
      </c>
      <c r="J473" s="58" t="s">
        <v>3342</v>
      </c>
      <c r="K473" s="58" t="s">
        <v>4011</v>
      </c>
      <c r="L473" s="58">
        <v>1154.0</v>
      </c>
      <c r="M473" s="58" t="s">
        <v>4067</v>
      </c>
      <c r="N473" s="58">
        <v>3.0</v>
      </c>
      <c r="O473" s="58" t="b">
        <v>1</v>
      </c>
      <c r="P473" s="58"/>
      <c r="Q473" s="58"/>
      <c r="R473" s="59" t="str">
        <f>IF(COUNTIF('Active Employees'!B:B, B473)&gt;0,"Y","N")</f>
        <v>Y</v>
      </c>
      <c r="S473" s="58"/>
      <c r="T473" s="58"/>
    </row>
    <row r="474">
      <c r="A474" s="58" t="s">
        <v>410</v>
      </c>
      <c r="B474" s="58" t="s">
        <v>460</v>
      </c>
      <c r="C474" s="58" t="s">
        <v>4009</v>
      </c>
      <c r="D474" s="58" t="s">
        <v>4010</v>
      </c>
      <c r="E474" s="68">
        <v>45799.77416666667</v>
      </c>
      <c r="F474" s="68">
        <v>45931.61877314815</v>
      </c>
      <c r="G474" s="58">
        <v>1.0</v>
      </c>
      <c r="H474" s="58" t="s">
        <v>3342</v>
      </c>
      <c r="I474" s="58" t="s">
        <v>3877</v>
      </c>
      <c r="J474" s="58" t="s">
        <v>3342</v>
      </c>
      <c r="K474" s="58" t="s">
        <v>4011</v>
      </c>
      <c r="L474" s="58">
        <v>171.0</v>
      </c>
      <c r="M474" s="58" t="s">
        <v>4062</v>
      </c>
      <c r="N474" s="58">
        <v>3.0</v>
      </c>
      <c r="O474" s="58" t="b">
        <v>1</v>
      </c>
      <c r="P474" s="58"/>
      <c r="Q474" s="58"/>
      <c r="R474" s="59" t="str">
        <f>IF(COUNTIF('Active Employees'!B:B, B474)&gt;0,"Y","N")</f>
        <v>Y</v>
      </c>
      <c r="S474" s="58"/>
      <c r="T474" s="58"/>
    </row>
    <row r="475">
      <c r="A475" s="58" t="s">
        <v>137</v>
      </c>
      <c r="B475" s="58" t="s">
        <v>158</v>
      </c>
      <c r="C475" s="58" t="s">
        <v>4009</v>
      </c>
      <c r="D475" s="58" t="s">
        <v>4010</v>
      </c>
      <c r="E475" s="68">
        <v>45078.876550925925</v>
      </c>
      <c r="F475" s="68">
        <v>45931.626875</v>
      </c>
      <c r="G475" s="58">
        <v>1.0</v>
      </c>
      <c r="H475" s="58" t="s">
        <v>4068</v>
      </c>
      <c r="I475" s="58" t="s">
        <v>4069</v>
      </c>
      <c r="J475" s="68">
        <v>45076.855208333334</v>
      </c>
      <c r="K475" s="58" t="s">
        <v>4011</v>
      </c>
      <c r="L475" s="58">
        <v>2113.0</v>
      </c>
      <c r="M475" s="58" t="s">
        <v>3873</v>
      </c>
      <c r="N475" s="58">
        <v>2.0</v>
      </c>
      <c r="O475" s="58" t="b">
        <v>1</v>
      </c>
      <c r="P475" s="58"/>
      <c r="Q475" s="58"/>
      <c r="R475" s="59" t="str">
        <f>IF(COUNTIF('Active Employees'!B:B, B475)&gt;0,"Y","N")</f>
        <v>Y</v>
      </c>
      <c r="S475" s="58"/>
      <c r="T475" s="58"/>
    </row>
    <row r="476">
      <c r="A476" s="58" t="s">
        <v>265</v>
      </c>
      <c r="B476" s="58" t="s">
        <v>934</v>
      </c>
      <c r="C476" s="58" t="s">
        <v>3866</v>
      </c>
      <c r="D476" s="58" t="s">
        <v>3867</v>
      </c>
      <c r="E476" s="68">
        <v>45799.775289351855</v>
      </c>
      <c r="F476" s="68">
        <v>45931.62930555556</v>
      </c>
      <c r="G476" s="58">
        <v>1.0</v>
      </c>
      <c r="H476" s="58" t="s">
        <v>3342</v>
      </c>
      <c r="I476" s="58" t="s">
        <v>3877</v>
      </c>
      <c r="J476" s="58" t="s">
        <v>3342</v>
      </c>
      <c r="K476" s="58" t="s">
        <v>3868</v>
      </c>
      <c r="L476" s="58">
        <v>225.0</v>
      </c>
      <c r="M476" s="58" t="s">
        <v>3885</v>
      </c>
      <c r="N476" s="58">
        <v>2.0</v>
      </c>
      <c r="O476" s="58" t="b">
        <v>1</v>
      </c>
      <c r="P476" s="58"/>
      <c r="Q476" s="58"/>
      <c r="R476" s="59" t="str">
        <f>IF(COUNTIF('Active Employees'!B:B, B476)&gt;0,"Y","N")</f>
        <v>Y</v>
      </c>
      <c r="S476" s="58"/>
      <c r="T476" s="58"/>
    </row>
    <row r="477">
      <c r="A477" s="58" t="s">
        <v>3128</v>
      </c>
      <c r="B477" s="58" t="s">
        <v>615</v>
      </c>
      <c r="C477" s="58" t="s">
        <v>3961</v>
      </c>
      <c r="D477" s="58" t="s">
        <v>1440</v>
      </c>
      <c r="E477" s="68">
        <v>45764.65752314815</v>
      </c>
      <c r="F477" s="68">
        <v>45931.68990740741</v>
      </c>
      <c r="G477" s="58">
        <v>1.0</v>
      </c>
      <c r="H477" s="58" t="s">
        <v>3342</v>
      </c>
      <c r="I477" s="58" t="s">
        <v>3877</v>
      </c>
      <c r="J477" s="58" t="s">
        <v>3342</v>
      </c>
      <c r="K477" s="58" t="s">
        <v>3972</v>
      </c>
      <c r="L477" s="58">
        <v>582.0</v>
      </c>
      <c r="M477" s="58" t="s">
        <v>3918</v>
      </c>
      <c r="N477" s="58">
        <v>2.0</v>
      </c>
      <c r="O477" s="58" t="b">
        <v>1</v>
      </c>
      <c r="P477" s="58"/>
      <c r="Q477" s="58"/>
      <c r="R477" s="59" t="str">
        <f>IF(COUNTIF('Active Employees'!B:B, B477)&gt;0,"Y","N")</f>
        <v>Y</v>
      </c>
      <c r="S477" s="58"/>
      <c r="T477" s="58"/>
    </row>
    <row r="478">
      <c r="A478" s="58" t="s">
        <v>3272</v>
      </c>
      <c r="B478" s="58" t="s">
        <v>1203</v>
      </c>
      <c r="C478" s="58" t="s">
        <v>3866</v>
      </c>
      <c r="D478" s="58" t="s">
        <v>3867</v>
      </c>
      <c r="E478" s="68">
        <v>45799.775300925925</v>
      </c>
      <c r="F478" s="68">
        <v>45931.90608796296</v>
      </c>
      <c r="G478" s="58">
        <v>1.0</v>
      </c>
      <c r="H478" s="58" t="s">
        <v>3342</v>
      </c>
      <c r="I478" s="58" t="s">
        <v>3877</v>
      </c>
      <c r="J478" s="58" t="s">
        <v>3342</v>
      </c>
      <c r="K478" s="58" t="s">
        <v>3868</v>
      </c>
      <c r="L478" s="58">
        <v>2547.0</v>
      </c>
      <c r="M478" s="58" t="s">
        <v>3885</v>
      </c>
      <c r="N478" s="58">
        <v>2.0</v>
      </c>
      <c r="O478" s="58" t="b">
        <v>1</v>
      </c>
      <c r="P478" s="58"/>
      <c r="Q478" s="58"/>
      <c r="R478" s="59" t="str">
        <f>IF(COUNTIF('Active Employees'!B:B, B478)&gt;0,"Y","N")</f>
        <v>Y</v>
      </c>
      <c r="S478" s="58"/>
      <c r="T478" s="58"/>
    </row>
    <row r="479">
      <c r="A479" s="58" t="s">
        <v>3180</v>
      </c>
      <c r="B479" s="58" t="s">
        <v>1128</v>
      </c>
      <c r="C479" s="58" t="s">
        <v>3866</v>
      </c>
      <c r="D479" s="58" t="s">
        <v>3867</v>
      </c>
      <c r="E479" s="68">
        <v>45873.6059837963</v>
      </c>
      <c r="F479" s="68">
        <v>45931.613287037035</v>
      </c>
      <c r="G479" s="58">
        <v>1.0</v>
      </c>
      <c r="H479" s="58" t="s">
        <v>3342</v>
      </c>
      <c r="I479" s="58" t="s">
        <v>3877</v>
      </c>
      <c r="J479" s="58" t="s">
        <v>3342</v>
      </c>
      <c r="K479" s="58" t="s">
        <v>3868</v>
      </c>
      <c r="L479" s="58">
        <v>45.0</v>
      </c>
      <c r="M479" s="58" t="s">
        <v>3918</v>
      </c>
      <c r="N479" s="58">
        <v>2.0</v>
      </c>
      <c r="O479" s="58" t="b">
        <v>1</v>
      </c>
      <c r="P479" s="58"/>
      <c r="Q479" s="58"/>
      <c r="R479" s="59" t="str">
        <f>IF(COUNTIF('Active Employees'!B:B, B479)&gt;0,"Y","N")</f>
        <v>Y</v>
      </c>
      <c r="S479" s="58"/>
      <c r="T479" s="58"/>
    </row>
    <row r="480">
      <c r="A480" s="58" t="s">
        <v>455</v>
      </c>
      <c r="B480" s="58" t="s">
        <v>652</v>
      </c>
      <c r="C480" s="58" t="s">
        <v>3961</v>
      </c>
      <c r="D480" s="58" t="s">
        <v>1440</v>
      </c>
      <c r="E480" s="68">
        <v>45845.34474537037</v>
      </c>
      <c r="F480" s="68">
        <v>45931.726643518516</v>
      </c>
      <c r="G480" s="58">
        <v>1.0</v>
      </c>
      <c r="H480" s="58" t="s">
        <v>3342</v>
      </c>
      <c r="I480" s="58" t="s">
        <v>3877</v>
      </c>
      <c r="J480" s="58" t="s">
        <v>3342</v>
      </c>
      <c r="K480" s="58" t="s">
        <v>3972</v>
      </c>
      <c r="L480" s="58">
        <v>1832.0</v>
      </c>
      <c r="M480" s="58" t="s">
        <v>3918</v>
      </c>
      <c r="N480" s="58">
        <v>2.0</v>
      </c>
      <c r="O480" s="58" t="b">
        <v>1</v>
      </c>
      <c r="P480" s="58"/>
      <c r="Q480" s="58"/>
      <c r="R480" s="59" t="str">
        <f>IF(COUNTIF('Active Employees'!B:B, B480)&gt;0,"Y","N")</f>
        <v>Y</v>
      </c>
      <c r="S480" s="58"/>
      <c r="T480" s="58"/>
    </row>
    <row r="481">
      <c r="A481" s="58" t="s">
        <v>3106</v>
      </c>
      <c r="B481" s="58" t="s">
        <v>1428</v>
      </c>
      <c r="C481" s="58" t="s">
        <v>4009</v>
      </c>
      <c r="D481" s="58" t="s">
        <v>4010</v>
      </c>
      <c r="E481" s="68">
        <v>45644.7659375</v>
      </c>
      <c r="F481" s="68">
        <v>45931.46729166667</v>
      </c>
      <c r="G481" s="58">
        <v>1.0</v>
      </c>
      <c r="H481" s="58" t="s">
        <v>771</v>
      </c>
      <c r="I481" s="58" t="s">
        <v>856</v>
      </c>
      <c r="J481" s="68">
        <v>45644.707650462966</v>
      </c>
      <c r="K481" s="58" t="s">
        <v>4011</v>
      </c>
      <c r="L481" s="58">
        <v>730.0</v>
      </c>
      <c r="M481" s="58" t="s">
        <v>3869</v>
      </c>
      <c r="N481" s="58">
        <v>2.0</v>
      </c>
      <c r="O481" s="58" t="b">
        <v>1</v>
      </c>
      <c r="P481" s="58"/>
      <c r="Q481" s="58"/>
      <c r="R481" s="59" t="str">
        <f>IF(COUNTIF('Active Employees'!B:B, B481)&gt;0,"Y","N")</f>
        <v>Y</v>
      </c>
      <c r="S481" s="58"/>
      <c r="T481" s="58"/>
    </row>
    <row r="482">
      <c r="A482" s="58" t="s">
        <v>3181</v>
      </c>
      <c r="B482" s="58" t="s">
        <v>977</v>
      </c>
      <c r="C482" s="58" t="s">
        <v>3961</v>
      </c>
      <c r="D482" s="58" t="s">
        <v>1440</v>
      </c>
      <c r="E482" s="68">
        <v>45722.68200231482</v>
      </c>
      <c r="F482" s="68">
        <v>45931.96047453704</v>
      </c>
      <c r="G482" s="58">
        <v>1.0</v>
      </c>
      <c r="H482" s="58" t="s">
        <v>3162</v>
      </c>
      <c r="I482" s="58" t="s">
        <v>932</v>
      </c>
      <c r="J482" s="68">
        <v>45722.66247685185</v>
      </c>
      <c r="K482" s="58" t="s">
        <v>3972</v>
      </c>
      <c r="L482" s="58">
        <v>16786.0</v>
      </c>
      <c r="M482" s="58" t="s">
        <v>3869</v>
      </c>
      <c r="N482" s="58">
        <v>2.0</v>
      </c>
      <c r="O482" s="58" t="b">
        <v>1</v>
      </c>
      <c r="P482" s="58"/>
      <c r="Q482" s="58"/>
      <c r="R482" s="59" t="str">
        <f>IF(COUNTIF('Active Employees'!B:B, B482)&gt;0,"Y","N")</f>
        <v>Y</v>
      </c>
      <c r="S482" s="58"/>
      <c r="T482" s="58"/>
    </row>
    <row r="483">
      <c r="A483" s="58" t="s">
        <v>256</v>
      </c>
      <c r="B483" s="58" t="s">
        <v>507</v>
      </c>
      <c r="C483" s="58" t="s">
        <v>4009</v>
      </c>
      <c r="D483" s="58" t="s">
        <v>4010</v>
      </c>
      <c r="E483" s="68">
        <v>45799.76773148148</v>
      </c>
      <c r="F483" s="68">
        <v>45931.83628472222</v>
      </c>
      <c r="G483" s="58">
        <v>1.0</v>
      </c>
      <c r="H483" s="58" t="s">
        <v>771</v>
      </c>
      <c r="I483" s="58" t="s">
        <v>856</v>
      </c>
      <c r="J483" s="68">
        <v>45713.90414351852</v>
      </c>
      <c r="K483" s="58" t="s">
        <v>4011</v>
      </c>
      <c r="L483" s="58">
        <v>834.0</v>
      </c>
      <c r="M483" s="58" t="s">
        <v>4053</v>
      </c>
      <c r="N483" s="58">
        <v>3.0</v>
      </c>
      <c r="O483" s="58" t="b">
        <v>1</v>
      </c>
      <c r="P483" s="58"/>
      <c r="Q483" s="58"/>
      <c r="R483" s="59" t="str">
        <f>IF(COUNTIF('Active Employees'!B:B, B483)&gt;0,"Y","N")</f>
        <v>Y</v>
      </c>
      <c r="S483" s="58"/>
      <c r="T483" s="58"/>
    </row>
    <row r="484">
      <c r="A484" s="58" t="s">
        <v>333</v>
      </c>
      <c r="B484" s="58" t="s">
        <v>240</v>
      </c>
      <c r="C484" s="58" t="s">
        <v>3866</v>
      </c>
      <c r="D484" s="58" t="s">
        <v>3867</v>
      </c>
      <c r="E484" s="68">
        <v>45867.427719907406</v>
      </c>
      <c r="F484" s="68">
        <v>45931.610439814816</v>
      </c>
      <c r="G484" s="58">
        <v>1.0</v>
      </c>
      <c r="H484" s="58" t="s">
        <v>3342</v>
      </c>
      <c r="I484" s="58" t="s">
        <v>3877</v>
      </c>
      <c r="J484" s="58" t="s">
        <v>3342</v>
      </c>
      <c r="K484" s="58" t="s">
        <v>3868</v>
      </c>
      <c r="L484" s="58">
        <v>284.0</v>
      </c>
      <c r="M484" s="58" t="s">
        <v>3918</v>
      </c>
      <c r="N484" s="58">
        <v>2.0</v>
      </c>
      <c r="O484" s="58" t="b">
        <v>1</v>
      </c>
      <c r="P484" s="58"/>
      <c r="Q484" s="58"/>
      <c r="R484" s="59" t="str">
        <f>IF(COUNTIF('Active Employees'!B:B, B484)&gt;0,"Y","N")</f>
        <v>Y</v>
      </c>
      <c r="S484" s="58"/>
      <c r="T484" s="58"/>
    </row>
    <row r="485">
      <c r="A485" s="58" t="s">
        <v>3234</v>
      </c>
      <c r="B485" s="58" t="s">
        <v>853</v>
      </c>
      <c r="C485" s="58" t="s">
        <v>3961</v>
      </c>
      <c r="D485" s="58" t="s">
        <v>1440</v>
      </c>
      <c r="E485" s="68">
        <v>45793.754641203705</v>
      </c>
      <c r="F485" s="68">
        <v>45931.96978009259</v>
      </c>
      <c r="G485" s="58">
        <v>1.0</v>
      </c>
      <c r="H485" s="58" t="s">
        <v>3213</v>
      </c>
      <c r="I485" s="58" t="s">
        <v>1416</v>
      </c>
      <c r="J485" s="68">
        <v>45744.67663194444</v>
      </c>
      <c r="K485" s="58" t="s">
        <v>3972</v>
      </c>
      <c r="L485" s="58">
        <v>17653.0</v>
      </c>
      <c r="M485" s="58" t="s">
        <v>3869</v>
      </c>
      <c r="N485" s="58">
        <v>2.0</v>
      </c>
      <c r="O485" s="58" t="b">
        <v>1</v>
      </c>
      <c r="P485" s="58"/>
      <c r="Q485" s="58"/>
      <c r="R485" s="59" t="str">
        <f>IF(COUNTIF('Active Employees'!B:B, B485)&gt;0,"Y","N")</f>
        <v>Y</v>
      </c>
      <c r="S485" s="58"/>
      <c r="T485" s="58"/>
    </row>
    <row r="486">
      <c r="A486" s="58" t="s">
        <v>1923</v>
      </c>
      <c r="B486" s="58" t="s">
        <v>1399</v>
      </c>
      <c r="C486" s="58" t="s">
        <v>3961</v>
      </c>
      <c r="D486" s="58" t="s">
        <v>3962</v>
      </c>
      <c r="E486" s="68">
        <v>45692.64025462963</v>
      </c>
      <c r="F486" s="68">
        <v>45931.786157407405</v>
      </c>
      <c r="G486" s="58">
        <v>1.0</v>
      </c>
      <c r="H486" s="58" t="s">
        <v>3249</v>
      </c>
      <c r="I486" s="58" t="s">
        <v>706</v>
      </c>
      <c r="J486" s="68">
        <v>45692.58833333333</v>
      </c>
      <c r="K486" s="58" t="s">
        <v>3963</v>
      </c>
      <c r="L486" s="58">
        <v>578.0</v>
      </c>
      <c r="M486" s="58" t="s">
        <v>3918</v>
      </c>
      <c r="N486" s="58">
        <v>2.0</v>
      </c>
      <c r="O486" s="58" t="b">
        <v>1</v>
      </c>
      <c r="P486" s="58"/>
      <c r="Q486" s="58"/>
      <c r="R486" s="59" t="str">
        <f>IF(COUNTIF('Active Employees'!B:B, B486)&gt;0,"Y","N")</f>
        <v>Y</v>
      </c>
      <c r="S486" s="58"/>
      <c r="T486" s="58"/>
    </row>
    <row r="487">
      <c r="A487" s="58" t="s">
        <v>482</v>
      </c>
      <c r="B487" s="58" t="s">
        <v>1433</v>
      </c>
      <c r="C487" s="58" t="s">
        <v>4009</v>
      </c>
      <c r="D487" s="58" t="s">
        <v>4010</v>
      </c>
      <c r="E487" s="68">
        <v>45799.77427083333</v>
      </c>
      <c r="F487" s="68">
        <v>45931.310277777775</v>
      </c>
      <c r="G487" s="58">
        <v>1.0</v>
      </c>
      <c r="H487" s="58" t="s">
        <v>3342</v>
      </c>
      <c r="I487" s="58" t="s">
        <v>3877</v>
      </c>
      <c r="J487" s="58" t="s">
        <v>3342</v>
      </c>
      <c r="K487" s="58" t="s">
        <v>4011</v>
      </c>
      <c r="L487" s="58">
        <v>230.0</v>
      </c>
      <c r="M487" s="58" t="s">
        <v>4022</v>
      </c>
      <c r="N487" s="58">
        <v>3.0</v>
      </c>
      <c r="O487" s="58" t="b">
        <v>1</v>
      </c>
      <c r="P487" s="58"/>
      <c r="Q487" s="58"/>
      <c r="R487" s="59" t="str">
        <f>IF(COUNTIF('Active Employees'!B:B, B487)&gt;0,"Y","N")</f>
        <v>Y</v>
      </c>
      <c r="S487" s="58"/>
      <c r="T487" s="58"/>
    </row>
    <row r="488">
      <c r="A488" s="58" t="s">
        <v>3236</v>
      </c>
      <c r="B488" s="58" t="s">
        <v>296</v>
      </c>
      <c r="C488" s="58" t="s">
        <v>4009</v>
      </c>
      <c r="D488" s="58" t="s">
        <v>4010</v>
      </c>
      <c r="E488" s="68">
        <v>45799.7752662037</v>
      </c>
      <c r="F488" s="68">
        <v>45931.85518518519</v>
      </c>
      <c r="G488" s="58">
        <v>1.0</v>
      </c>
      <c r="H488" s="58" t="s">
        <v>3342</v>
      </c>
      <c r="I488" s="58" t="s">
        <v>3877</v>
      </c>
      <c r="J488" s="58" t="s">
        <v>3342</v>
      </c>
      <c r="K488" s="58" t="s">
        <v>4011</v>
      </c>
      <c r="L488" s="58">
        <v>937.0</v>
      </c>
      <c r="M488" s="58" t="s">
        <v>3885</v>
      </c>
      <c r="N488" s="58">
        <v>2.0</v>
      </c>
      <c r="O488" s="58" t="b">
        <v>1</v>
      </c>
      <c r="P488" s="58"/>
      <c r="Q488" s="58"/>
      <c r="R488" s="59" t="str">
        <f>IF(COUNTIF('Active Employees'!B:B, B488)&gt;0,"Y","N")</f>
        <v>Y</v>
      </c>
      <c r="S488" s="58"/>
      <c r="T488" s="58"/>
    </row>
    <row r="489">
      <c r="A489" s="58" t="s">
        <v>3253</v>
      </c>
      <c r="B489" s="58" t="s">
        <v>824</v>
      </c>
      <c r="C489" s="58" t="s">
        <v>3866</v>
      </c>
      <c r="D489" s="58" t="s">
        <v>3867</v>
      </c>
      <c r="E489" s="68">
        <v>45799.77479166666</v>
      </c>
      <c r="F489" s="68">
        <v>45931.58096064815</v>
      </c>
      <c r="G489" s="58">
        <v>1.0</v>
      </c>
      <c r="H489" s="58" t="s">
        <v>3342</v>
      </c>
      <c r="I489" s="58" t="s">
        <v>3877</v>
      </c>
      <c r="J489" s="58" t="s">
        <v>3342</v>
      </c>
      <c r="K489" s="58" t="s">
        <v>3868</v>
      </c>
      <c r="L489" s="58">
        <v>20.0</v>
      </c>
      <c r="M489" s="58" t="s">
        <v>3869</v>
      </c>
      <c r="N489" s="58">
        <v>2.0</v>
      </c>
      <c r="O489" s="58" t="b">
        <v>1</v>
      </c>
      <c r="P489" s="58"/>
      <c r="Q489" s="58"/>
      <c r="R489" s="59" t="str">
        <f>IF(COUNTIF('Active Employees'!B:B, B489)&gt;0,"Y","N")</f>
        <v>Y</v>
      </c>
      <c r="S489" s="58"/>
      <c r="T489" s="58"/>
    </row>
    <row r="490">
      <c r="A490" s="58" t="s">
        <v>282</v>
      </c>
      <c r="B490" s="58" t="s">
        <v>1159</v>
      </c>
      <c r="C490" s="58" t="s">
        <v>3866</v>
      </c>
      <c r="D490" s="58" t="s">
        <v>3867</v>
      </c>
      <c r="E490" s="68">
        <v>45799.726851851854</v>
      </c>
      <c r="F490" s="68">
        <v>45931.059525462966</v>
      </c>
      <c r="G490" s="58">
        <v>1.0</v>
      </c>
      <c r="H490" s="58" t="s">
        <v>3342</v>
      </c>
      <c r="I490" s="58" t="s">
        <v>3877</v>
      </c>
      <c r="J490" s="58" t="s">
        <v>3342</v>
      </c>
      <c r="K490" s="58" t="s">
        <v>3868</v>
      </c>
      <c r="L490" s="58">
        <v>551.0</v>
      </c>
      <c r="M490" s="58" t="s">
        <v>3918</v>
      </c>
      <c r="N490" s="58">
        <v>2.0</v>
      </c>
      <c r="O490" s="58" t="b">
        <v>1</v>
      </c>
      <c r="P490" s="58"/>
      <c r="Q490" s="58"/>
      <c r="R490" s="59" t="str">
        <f>IF(COUNTIF('Active Employees'!B:B, B490)&gt;0,"Y","N")</f>
        <v>Y</v>
      </c>
      <c r="S490" s="58"/>
      <c r="T490" s="58"/>
    </row>
    <row r="491">
      <c r="A491" s="58" t="s">
        <v>3032</v>
      </c>
      <c r="B491" s="58" t="s">
        <v>732</v>
      </c>
      <c r="C491" s="58" t="s">
        <v>3866</v>
      </c>
      <c r="D491" s="58" t="s">
        <v>3867</v>
      </c>
      <c r="E491" s="68">
        <v>45799.77469907407</v>
      </c>
      <c r="F491" s="68">
        <v>45931.381736111114</v>
      </c>
      <c r="G491" s="58">
        <v>1.0</v>
      </c>
      <c r="H491" s="58" t="s">
        <v>3342</v>
      </c>
      <c r="I491" s="58" t="s">
        <v>3877</v>
      </c>
      <c r="J491" s="58" t="s">
        <v>3342</v>
      </c>
      <c r="K491" s="58" t="s">
        <v>3868</v>
      </c>
      <c r="L491" s="58">
        <v>934.0</v>
      </c>
      <c r="M491" s="58" t="s">
        <v>3869</v>
      </c>
      <c r="N491" s="58">
        <v>2.0</v>
      </c>
      <c r="O491" s="58" t="b">
        <v>1</v>
      </c>
      <c r="P491" s="58"/>
      <c r="Q491" s="58"/>
      <c r="R491" s="59" t="str">
        <f>IF(COUNTIF('Active Employees'!B:B, B491)&gt;0,"Y","N")</f>
        <v>Y</v>
      </c>
      <c r="S491" s="58"/>
      <c r="T491" s="58"/>
    </row>
    <row r="492">
      <c r="A492" s="58" t="s">
        <v>686</v>
      </c>
      <c r="B492" s="58" t="s">
        <v>1094</v>
      </c>
      <c r="C492" s="58" t="s">
        <v>4009</v>
      </c>
      <c r="D492" s="58" t="s">
        <v>4010</v>
      </c>
      <c r="E492" s="68">
        <v>45126.765601851854</v>
      </c>
      <c r="F492" s="68">
        <v>45931.67070601852</v>
      </c>
      <c r="G492" s="58">
        <v>1.0</v>
      </c>
      <c r="H492" s="58" t="s">
        <v>771</v>
      </c>
      <c r="I492" s="58" t="s">
        <v>856</v>
      </c>
      <c r="J492" s="68">
        <v>45126.765185185184</v>
      </c>
      <c r="K492" s="58" t="s">
        <v>4011</v>
      </c>
      <c r="L492" s="58">
        <v>3085.0</v>
      </c>
      <c r="M492" s="58" t="s">
        <v>3873</v>
      </c>
      <c r="N492" s="58">
        <v>2.0</v>
      </c>
      <c r="O492" s="58" t="b">
        <v>1</v>
      </c>
      <c r="P492" s="58"/>
      <c r="Q492" s="58"/>
      <c r="R492" s="59" t="str">
        <f>IF(COUNTIF('Active Employees'!B:B, B492)&gt;0,"Y","N")</f>
        <v>Y</v>
      </c>
      <c r="S492" s="58"/>
      <c r="T492" s="58"/>
    </row>
    <row r="493">
      <c r="A493" s="58" t="s">
        <v>3255</v>
      </c>
      <c r="B493" s="58" t="s">
        <v>650</v>
      </c>
      <c r="C493" s="58" t="s">
        <v>4009</v>
      </c>
      <c r="D493" s="58" t="s">
        <v>4010</v>
      </c>
      <c r="E493" s="68">
        <v>45799.77481481482</v>
      </c>
      <c r="F493" s="68">
        <v>45931.60837962963</v>
      </c>
      <c r="G493" s="58">
        <v>1.0</v>
      </c>
      <c r="H493" s="58" t="s">
        <v>3342</v>
      </c>
      <c r="I493" s="58" t="s">
        <v>3877</v>
      </c>
      <c r="J493" s="58" t="s">
        <v>3342</v>
      </c>
      <c r="K493" s="58" t="s">
        <v>4011</v>
      </c>
      <c r="L493" s="58">
        <v>799.0</v>
      </c>
      <c r="M493" s="58" t="s">
        <v>3869</v>
      </c>
      <c r="N493" s="58">
        <v>2.0</v>
      </c>
      <c r="O493" s="58" t="b">
        <v>1</v>
      </c>
      <c r="P493" s="58"/>
      <c r="Q493" s="58"/>
      <c r="R493" s="59" t="str">
        <f>IF(COUNTIF('Active Employees'!B:B, B493)&gt;0,"Y","N")</f>
        <v>Y</v>
      </c>
      <c r="S493" s="58"/>
      <c r="T493" s="58"/>
    </row>
    <row r="494">
      <c r="A494" s="58" t="s">
        <v>3305</v>
      </c>
      <c r="B494" s="58" t="s">
        <v>1048</v>
      </c>
      <c r="C494" s="58" t="s">
        <v>3961</v>
      </c>
      <c r="D494" s="58" t="s">
        <v>1440</v>
      </c>
      <c r="E494" s="68">
        <v>45859.46758101852</v>
      </c>
      <c r="F494" s="68">
        <v>45931.69484953704</v>
      </c>
      <c r="G494" s="58">
        <v>1.0</v>
      </c>
      <c r="H494" s="58" t="s">
        <v>3342</v>
      </c>
      <c r="I494" s="58" t="s">
        <v>3877</v>
      </c>
      <c r="J494" s="58" t="s">
        <v>3342</v>
      </c>
      <c r="K494" s="58" t="s">
        <v>3972</v>
      </c>
      <c r="L494" s="58">
        <v>223.0</v>
      </c>
      <c r="M494" s="58" t="s">
        <v>3878</v>
      </c>
      <c r="N494" s="58">
        <v>2.0</v>
      </c>
      <c r="O494" s="58" t="b">
        <v>1</v>
      </c>
      <c r="P494" s="58"/>
      <c r="Q494" s="58"/>
      <c r="R494" s="59" t="str">
        <f>IF(COUNTIF('Active Employees'!B:B, B494)&gt;0,"Y","N")</f>
        <v>Y</v>
      </c>
      <c r="S494" s="58"/>
      <c r="T494" s="58"/>
    </row>
    <row r="495">
      <c r="A495" s="58" t="s">
        <v>3162</v>
      </c>
      <c r="B495" s="58" t="s">
        <v>932</v>
      </c>
      <c r="C495" s="58" t="s">
        <v>3961</v>
      </c>
      <c r="D495" s="58" t="s">
        <v>3962</v>
      </c>
      <c r="E495" s="68">
        <v>45694.997662037036</v>
      </c>
      <c r="F495" s="68">
        <v>45931.83636574074</v>
      </c>
      <c r="G495" s="58">
        <v>1.0</v>
      </c>
      <c r="H495" s="58" t="s">
        <v>3959</v>
      </c>
      <c r="I495" s="58" t="s">
        <v>3960</v>
      </c>
      <c r="J495" s="68">
        <v>45694.78965277778</v>
      </c>
      <c r="K495" s="58" t="s">
        <v>3963</v>
      </c>
      <c r="L495" s="58">
        <v>4042.0</v>
      </c>
      <c r="M495" s="58" t="s">
        <v>3869</v>
      </c>
      <c r="N495" s="58">
        <v>2.0</v>
      </c>
      <c r="O495" s="58" t="b">
        <v>1</v>
      </c>
      <c r="P495" s="58"/>
      <c r="Q495" s="58"/>
      <c r="R495" s="59" t="str">
        <f>IF(COUNTIF('Active Employees'!B:B, B495)&gt;0,"Y","N")</f>
        <v>Y</v>
      </c>
      <c r="S495" s="58"/>
      <c r="T495" s="58"/>
    </row>
    <row r="496">
      <c r="A496" s="58" t="s">
        <v>3308</v>
      </c>
      <c r="B496" s="58" t="s">
        <v>180</v>
      </c>
      <c r="C496" s="58" t="s">
        <v>4009</v>
      </c>
      <c r="D496" s="58" t="s">
        <v>4010</v>
      </c>
      <c r="E496" s="68">
        <v>45799.77527777778</v>
      </c>
      <c r="F496" s="68">
        <v>45931.63621527778</v>
      </c>
      <c r="G496" s="58">
        <v>1.0</v>
      </c>
      <c r="H496" s="58" t="s">
        <v>3342</v>
      </c>
      <c r="I496" s="58" t="s">
        <v>3877</v>
      </c>
      <c r="J496" s="58" t="s">
        <v>3342</v>
      </c>
      <c r="K496" s="58" t="s">
        <v>4011</v>
      </c>
      <c r="L496" s="58">
        <v>456.0</v>
      </c>
      <c r="M496" s="58" t="s">
        <v>3885</v>
      </c>
      <c r="N496" s="58">
        <v>2.0</v>
      </c>
      <c r="O496" s="58" t="b">
        <v>1</v>
      </c>
      <c r="P496" s="58"/>
      <c r="Q496" s="58"/>
      <c r="R496" s="59" t="str">
        <f>IF(COUNTIF('Active Employees'!B:B, B496)&gt;0,"Y","N")</f>
        <v>Y</v>
      </c>
      <c r="S496" s="58"/>
      <c r="T496" s="58"/>
    </row>
    <row r="497">
      <c r="A497" s="58" t="s">
        <v>3063</v>
      </c>
      <c r="B497" s="58" t="s">
        <v>807</v>
      </c>
      <c r="C497" s="58" t="s">
        <v>3866</v>
      </c>
      <c r="D497" s="58" t="s">
        <v>3867</v>
      </c>
      <c r="E497" s="68">
        <v>45799.77481481482</v>
      </c>
      <c r="F497" s="68">
        <v>45931.783009259256</v>
      </c>
      <c r="G497" s="58">
        <v>1.0</v>
      </c>
      <c r="H497" s="58" t="s">
        <v>3342</v>
      </c>
      <c r="I497" s="58" t="s">
        <v>3877</v>
      </c>
      <c r="J497" s="58" t="s">
        <v>3342</v>
      </c>
      <c r="K497" s="58" t="s">
        <v>3868</v>
      </c>
      <c r="L497" s="58">
        <v>132.0</v>
      </c>
      <c r="M497" s="58" t="s">
        <v>3869</v>
      </c>
      <c r="N497" s="58">
        <v>2.0</v>
      </c>
      <c r="O497" s="58" t="b">
        <v>1</v>
      </c>
      <c r="P497" s="58"/>
      <c r="Q497" s="58"/>
      <c r="R497" s="59" t="str">
        <f>IF(COUNTIF('Active Employees'!B:B, B497)&gt;0,"Y","N")</f>
        <v>Y</v>
      </c>
      <c r="S497" s="58"/>
      <c r="T497" s="58"/>
    </row>
    <row r="498">
      <c r="A498" s="58" t="s">
        <v>221</v>
      </c>
      <c r="B498" s="58" t="s">
        <v>1235</v>
      </c>
      <c r="C498" s="58" t="s">
        <v>3866</v>
      </c>
      <c r="D498" s="58" t="s">
        <v>3867</v>
      </c>
      <c r="E498" s="68">
        <v>45799.775358796294</v>
      </c>
      <c r="F498" s="68">
        <v>45931.04849537037</v>
      </c>
      <c r="G498" s="58">
        <v>1.0</v>
      </c>
      <c r="H498" s="58" t="s">
        <v>3342</v>
      </c>
      <c r="I498" s="58" t="s">
        <v>3877</v>
      </c>
      <c r="J498" s="58" t="s">
        <v>3342</v>
      </c>
      <c r="K498" s="58" t="s">
        <v>3868</v>
      </c>
      <c r="L498" s="58">
        <v>483.0</v>
      </c>
      <c r="M498" s="58" t="s">
        <v>3885</v>
      </c>
      <c r="N498" s="58">
        <v>2.0</v>
      </c>
      <c r="O498" s="58" t="b">
        <v>1</v>
      </c>
      <c r="P498" s="58"/>
      <c r="Q498" s="58"/>
      <c r="R498" s="59" t="str">
        <f>IF(COUNTIF('Active Employees'!B:B, B498)&gt;0,"Y","N")</f>
        <v>Y</v>
      </c>
      <c r="S498" s="58"/>
      <c r="T498" s="58"/>
    </row>
    <row r="499">
      <c r="A499" s="58" t="s">
        <v>458</v>
      </c>
      <c r="B499" s="58" t="s">
        <v>293</v>
      </c>
      <c r="C499" s="58" t="s">
        <v>3866</v>
      </c>
      <c r="D499" s="58" t="s">
        <v>3867</v>
      </c>
      <c r="E499" s="68">
        <v>45799.77422453704</v>
      </c>
      <c r="F499" s="68">
        <v>45931.698541666665</v>
      </c>
      <c r="G499" s="58">
        <v>1.0</v>
      </c>
      <c r="H499" s="58" t="s">
        <v>3342</v>
      </c>
      <c r="I499" s="58" t="s">
        <v>3877</v>
      </c>
      <c r="J499" s="58" t="s">
        <v>3342</v>
      </c>
      <c r="K499" s="58" t="s">
        <v>3868</v>
      </c>
      <c r="L499" s="58">
        <v>260.0</v>
      </c>
      <c r="M499" s="58" t="s">
        <v>3918</v>
      </c>
      <c r="N499" s="58">
        <v>2.0</v>
      </c>
      <c r="O499" s="58" t="b">
        <v>1</v>
      </c>
      <c r="P499" s="58"/>
      <c r="Q499" s="58"/>
      <c r="R499" s="59" t="str">
        <f>IF(COUNTIF('Active Employees'!B:B, B499)&gt;0,"Y","N")</f>
        <v>Y</v>
      </c>
      <c r="S499" s="58"/>
      <c r="T499" s="58"/>
    </row>
    <row r="500">
      <c r="A500" s="58" t="s">
        <v>3310</v>
      </c>
      <c r="B500" s="58" t="s">
        <v>886</v>
      </c>
      <c r="C500" s="58" t="s">
        <v>3866</v>
      </c>
      <c r="D500" s="58" t="s">
        <v>3867</v>
      </c>
      <c r="E500" s="68">
        <v>45799.81704861111</v>
      </c>
      <c r="F500" s="68">
        <v>45931.91292824074</v>
      </c>
      <c r="G500" s="58">
        <v>1.0</v>
      </c>
      <c r="H500" s="58" t="s">
        <v>3342</v>
      </c>
      <c r="I500" s="58" t="s">
        <v>3877</v>
      </c>
      <c r="J500" s="58" t="s">
        <v>3342</v>
      </c>
      <c r="K500" s="58" t="s">
        <v>3868</v>
      </c>
      <c r="L500" s="58">
        <v>1731.0</v>
      </c>
      <c r="M500" s="58" t="s">
        <v>3885</v>
      </c>
      <c r="N500" s="58">
        <v>2.0</v>
      </c>
      <c r="O500" s="58" t="b">
        <v>1</v>
      </c>
      <c r="P500" s="58"/>
      <c r="Q500" s="58"/>
      <c r="R500" s="59" t="str">
        <f>IF(COUNTIF('Active Employees'!B:B, B500)&gt;0,"Y","N")</f>
        <v>Y</v>
      </c>
      <c r="S500" s="58"/>
      <c r="T500" s="58"/>
    </row>
    <row r="501">
      <c r="A501" s="58" t="s">
        <v>3192</v>
      </c>
      <c r="B501" s="58" t="s">
        <v>1450</v>
      </c>
      <c r="C501" s="58" t="s">
        <v>3866</v>
      </c>
      <c r="D501" s="58" t="s">
        <v>3867</v>
      </c>
      <c r="E501" s="68">
        <v>45799.775300925925</v>
      </c>
      <c r="F501" s="68">
        <v>45932.01967592593</v>
      </c>
      <c r="G501" s="58">
        <v>0.0</v>
      </c>
      <c r="H501" s="58" t="s">
        <v>3342</v>
      </c>
      <c r="I501" s="58" t="s">
        <v>3877</v>
      </c>
      <c r="J501" s="58" t="s">
        <v>3342</v>
      </c>
      <c r="K501" s="58" t="s">
        <v>3868</v>
      </c>
      <c r="L501" s="58">
        <v>1348.0</v>
      </c>
      <c r="M501" s="58" t="s">
        <v>3885</v>
      </c>
      <c r="N501" s="58">
        <v>2.0</v>
      </c>
      <c r="O501" s="58" t="b">
        <v>1</v>
      </c>
      <c r="P501" s="58"/>
      <c r="Q501" s="58"/>
      <c r="R501" s="59" t="str">
        <f>IF(COUNTIF('Active Employees'!B:B, B501)&gt;0,"Y","N")</f>
        <v>Y</v>
      </c>
      <c r="S501" s="58"/>
      <c r="T501" s="58"/>
    </row>
    <row r="502">
      <c r="A502" s="58" t="s">
        <v>3311</v>
      </c>
      <c r="B502" s="58" t="s">
        <v>1271</v>
      </c>
      <c r="C502" s="58" t="s">
        <v>3961</v>
      </c>
      <c r="D502" s="58" t="s">
        <v>3962</v>
      </c>
      <c r="E502" s="68">
        <v>45715.83795138889</v>
      </c>
      <c r="F502" s="68">
        <v>45932.42896990741</v>
      </c>
      <c r="G502" s="58">
        <v>0.0</v>
      </c>
      <c r="H502" s="58" t="s">
        <v>3342</v>
      </c>
      <c r="I502" s="58" t="s">
        <v>3877</v>
      </c>
      <c r="J502" s="58" t="s">
        <v>3342</v>
      </c>
      <c r="K502" s="58" t="s">
        <v>3963</v>
      </c>
      <c r="L502" s="58">
        <v>14766.0</v>
      </c>
      <c r="M502" s="58" t="s">
        <v>3869</v>
      </c>
      <c r="N502" s="58">
        <v>2.0</v>
      </c>
      <c r="O502" s="58" t="b">
        <v>1</v>
      </c>
      <c r="P502" s="58"/>
      <c r="Q502" s="58"/>
      <c r="R502" s="59" t="str">
        <f>IF(COUNTIF('Active Employees'!B:B, B502)&gt;0,"Y","N")</f>
        <v>Y</v>
      </c>
      <c r="S502" s="58"/>
      <c r="T502" s="58"/>
    </row>
    <row r="503">
      <c r="A503" s="58" t="s">
        <v>4070</v>
      </c>
      <c r="B503" s="58" t="s">
        <v>77</v>
      </c>
      <c r="C503" s="58" t="s">
        <v>3866</v>
      </c>
      <c r="D503" s="58" t="s">
        <v>3867</v>
      </c>
      <c r="E503" s="68">
        <v>45799.77532407407</v>
      </c>
      <c r="F503" s="68">
        <v>45932.52009259259</v>
      </c>
      <c r="G503" s="58">
        <v>0.0</v>
      </c>
      <c r="H503" s="58" t="s">
        <v>3342</v>
      </c>
      <c r="I503" s="58" t="s">
        <v>3877</v>
      </c>
      <c r="J503" s="58" t="s">
        <v>3342</v>
      </c>
      <c r="K503" s="58" t="s">
        <v>3868</v>
      </c>
      <c r="L503" s="58">
        <v>1005.0</v>
      </c>
      <c r="M503" s="58" t="s">
        <v>3885</v>
      </c>
      <c r="N503" s="58">
        <v>2.0</v>
      </c>
      <c r="O503" s="58" t="b">
        <v>1</v>
      </c>
      <c r="P503" s="58"/>
      <c r="Q503" s="58"/>
      <c r="R503" s="59" t="str">
        <f>IF(COUNTIF('Active Employees'!B:B, B503)&gt;0,"Y","N")</f>
        <v>Y</v>
      </c>
      <c r="S503" s="58"/>
      <c r="T503" s="58"/>
    </row>
    <row r="504">
      <c r="A504" s="58" t="s">
        <v>3239</v>
      </c>
      <c r="B504" s="58" t="s">
        <v>1326</v>
      </c>
      <c r="C504" s="58" t="s">
        <v>3866</v>
      </c>
      <c r="D504" s="58" t="s">
        <v>3867</v>
      </c>
      <c r="E504" s="68">
        <v>45799.817025462966</v>
      </c>
      <c r="F504" s="68">
        <v>45932.473599537036</v>
      </c>
      <c r="G504" s="58">
        <v>0.0</v>
      </c>
      <c r="H504" s="58" t="s">
        <v>3342</v>
      </c>
      <c r="I504" s="58" t="s">
        <v>3877</v>
      </c>
      <c r="J504" s="58" t="s">
        <v>3342</v>
      </c>
      <c r="K504" s="58" t="s">
        <v>3868</v>
      </c>
      <c r="L504" s="58">
        <v>381.0</v>
      </c>
      <c r="M504" s="58" t="s">
        <v>3885</v>
      </c>
      <c r="N504" s="58">
        <v>2.0</v>
      </c>
      <c r="O504" s="58" t="b">
        <v>1</v>
      </c>
      <c r="P504" s="58"/>
      <c r="Q504" s="58"/>
      <c r="R504" s="59" t="str">
        <f>IF(COUNTIF('Active Employees'!B:B, B504)&gt;0,"Y","N")</f>
        <v>Y</v>
      </c>
      <c r="S504" s="58"/>
      <c r="T504" s="58"/>
    </row>
    <row r="505">
      <c r="A505" s="58" t="s">
        <v>3240</v>
      </c>
      <c r="B505" s="58" t="s">
        <v>884</v>
      </c>
      <c r="C505" s="58" t="s">
        <v>3961</v>
      </c>
      <c r="D505" s="58" t="s">
        <v>1440</v>
      </c>
      <c r="E505" s="68">
        <v>45722.682916666665</v>
      </c>
      <c r="F505" s="68">
        <v>45932.2503125</v>
      </c>
      <c r="G505" s="58">
        <v>0.0</v>
      </c>
      <c r="H505" s="58" t="s">
        <v>3162</v>
      </c>
      <c r="I505" s="58" t="s">
        <v>932</v>
      </c>
      <c r="J505" s="68">
        <v>45722.66247685185</v>
      </c>
      <c r="K505" s="58" t="s">
        <v>3972</v>
      </c>
      <c r="L505" s="58">
        <v>11506.0</v>
      </c>
      <c r="M505" s="58" t="s">
        <v>3869</v>
      </c>
      <c r="N505" s="58">
        <v>2.0</v>
      </c>
      <c r="O505" s="58" t="b">
        <v>1</v>
      </c>
      <c r="P505" s="58"/>
      <c r="Q505" s="58"/>
      <c r="R505" s="59" t="str">
        <f>IF(COUNTIF('Active Employees'!B:B, B505)&gt;0,"Y","N")</f>
        <v>Y</v>
      </c>
      <c r="S505" s="58"/>
      <c r="T505" s="58"/>
    </row>
    <row r="506">
      <c r="A506" s="58" t="s">
        <v>3282</v>
      </c>
      <c r="B506" s="58" t="s">
        <v>1257</v>
      </c>
      <c r="C506" s="58" t="s">
        <v>3866</v>
      </c>
      <c r="D506" s="58" t="s">
        <v>3867</v>
      </c>
      <c r="E506" s="68">
        <v>45799.77533564815</v>
      </c>
      <c r="F506" s="68">
        <v>45932.26609953704</v>
      </c>
      <c r="G506" s="58">
        <v>0.0</v>
      </c>
      <c r="H506" s="58" t="s">
        <v>3342</v>
      </c>
      <c r="I506" s="58" t="s">
        <v>3877</v>
      </c>
      <c r="J506" s="58" t="s">
        <v>3342</v>
      </c>
      <c r="K506" s="58" t="s">
        <v>3868</v>
      </c>
      <c r="L506" s="58">
        <v>1122.0</v>
      </c>
      <c r="M506" s="58" t="s">
        <v>3885</v>
      </c>
      <c r="N506" s="58">
        <v>2.0</v>
      </c>
      <c r="O506" s="58" t="b">
        <v>1</v>
      </c>
      <c r="P506" s="58"/>
      <c r="Q506" s="58"/>
      <c r="R506" s="59" t="str">
        <f>IF(COUNTIF('Active Employees'!B:B, B506)&gt;0,"Y","N")</f>
        <v>Y</v>
      </c>
      <c r="S506" s="58"/>
      <c r="T506" s="58"/>
    </row>
    <row r="507">
      <c r="A507" s="58" t="s">
        <v>3218</v>
      </c>
      <c r="B507" s="58" t="s">
        <v>1322</v>
      </c>
      <c r="C507" s="58" t="s">
        <v>4009</v>
      </c>
      <c r="D507" s="58" t="s">
        <v>4010</v>
      </c>
      <c r="E507" s="68">
        <v>45799.77453703704</v>
      </c>
      <c r="F507" s="68">
        <v>45932.521157407406</v>
      </c>
      <c r="G507" s="58">
        <v>0.0</v>
      </c>
      <c r="H507" s="58" t="s">
        <v>3342</v>
      </c>
      <c r="I507" s="58" t="s">
        <v>3877</v>
      </c>
      <c r="J507" s="58" t="s">
        <v>3342</v>
      </c>
      <c r="K507" s="58" t="s">
        <v>4011</v>
      </c>
      <c r="L507" s="58">
        <v>757.0</v>
      </c>
      <c r="M507" s="58" t="s">
        <v>3878</v>
      </c>
      <c r="N507" s="58">
        <v>2.0</v>
      </c>
      <c r="O507" s="58" t="b">
        <v>1</v>
      </c>
      <c r="P507" s="58"/>
      <c r="Q507" s="58"/>
      <c r="R507" s="59" t="str">
        <f>IF(COUNTIF('Active Employees'!B:B, B507)&gt;0,"Y","N")</f>
        <v>Y</v>
      </c>
      <c r="S507" s="58"/>
      <c r="T507" s="58"/>
    </row>
    <row r="508">
      <c r="A508" s="58" t="s">
        <v>3285</v>
      </c>
      <c r="B508" s="58" t="s">
        <v>1183</v>
      </c>
      <c r="C508" s="58" t="s">
        <v>3866</v>
      </c>
      <c r="D508" s="58" t="s">
        <v>3867</v>
      </c>
      <c r="E508" s="68">
        <v>45799.77527777778</v>
      </c>
      <c r="F508" s="68">
        <v>45932.32606481481</v>
      </c>
      <c r="G508" s="58">
        <v>0.0</v>
      </c>
      <c r="H508" s="58" t="s">
        <v>3342</v>
      </c>
      <c r="I508" s="58" t="s">
        <v>3877</v>
      </c>
      <c r="J508" s="58" t="s">
        <v>3342</v>
      </c>
      <c r="K508" s="58" t="s">
        <v>3868</v>
      </c>
      <c r="L508" s="58">
        <v>208.0</v>
      </c>
      <c r="M508" s="58" t="s">
        <v>3885</v>
      </c>
      <c r="N508" s="58">
        <v>2.0</v>
      </c>
      <c r="O508" s="58" t="b">
        <v>1</v>
      </c>
      <c r="P508" s="58"/>
      <c r="Q508" s="58"/>
      <c r="R508" s="59" t="str">
        <f>IF(COUNTIF('Active Employees'!B:B, B508)&gt;0,"Y","N")</f>
        <v>Y</v>
      </c>
      <c r="S508" s="58"/>
      <c r="T508" s="58"/>
    </row>
    <row r="509">
      <c r="A509" s="58" t="s">
        <v>3221</v>
      </c>
      <c r="B509" s="58" t="s">
        <v>464</v>
      </c>
      <c r="C509" s="58" t="s">
        <v>3866</v>
      </c>
      <c r="D509" s="58" t="s">
        <v>3867</v>
      </c>
      <c r="E509" s="68">
        <v>45769.6499537037</v>
      </c>
      <c r="F509" s="68">
        <v>45932.40587962963</v>
      </c>
      <c r="G509" s="58">
        <v>0.0</v>
      </c>
      <c r="H509" s="58" t="s">
        <v>3342</v>
      </c>
      <c r="I509" s="58" t="s">
        <v>3877</v>
      </c>
      <c r="J509" s="58" t="s">
        <v>3342</v>
      </c>
      <c r="K509" s="58" t="s">
        <v>3868</v>
      </c>
      <c r="L509" s="58">
        <v>707.0</v>
      </c>
      <c r="M509" s="58" t="s">
        <v>3869</v>
      </c>
      <c r="N509" s="58">
        <v>2.0</v>
      </c>
      <c r="O509" s="58" t="b">
        <v>1</v>
      </c>
      <c r="P509" s="58"/>
      <c r="Q509" s="58"/>
      <c r="R509" s="59" t="str">
        <f>IF(COUNTIF('Active Employees'!B:B, B509)&gt;0,"Y","N")</f>
        <v>Y</v>
      </c>
      <c r="S509" s="58"/>
      <c r="T509" s="58"/>
    </row>
    <row r="510">
      <c r="A510" s="58" t="s">
        <v>3047</v>
      </c>
      <c r="B510" s="58" t="s">
        <v>769</v>
      </c>
      <c r="C510" s="58" t="s">
        <v>3961</v>
      </c>
      <c r="D510" s="58" t="s">
        <v>3962</v>
      </c>
      <c r="E510" s="68">
        <v>45308.88857638889</v>
      </c>
      <c r="F510" s="68">
        <v>45932.12513888889</v>
      </c>
      <c r="G510" s="58">
        <v>0.0</v>
      </c>
      <c r="H510" s="58" t="s">
        <v>771</v>
      </c>
      <c r="I510" s="58" t="s">
        <v>856</v>
      </c>
      <c r="J510" s="68">
        <v>45308.65834490741</v>
      </c>
      <c r="K510" s="58" t="s">
        <v>3963</v>
      </c>
      <c r="L510" s="58">
        <v>3500.0</v>
      </c>
      <c r="M510" s="58" t="s">
        <v>3873</v>
      </c>
      <c r="N510" s="58">
        <v>2.0</v>
      </c>
      <c r="O510" s="58" t="b">
        <v>1</v>
      </c>
      <c r="P510" s="58"/>
      <c r="Q510" s="58"/>
      <c r="R510" s="59" t="str">
        <f>IF(COUNTIF('Active Employees'!B:B, B510)&gt;0,"Y","N")</f>
        <v>Y</v>
      </c>
      <c r="S510" s="58"/>
      <c r="T510" s="58"/>
    </row>
    <row r="511">
      <c r="A511" s="58" t="s">
        <v>3207</v>
      </c>
      <c r="B511" s="58" t="s">
        <v>890</v>
      </c>
      <c r="C511" s="58" t="s">
        <v>4009</v>
      </c>
      <c r="D511" s="58" t="s">
        <v>4010</v>
      </c>
      <c r="E511" s="68">
        <v>45859.4659375</v>
      </c>
      <c r="F511" s="68">
        <v>45932.05383101852</v>
      </c>
      <c r="G511" s="58">
        <v>0.0</v>
      </c>
      <c r="H511" s="58" t="s">
        <v>3342</v>
      </c>
      <c r="I511" s="58" t="s">
        <v>3877</v>
      </c>
      <c r="J511" s="58" t="s">
        <v>3342</v>
      </c>
      <c r="K511" s="58" t="s">
        <v>4011</v>
      </c>
      <c r="L511" s="58">
        <v>1314.0</v>
      </c>
      <c r="M511" s="58" t="s">
        <v>3869</v>
      </c>
      <c r="N511" s="58">
        <v>2.0</v>
      </c>
      <c r="O511" s="58" t="b">
        <v>1</v>
      </c>
      <c r="P511" s="58"/>
      <c r="Q511" s="58"/>
      <c r="R511" s="59" t="str">
        <f>IF(COUNTIF('Active Employees'!B:B, B511)&gt;0,"Y","N")</f>
        <v>Y</v>
      </c>
      <c r="S511" s="58"/>
      <c r="T511" s="58"/>
    </row>
    <row r="512">
      <c r="A512" s="58" t="s">
        <v>3244</v>
      </c>
      <c r="B512" s="58" t="s">
        <v>1171</v>
      </c>
      <c r="C512" s="58" t="s">
        <v>3866</v>
      </c>
      <c r="D512" s="58" t="s">
        <v>3867</v>
      </c>
      <c r="E512" s="68">
        <v>45799.7752662037</v>
      </c>
      <c r="F512" s="68">
        <v>45932.08284722222</v>
      </c>
      <c r="G512" s="58">
        <v>0.0</v>
      </c>
      <c r="H512" s="58" t="s">
        <v>3342</v>
      </c>
      <c r="I512" s="58" t="s">
        <v>3877</v>
      </c>
      <c r="J512" s="58" t="s">
        <v>3342</v>
      </c>
      <c r="K512" s="58" t="s">
        <v>3868</v>
      </c>
      <c r="L512" s="58">
        <v>992.0</v>
      </c>
      <c r="M512" s="58" t="s">
        <v>3885</v>
      </c>
      <c r="N512" s="58">
        <v>2.0</v>
      </c>
      <c r="O512" s="58" t="b">
        <v>1</v>
      </c>
      <c r="P512" s="58"/>
      <c r="Q512" s="58"/>
      <c r="R512" s="59" t="str">
        <f>IF(COUNTIF('Active Employees'!B:B, B512)&gt;0,"Y","N")</f>
        <v>Y</v>
      </c>
      <c r="S512" s="58"/>
      <c r="T512" s="58"/>
    </row>
    <row r="513">
      <c r="A513" s="58" t="s">
        <v>3089</v>
      </c>
      <c r="B513" s="58" t="s">
        <v>1111</v>
      </c>
      <c r="C513" s="58" t="s">
        <v>3866</v>
      </c>
      <c r="D513" s="58" t="s">
        <v>3867</v>
      </c>
      <c r="E513" s="68">
        <v>45799.774247685185</v>
      </c>
      <c r="F513" s="68">
        <v>45932.475856481484</v>
      </c>
      <c r="G513" s="58">
        <v>0.0</v>
      </c>
      <c r="H513" s="58" t="s">
        <v>3342</v>
      </c>
      <c r="I513" s="58" t="s">
        <v>3877</v>
      </c>
      <c r="J513" s="58" t="s">
        <v>3342</v>
      </c>
      <c r="K513" s="58" t="s">
        <v>3868</v>
      </c>
      <c r="L513" s="58">
        <v>81.0</v>
      </c>
      <c r="M513" s="58" t="s">
        <v>3918</v>
      </c>
      <c r="N513" s="58">
        <v>2.0</v>
      </c>
      <c r="O513" s="58" t="b">
        <v>1</v>
      </c>
      <c r="P513" s="58"/>
      <c r="Q513" s="58"/>
      <c r="R513" s="59" t="str">
        <f>IF(COUNTIF('Active Employees'!B:B, B513)&gt;0,"Y","N")</f>
        <v>Y</v>
      </c>
      <c r="S513" s="58"/>
      <c r="T513" s="58"/>
    </row>
    <row r="514">
      <c r="A514" s="58" t="s">
        <v>3222</v>
      </c>
      <c r="B514" s="58" t="s">
        <v>709</v>
      </c>
      <c r="C514" s="58" t="s">
        <v>3961</v>
      </c>
      <c r="D514" s="58" t="s">
        <v>1440</v>
      </c>
      <c r="E514" s="68">
        <v>45799.77480324074</v>
      </c>
      <c r="F514" s="68">
        <v>45932.39648148148</v>
      </c>
      <c r="G514" s="58">
        <v>0.0</v>
      </c>
      <c r="H514" s="58" t="s">
        <v>3342</v>
      </c>
      <c r="I514" s="58" t="s">
        <v>3877</v>
      </c>
      <c r="J514" s="58" t="s">
        <v>3342</v>
      </c>
      <c r="K514" s="58" t="s">
        <v>3972</v>
      </c>
      <c r="L514" s="58">
        <v>620.0</v>
      </c>
      <c r="M514" s="58" t="s">
        <v>3869</v>
      </c>
      <c r="N514" s="58">
        <v>2.0</v>
      </c>
      <c r="O514" s="58" t="b">
        <v>1</v>
      </c>
      <c r="P514" s="58"/>
      <c r="Q514" s="58"/>
      <c r="R514" s="59" t="str">
        <f>IF(COUNTIF('Active Employees'!B:B, B514)&gt;0,"Y","N")</f>
        <v>Y</v>
      </c>
      <c r="S514" s="58"/>
      <c r="T514" s="58"/>
    </row>
    <row r="515">
      <c r="A515" s="58" t="s">
        <v>3293</v>
      </c>
      <c r="B515" s="58" t="s">
        <v>55</v>
      </c>
      <c r="C515" s="58" t="s">
        <v>3866</v>
      </c>
      <c r="D515" s="58" t="s">
        <v>3867</v>
      </c>
      <c r="E515" s="68">
        <v>45799.81700231481</v>
      </c>
      <c r="F515" s="68">
        <v>45932.52005787037</v>
      </c>
      <c r="G515" s="58">
        <v>0.0</v>
      </c>
      <c r="H515" s="58" t="s">
        <v>3342</v>
      </c>
      <c r="I515" s="58" t="s">
        <v>3877</v>
      </c>
      <c r="J515" s="58" t="s">
        <v>3342</v>
      </c>
      <c r="K515" s="58" t="s">
        <v>3868</v>
      </c>
      <c r="L515" s="58">
        <v>300.0</v>
      </c>
      <c r="M515" s="58" t="s">
        <v>3885</v>
      </c>
      <c r="N515" s="58">
        <v>2.0</v>
      </c>
      <c r="O515" s="58" t="b">
        <v>1</v>
      </c>
      <c r="P515" s="58"/>
      <c r="Q515" s="58"/>
      <c r="R515" s="59" t="str">
        <f>IF(COUNTIF('Active Employees'!B:B, B515)&gt;0,"Y","N")</f>
        <v>Y</v>
      </c>
      <c r="S515" s="58"/>
      <c r="T515" s="58"/>
    </row>
    <row r="516">
      <c r="A516" s="58" t="s">
        <v>1803</v>
      </c>
      <c r="B516" s="58" t="s">
        <v>907</v>
      </c>
      <c r="C516" s="58" t="s">
        <v>3866</v>
      </c>
      <c r="D516" s="58" t="s">
        <v>3867</v>
      </c>
      <c r="E516" s="68">
        <v>45799.77416666667</v>
      </c>
      <c r="F516" s="68">
        <v>45932.459699074076</v>
      </c>
      <c r="G516" s="58">
        <v>0.0</v>
      </c>
      <c r="H516" s="58" t="s">
        <v>3342</v>
      </c>
      <c r="I516" s="58" t="s">
        <v>3877</v>
      </c>
      <c r="J516" s="58" t="s">
        <v>3342</v>
      </c>
      <c r="K516" s="58" t="s">
        <v>3868</v>
      </c>
      <c r="L516" s="58">
        <v>3470.0</v>
      </c>
      <c r="M516" s="58" t="s">
        <v>3918</v>
      </c>
      <c r="N516" s="58">
        <v>2.0</v>
      </c>
      <c r="O516" s="58" t="b">
        <v>1</v>
      </c>
      <c r="P516" s="58"/>
      <c r="Q516" s="58"/>
      <c r="R516" s="59" t="str">
        <f>IF(COUNTIF('Active Employees'!B:B, B516)&gt;0,"Y","N")</f>
        <v>Y</v>
      </c>
      <c r="S516" s="58"/>
      <c r="T516" s="58"/>
    </row>
    <row r="517">
      <c r="A517" s="58" t="s">
        <v>3084</v>
      </c>
      <c r="B517" s="58" t="s">
        <v>1391</v>
      </c>
      <c r="C517" s="58" t="s">
        <v>4009</v>
      </c>
      <c r="D517" s="58" t="s">
        <v>4010</v>
      </c>
      <c r="E517" s="68">
        <v>45646.59856481481</v>
      </c>
      <c r="F517" s="68">
        <v>45932.519212962965</v>
      </c>
      <c r="G517" s="58">
        <v>0.0</v>
      </c>
      <c r="H517" s="58" t="s">
        <v>3342</v>
      </c>
      <c r="I517" s="58" t="s">
        <v>3877</v>
      </c>
      <c r="J517" s="58" t="s">
        <v>3342</v>
      </c>
      <c r="K517" s="58" t="s">
        <v>4011</v>
      </c>
      <c r="L517" s="58">
        <v>94.0</v>
      </c>
      <c r="M517" s="58" t="s">
        <v>3869</v>
      </c>
      <c r="N517" s="58">
        <v>2.0</v>
      </c>
      <c r="O517" s="58" t="b">
        <v>1</v>
      </c>
      <c r="P517" s="58"/>
      <c r="Q517" s="58"/>
      <c r="R517" s="59" t="str">
        <f>IF(COUNTIF('Active Employees'!B:B, B517)&gt;0,"Y","N")</f>
        <v>Y</v>
      </c>
      <c r="S517" s="58"/>
      <c r="T517" s="58"/>
    </row>
    <row r="518">
      <c r="A518" s="58" t="s">
        <v>1820</v>
      </c>
      <c r="B518" s="58" t="s">
        <v>18</v>
      </c>
      <c r="C518" s="58" t="s">
        <v>3866</v>
      </c>
      <c r="D518" s="58" t="s">
        <v>3867</v>
      </c>
      <c r="E518" s="68">
        <v>45799.81700231481</v>
      </c>
      <c r="F518" s="68">
        <v>45932.055659722224</v>
      </c>
      <c r="G518" s="58">
        <v>0.0</v>
      </c>
      <c r="H518" s="58" t="s">
        <v>3342</v>
      </c>
      <c r="I518" s="58" t="s">
        <v>3877</v>
      </c>
      <c r="J518" s="58" t="s">
        <v>3342</v>
      </c>
      <c r="K518" s="58" t="s">
        <v>3868</v>
      </c>
      <c r="L518" s="58">
        <v>3502.0</v>
      </c>
      <c r="M518" s="58" t="s">
        <v>3885</v>
      </c>
      <c r="N518" s="58">
        <v>2.0</v>
      </c>
      <c r="O518" s="58" t="b">
        <v>1</v>
      </c>
      <c r="P518" s="58"/>
      <c r="Q518" s="58"/>
      <c r="R518" s="59" t="str">
        <f>IF(COUNTIF('Active Employees'!B:B, B518)&gt;0,"Y","N")</f>
        <v>Y</v>
      </c>
      <c r="S518" s="58"/>
      <c r="T518" s="58"/>
    </row>
    <row r="519">
      <c r="A519" s="58" t="s">
        <v>3194</v>
      </c>
      <c r="B519" s="58" t="s">
        <v>416</v>
      </c>
      <c r="C519" s="58" t="s">
        <v>4009</v>
      </c>
      <c r="D519" s="58" t="s">
        <v>4010</v>
      </c>
      <c r="E519" s="68">
        <v>45799.77480324074</v>
      </c>
      <c r="F519" s="68">
        <v>45932.51311342593</v>
      </c>
      <c r="G519" s="58">
        <v>0.0</v>
      </c>
      <c r="H519" s="58" t="s">
        <v>3342</v>
      </c>
      <c r="I519" s="58" t="s">
        <v>3877</v>
      </c>
      <c r="J519" s="58" t="s">
        <v>3342</v>
      </c>
      <c r="K519" s="58" t="s">
        <v>4011</v>
      </c>
      <c r="L519" s="58">
        <v>7031.0</v>
      </c>
      <c r="M519" s="58" t="s">
        <v>3869</v>
      </c>
      <c r="N519" s="58">
        <v>2.0</v>
      </c>
      <c r="O519" s="58" t="b">
        <v>1</v>
      </c>
      <c r="P519" s="58"/>
      <c r="Q519" s="58"/>
      <c r="R519" s="59" t="str">
        <f>IF(COUNTIF('Active Employees'!B:B, B519)&gt;0,"Y","N")</f>
        <v>Y</v>
      </c>
      <c r="S519" s="58"/>
      <c r="T519" s="58"/>
    </row>
    <row r="520">
      <c r="A520" s="58" t="s">
        <v>3226</v>
      </c>
      <c r="B520" s="58" t="s">
        <v>1163</v>
      </c>
      <c r="C520" s="58" t="s">
        <v>3961</v>
      </c>
      <c r="D520" s="58" t="s">
        <v>1440</v>
      </c>
      <c r="E520" s="68">
        <v>45719.71375</v>
      </c>
      <c r="F520" s="68">
        <v>45932.12149305556</v>
      </c>
      <c r="G520" s="58">
        <v>0.0</v>
      </c>
      <c r="H520" s="58" t="s">
        <v>3959</v>
      </c>
      <c r="I520" s="58" t="s">
        <v>3960</v>
      </c>
      <c r="J520" s="68">
        <v>45716.958449074074</v>
      </c>
      <c r="K520" s="58" t="s">
        <v>3972</v>
      </c>
      <c r="L520" s="58">
        <v>6196.0</v>
      </c>
      <c r="M520" s="58" t="s">
        <v>3878</v>
      </c>
      <c r="N520" s="58">
        <v>2.0</v>
      </c>
      <c r="O520" s="58" t="b">
        <v>1</v>
      </c>
      <c r="P520" s="58"/>
      <c r="Q520" s="58"/>
      <c r="R520" s="59" t="str">
        <f>IF(COUNTIF('Active Employees'!B:B, B520)&gt;0,"Y","N")</f>
        <v>Y</v>
      </c>
      <c r="S520" s="58"/>
      <c r="T520" s="58"/>
    </row>
    <row r="521">
      <c r="A521" s="58" t="s">
        <v>3314</v>
      </c>
      <c r="B521" s="58" t="s">
        <v>848</v>
      </c>
      <c r="C521" s="58" t="s">
        <v>4009</v>
      </c>
      <c r="D521" s="58" t="s">
        <v>4010</v>
      </c>
      <c r="E521" s="68">
        <v>45799.77533564815</v>
      </c>
      <c r="F521" s="68">
        <v>45932.31201388889</v>
      </c>
      <c r="G521" s="58">
        <v>0.0</v>
      </c>
      <c r="H521" s="58" t="s">
        <v>3342</v>
      </c>
      <c r="I521" s="58" t="s">
        <v>3877</v>
      </c>
      <c r="J521" s="58" t="s">
        <v>3342</v>
      </c>
      <c r="K521" s="58" t="s">
        <v>4011</v>
      </c>
      <c r="L521" s="58">
        <v>1216.0</v>
      </c>
      <c r="M521" s="58" t="s">
        <v>3885</v>
      </c>
      <c r="N521" s="58">
        <v>2.0</v>
      </c>
      <c r="O521" s="58" t="b">
        <v>1</v>
      </c>
      <c r="P521" s="58"/>
      <c r="Q521" s="58"/>
      <c r="R521" s="59" t="str">
        <f>IF(COUNTIF('Active Employees'!B:B, B521)&gt;0,"Y","N")</f>
        <v>Y</v>
      </c>
      <c r="S521" s="58"/>
      <c r="T521" s="58"/>
    </row>
    <row r="522">
      <c r="A522" s="58" t="s">
        <v>3299</v>
      </c>
      <c r="B522" s="58" t="s">
        <v>965</v>
      </c>
      <c r="C522" s="58" t="s">
        <v>3866</v>
      </c>
      <c r="D522" s="58" t="s">
        <v>3867</v>
      </c>
      <c r="E522" s="68">
        <v>45799.7752662037</v>
      </c>
      <c r="F522" s="68">
        <v>45932.070289351854</v>
      </c>
      <c r="G522" s="58">
        <v>0.0</v>
      </c>
      <c r="H522" s="58" t="s">
        <v>3342</v>
      </c>
      <c r="I522" s="58" t="s">
        <v>3877</v>
      </c>
      <c r="J522" s="58" t="s">
        <v>3342</v>
      </c>
      <c r="K522" s="58" t="s">
        <v>3868</v>
      </c>
      <c r="L522" s="58">
        <v>3187.0</v>
      </c>
      <c r="M522" s="58" t="s">
        <v>3885</v>
      </c>
      <c r="N522" s="58">
        <v>2.0</v>
      </c>
      <c r="O522" s="58" t="b">
        <v>1</v>
      </c>
      <c r="P522" s="58"/>
      <c r="Q522" s="58"/>
      <c r="R522" s="59" t="str">
        <f>IF(COUNTIF('Active Employees'!B:B, B522)&gt;0,"Y","N")</f>
        <v>Y</v>
      </c>
      <c r="S522" s="58"/>
      <c r="T522" s="58"/>
    </row>
    <row r="523">
      <c r="A523" s="58" t="s">
        <v>1837</v>
      </c>
      <c r="B523" s="58" t="s">
        <v>897</v>
      </c>
      <c r="C523" s="58" t="s">
        <v>3866</v>
      </c>
      <c r="D523" s="58" t="s">
        <v>3867</v>
      </c>
      <c r="E523" s="68">
        <v>45799.774247685185</v>
      </c>
      <c r="F523" s="68">
        <v>45932.48241898148</v>
      </c>
      <c r="G523" s="58">
        <v>0.0</v>
      </c>
      <c r="H523" s="58" t="s">
        <v>3342</v>
      </c>
      <c r="I523" s="58" t="s">
        <v>3877</v>
      </c>
      <c r="J523" s="58" t="s">
        <v>3342</v>
      </c>
      <c r="K523" s="58" t="s">
        <v>3868</v>
      </c>
      <c r="L523" s="58">
        <v>251.0</v>
      </c>
      <c r="M523" s="58" t="s">
        <v>3918</v>
      </c>
      <c r="N523" s="58">
        <v>2.0</v>
      </c>
      <c r="O523" s="58" t="b">
        <v>1</v>
      </c>
      <c r="P523" s="58"/>
      <c r="Q523" s="58"/>
      <c r="R523" s="59" t="str">
        <f>IF(COUNTIF('Active Employees'!B:B, B523)&gt;0,"Y","N")</f>
        <v>Y</v>
      </c>
      <c r="S523" s="58"/>
      <c r="T523" s="58"/>
    </row>
    <row r="524">
      <c r="A524" s="58" t="s">
        <v>195</v>
      </c>
      <c r="B524" s="58" t="s">
        <v>438</v>
      </c>
      <c r="C524" s="58" t="s">
        <v>4009</v>
      </c>
      <c r="D524" s="58" t="s">
        <v>4010</v>
      </c>
      <c r="E524" s="68">
        <v>45799.77421296296</v>
      </c>
      <c r="F524" s="68">
        <v>45932.480775462966</v>
      </c>
      <c r="G524" s="58">
        <v>0.0</v>
      </c>
      <c r="H524" s="58" t="s">
        <v>3342</v>
      </c>
      <c r="I524" s="58" t="s">
        <v>3877</v>
      </c>
      <c r="J524" s="58" t="s">
        <v>3342</v>
      </c>
      <c r="K524" s="58" t="s">
        <v>4011</v>
      </c>
      <c r="L524" s="58">
        <v>2168.0</v>
      </c>
      <c r="M524" s="58" t="s">
        <v>3918</v>
      </c>
      <c r="N524" s="58">
        <v>2.0</v>
      </c>
      <c r="O524" s="58" t="b">
        <v>1</v>
      </c>
      <c r="P524" s="58"/>
      <c r="Q524" s="58"/>
      <c r="R524" s="59" t="str">
        <f>IF(COUNTIF('Active Employees'!B:B, B524)&gt;0,"Y","N")</f>
        <v>Y</v>
      </c>
      <c r="S524" s="58"/>
      <c r="T524" s="58"/>
    </row>
    <row r="525">
      <c r="A525" s="58" t="s">
        <v>3269</v>
      </c>
      <c r="B525" s="58" t="s">
        <v>83</v>
      </c>
      <c r="C525" s="58" t="s">
        <v>3866</v>
      </c>
      <c r="D525" s="58" t="s">
        <v>3867</v>
      </c>
      <c r="E525" s="68">
        <v>45901.61883101852</v>
      </c>
      <c r="F525" s="68">
        <v>45932.075625</v>
      </c>
      <c r="G525" s="58">
        <v>0.0</v>
      </c>
      <c r="H525" s="58" t="s">
        <v>3342</v>
      </c>
      <c r="I525" s="58" t="s">
        <v>3877</v>
      </c>
      <c r="J525" s="58" t="s">
        <v>3342</v>
      </c>
      <c r="K525" s="58" t="s">
        <v>3868</v>
      </c>
      <c r="L525" s="58">
        <v>972.0</v>
      </c>
      <c r="M525" s="58" t="s">
        <v>3885</v>
      </c>
      <c r="N525" s="58">
        <v>2.0</v>
      </c>
      <c r="O525" s="58" t="b">
        <v>1</v>
      </c>
      <c r="P525" s="58"/>
      <c r="Q525" s="58"/>
      <c r="R525" s="59" t="str">
        <f>IF(COUNTIF('Active Employees'!B:B, B525)&gt;0,"Y","N")</f>
        <v>Y</v>
      </c>
      <c r="S525" s="58"/>
      <c r="T525" s="58"/>
    </row>
    <row r="526">
      <c r="A526" s="58" t="s">
        <v>22</v>
      </c>
      <c r="B526" s="58" t="s">
        <v>168</v>
      </c>
      <c r="C526" s="58" t="s">
        <v>3961</v>
      </c>
      <c r="D526" s="58" t="s">
        <v>1440</v>
      </c>
      <c r="E526" s="68">
        <v>45868.61680555555</v>
      </c>
      <c r="F526" s="68">
        <v>45932.0553125</v>
      </c>
      <c r="G526" s="58">
        <v>0.0</v>
      </c>
      <c r="H526" s="58" t="s">
        <v>3342</v>
      </c>
      <c r="I526" s="58" t="s">
        <v>3877</v>
      </c>
      <c r="J526" s="58" t="s">
        <v>3342</v>
      </c>
      <c r="K526" s="58" t="s">
        <v>3972</v>
      </c>
      <c r="L526" s="58">
        <v>52.0</v>
      </c>
      <c r="M526" s="58" t="s">
        <v>3885</v>
      </c>
      <c r="N526" s="58">
        <v>2.0</v>
      </c>
      <c r="O526" s="58" t="b">
        <v>1</v>
      </c>
      <c r="P526" s="58"/>
      <c r="Q526" s="58"/>
      <c r="R526" s="59" t="str">
        <f>IF(COUNTIF('Active Employees'!B:B, B526)&gt;0,"Y","N")</f>
        <v>Y</v>
      </c>
      <c r="S526" s="58"/>
      <c r="T526" s="58"/>
    </row>
    <row r="527">
      <c r="A527" s="58" t="s">
        <v>3179</v>
      </c>
      <c r="B527" s="58" t="s">
        <v>1274</v>
      </c>
      <c r="C527" s="58" t="s">
        <v>3866</v>
      </c>
      <c r="D527" s="58" t="s">
        <v>3867</v>
      </c>
      <c r="E527" s="68">
        <v>45799.81701388889</v>
      </c>
      <c r="F527" s="68">
        <v>45932.02596064815</v>
      </c>
      <c r="G527" s="58">
        <v>0.0</v>
      </c>
      <c r="H527" s="58" t="s">
        <v>3342</v>
      </c>
      <c r="I527" s="58" t="s">
        <v>3877</v>
      </c>
      <c r="J527" s="58" t="s">
        <v>3342</v>
      </c>
      <c r="K527" s="58" t="s">
        <v>3868</v>
      </c>
      <c r="L527" s="58">
        <v>1835.0</v>
      </c>
      <c r="M527" s="58" t="s">
        <v>3885</v>
      </c>
      <c r="N527" s="58">
        <v>2.0</v>
      </c>
      <c r="O527" s="58" t="b">
        <v>1</v>
      </c>
      <c r="P527" s="58"/>
      <c r="Q527" s="58"/>
      <c r="R527" s="59" t="str">
        <f>IF(COUNTIF('Active Employees'!B:B, B527)&gt;0,"Y","N")</f>
        <v>Y</v>
      </c>
      <c r="S527" s="58"/>
      <c r="T527" s="58"/>
    </row>
    <row r="528">
      <c r="A528" s="58" t="s">
        <v>3302</v>
      </c>
      <c r="B528" s="58" t="s">
        <v>513</v>
      </c>
      <c r="C528" s="58" t="s">
        <v>3866</v>
      </c>
      <c r="D528" s="58" t="s">
        <v>3867</v>
      </c>
      <c r="E528" s="68">
        <v>45799.77532407407</v>
      </c>
      <c r="F528" s="68">
        <v>45932.04722222222</v>
      </c>
      <c r="G528" s="58">
        <v>0.0</v>
      </c>
      <c r="H528" s="58" t="s">
        <v>3342</v>
      </c>
      <c r="I528" s="58" t="s">
        <v>3877</v>
      </c>
      <c r="J528" s="58" t="s">
        <v>3342</v>
      </c>
      <c r="K528" s="58" t="s">
        <v>3868</v>
      </c>
      <c r="L528" s="58">
        <v>310.0</v>
      </c>
      <c r="M528" s="58" t="s">
        <v>3885</v>
      </c>
      <c r="N528" s="58">
        <v>2.0</v>
      </c>
      <c r="O528" s="58" t="b">
        <v>1</v>
      </c>
      <c r="P528" s="58"/>
      <c r="Q528" s="58"/>
      <c r="R528" s="59" t="str">
        <f>IF(COUNTIF('Active Employees'!B:B, B528)&gt;0,"Y","N")</f>
        <v>Y</v>
      </c>
      <c r="S528" s="58"/>
      <c r="T528" s="58"/>
    </row>
    <row r="529">
      <c r="A529" s="58" t="s">
        <v>3232</v>
      </c>
      <c r="B529" s="58" t="s">
        <v>919</v>
      </c>
      <c r="C529" s="58" t="s">
        <v>3961</v>
      </c>
      <c r="D529" s="58" t="s">
        <v>1440</v>
      </c>
      <c r="E529" s="68">
        <v>45722.76583333333</v>
      </c>
      <c r="F529" s="68">
        <v>45932.50035879629</v>
      </c>
      <c r="G529" s="58">
        <v>0.0</v>
      </c>
      <c r="H529" s="58" t="s">
        <v>3162</v>
      </c>
      <c r="I529" s="58" t="s">
        <v>932</v>
      </c>
      <c r="J529" s="68">
        <v>45722.70425925926</v>
      </c>
      <c r="K529" s="58" t="s">
        <v>3972</v>
      </c>
      <c r="L529" s="58">
        <v>11276.0</v>
      </c>
      <c r="M529" s="58" t="s">
        <v>3869</v>
      </c>
      <c r="N529" s="58">
        <v>2.0</v>
      </c>
      <c r="O529" s="58" t="b">
        <v>1</v>
      </c>
      <c r="P529" s="58"/>
      <c r="Q529" s="58"/>
      <c r="R529" s="59" t="str">
        <f>IF(COUNTIF('Active Employees'!B:B, B529)&gt;0,"Y","N")</f>
        <v>Y</v>
      </c>
      <c r="S529" s="58"/>
      <c r="T529" s="58"/>
    </row>
    <row r="530">
      <c r="A530" s="58" t="s">
        <v>3152</v>
      </c>
      <c r="B530" s="58" t="s">
        <v>346</v>
      </c>
      <c r="C530" s="58" t="s">
        <v>3866</v>
      </c>
      <c r="D530" s="58" t="s">
        <v>3867</v>
      </c>
      <c r="E530" s="68">
        <v>45799.81701388889</v>
      </c>
      <c r="F530" s="68">
        <v>45932.25821759259</v>
      </c>
      <c r="G530" s="58">
        <v>0.0</v>
      </c>
      <c r="H530" s="58" t="s">
        <v>3342</v>
      </c>
      <c r="I530" s="58" t="s">
        <v>3877</v>
      </c>
      <c r="J530" s="58" t="s">
        <v>3342</v>
      </c>
      <c r="K530" s="58" t="s">
        <v>3868</v>
      </c>
      <c r="L530" s="58">
        <v>121.0</v>
      </c>
      <c r="M530" s="58" t="s">
        <v>3885</v>
      </c>
      <c r="N530" s="58">
        <v>2.0</v>
      </c>
      <c r="O530" s="58" t="b">
        <v>1</v>
      </c>
      <c r="P530" s="58"/>
      <c r="Q530" s="58"/>
      <c r="R530" s="59" t="str">
        <f>IF(COUNTIF('Active Employees'!B:B, B530)&gt;0,"Y","N")</f>
        <v>Y</v>
      </c>
      <c r="S530" s="58"/>
      <c r="T530" s="58"/>
    </row>
    <row r="531">
      <c r="A531" s="58" t="s">
        <v>1904</v>
      </c>
      <c r="B531" s="58" t="s">
        <v>354</v>
      </c>
      <c r="C531" s="58" t="s">
        <v>3961</v>
      </c>
      <c r="D531" s="58" t="s">
        <v>1440</v>
      </c>
      <c r="E531" s="68">
        <v>45799.77416666667</v>
      </c>
      <c r="F531" s="68">
        <v>45932.26641203704</v>
      </c>
      <c r="G531" s="58">
        <v>0.0</v>
      </c>
      <c r="H531" s="58" t="s">
        <v>3342</v>
      </c>
      <c r="I531" s="58" t="s">
        <v>3877</v>
      </c>
      <c r="J531" s="58" t="s">
        <v>3342</v>
      </c>
      <c r="K531" s="58" t="s">
        <v>3972</v>
      </c>
      <c r="L531" s="58">
        <v>505.0</v>
      </c>
      <c r="M531" s="58" t="s">
        <v>3918</v>
      </c>
      <c r="N531" s="58">
        <v>2.0</v>
      </c>
      <c r="O531" s="58" t="b">
        <v>1</v>
      </c>
      <c r="P531" s="58"/>
      <c r="Q531" s="58"/>
      <c r="R531" s="59" t="str">
        <f>IF(COUNTIF('Active Employees'!B:B, B531)&gt;0,"Y","N")</f>
        <v>Y</v>
      </c>
      <c r="S531" s="58"/>
      <c r="T531" s="58"/>
    </row>
    <row r="532">
      <c r="A532" s="58" t="s">
        <v>3109</v>
      </c>
      <c r="B532" s="58" t="s">
        <v>1034</v>
      </c>
      <c r="C532" s="58" t="s">
        <v>3961</v>
      </c>
      <c r="D532" s="58" t="s">
        <v>3962</v>
      </c>
      <c r="E532" s="68">
        <v>45076.72703703704</v>
      </c>
      <c r="F532" s="68">
        <v>45932.50047453704</v>
      </c>
      <c r="G532" s="58">
        <v>0.0</v>
      </c>
      <c r="H532" s="58" t="s">
        <v>4068</v>
      </c>
      <c r="I532" s="58" t="s">
        <v>4069</v>
      </c>
      <c r="J532" s="68">
        <v>45076.723125</v>
      </c>
      <c r="K532" s="58" t="s">
        <v>3963</v>
      </c>
      <c r="L532" s="58">
        <v>350.0</v>
      </c>
      <c r="M532" s="58" t="s">
        <v>3918</v>
      </c>
      <c r="N532" s="58">
        <v>2.0</v>
      </c>
      <c r="O532" s="58" t="b">
        <v>1</v>
      </c>
      <c r="P532" s="58"/>
      <c r="Q532" s="58"/>
      <c r="R532" s="59" t="str">
        <f>IF(COUNTIF('Active Employees'!B:B, B532)&gt;0,"Y","N")</f>
        <v>Y</v>
      </c>
      <c r="S532" s="58"/>
      <c r="T532" s="58"/>
    </row>
    <row r="533">
      <c r="A533" s="58" t="s">
        <v>3275</v>
      </c>
      <c r="B533" s="58" t="s">
        <v>325</v>
      </c>
      <c r="C533" s="58" t="s">
        <v>3866</v>
      </c>
      <c r="D533" s="58" t="s">
        <v>3867</v>
      </c>
      <c r="E533" s="68">
        <v>45799.775289351855</v>
      </c>
      <c r="F533" s="68">
        <v>45932.326215277775</v>
      </c>
      <c r="G533" s="58">
        <v>0.0</v>
      </c>
      <c r="H533" s="58" t="s">
        <v>3342</v>
      </c>
      <c r="I533" s="58" t="s">
        <v>3877</v>
      </c>
      <c r="J533" s="58" t="s">
        <v>3342</v>
      </c>
      <c r="K533" s="58" t="s">
        <v>3868</v>
      </c>
      <c r="L533" s="58">
        <v>2463.0</v>
      </c>
      <c r="M533" s="58" t="s">
        <v>3885</v>
      </c>
      <c r="N533" s="58">
        <v>2.0</v>
      </c>
      <c r="O533" s="58" t="b">
        <v>1</v>
      </c>
      <c r="P533" s="58"/>
      <c r="Q533" s="58"/>
      <c r="R533" s="59" t="str">
        <f>IF(COUNTIF('Active Employees'!B:B, B533)&gt;0,"Y","N")</f>
        <v>Y</v>
      </c>
      <c r="S533" s="58"/>
      <c r="T533" s="58"/>
    </row>
    <row r="534">
      <c r="A534" s="58" t="s">
        <v>3213</v>
      </c>
      <c r="B534" s="58" t="s">
        <v>1416</v>
      </c>
      <c r="C534" s="58" t="s">
        <v>3961</v>
      </c>
      <c r="D534" s="58" t="s">
        <v>3962</v>
      </c>
      <c r="E534" s="68">
        <v>45694.83238425926</v>
      </c>
      <c r="F534" s="68">
        <v>45932.4327662037</v>
      </c>
      <c r="G534" s="58">
        <v>0.0</v>
      </c>
      <c r="H534" s="58" t="s">
        <v>3959</v>
      </c>
      <c r="I534" s="58" t="s">
        <v>3960</v>
      </c>
      <c r="J534" s="68">
        <v>45694.78965277778</v>
      </c>
      <c r="K534" s="58" t="s">
        <v>3963</v>
      </c>
      <c r="L534" s="58">
        <v>25825.0</v>
      </c>
      <c r="M534" s="58" t="s">
        <v>3869</v>
      </c>
      <c r="N534" s="58">
        <v>2.0</v>
      </c>
      <c r="O534" s="58" t="b">
        <v>1</v>
      </c>
      <c r="P534" s="58"/>
      <c r="Q534" s="58"/>
      <c r="R534" s="59" t="str">
        <f>IF(COUNTIF('Active Employees'!B:B, B534)&gt;0,"Y","N")</f>
        <v>Y</v>
      </c>
      <c r="S534" s="58"/>
      <c r="T534" s="58"/>
    </row>
    <row r="535">
      <c r="A535" s="58" t="s">
        <v>1921</v>
      </c>
      <c r="B535" s="58" t="s">
        <v>407</v>
      </c>
      <c r="C535" s="58" t="s">
        <v>3961</v>
      </c>
      <c r="D535" s="58" t="s">
        <v>1440</v>
      </c>
      <c r="E535" s="68">
        <v>45797.35313657407</v>
      </c>
      <c r="F535" s="68">
        <v>45932.4512962963</v>
      </c>
      <c r="G535" s="58">
        <v>0.0</v>
      </c>
      <c r="H535" s="58" t="s">
        <v>3959</v>
      </c>
      <c r="I535" s="58" t="s">
        <v>3960</v>
      </c>
      <c r="J535" s="68">
        <v>45796.67302083333</v>
      </c>
      <c r="K535" s="58" t="s">
        <v>3972</v>
      </c>
      <c r="L535" s="58">
        <v>3014.0</v>
      </c>
      <c r="M535" s="58" t="s">
        <v>3869</v>
      </c>
      <c r="N535" s="58">
        <v>2.0</v>
      </c>
      <c r="O535" s="58" t="b">
        <v>1</v>
      </c>
      <c r="P535" s="58"/>
      <c r="Q535" s="58"/>
      <c r="R535" s="59" t="str">
        <f>IF(COUNTIF('Active Employees'!B:B, B535)&gt;0,"Y","N")</f>
        <v>Y</v>
      </c>
      <c r="S535" s="58"/>
      <c r="T535" s="58"/>
    </row>
    <row r="536">
      <c r="A536" s="58" t="s">
        <v>3007</v>
      </c>
      <c r="B536" s="58" t="s">
        <v>486</v>
      </c>
      <c r="C536" s="58" t="s">
        <v>4009</v>
      </c>
      <c r="D536" s="58" t="s">
        <v>4010</v>
      </c>
      <c r="E536" s="68">
        <v>45736.390914351854</v>
      </c>
      <c r="F536" s="68">
        <v>45932.34116898148</v>
      </c>
      <c r="G536" s="58">
        <v>0.0</v>
      </c>
      <c r="H536" s="58" t="s">
        <v>3342</v>
      </c>
      <c r="I536" s="58" t="s">
        <v>3877</v>
      </c>
      <c r="J536" s="58" t="s">
        <v>3342</v>
      </c>
      <c r="K536" s="58" t="s">
        <v>4011</v>
      </c>
      <c r="L536" s="58">
        <v>219.0</v>
      </c>
      <c r="M536" s="58" t="s">
        <v>3869</v>
      </c>
      <c r="N536" s="58">
        <v>2.0</v>
      </c>
      <c r="O536" s="58" t="b">
        <v>1</v>
      </c>
      <c r="P536" s="58"/>
      <c r="Q536" s="58"/>
      <c r="R536" s="59" t="str">
        <f>IF(COUNTIF('Active Employees'!B:B, B536)&gt;0,"Y","N")</f>
        <v>Y</v>
      </c>
      <c r="S536" s="58"/>
      <c r="T536" s="58"/>
    </row>
    <row r="537">
      <c r="A537" s="58" t="s">
        <v>3251</v>
      </c>
      <c r="B537" s="58" t="s">
        <v>657</v>
      </c>
      <c r="C537" s="58" t="s">
        <v>3866</v>
      </c>
      <c r="D537" s="58" t="s">
        <v>3867</v>
      </c>
      <c r="E537" s="68">
        <v>45799.775289351855</v>
      </c>
      <c r="F537" s="68">
        <v>45932.37768518519</v>
      </c>
      <c r="G537" s="58">
        <v>0.0</v>
      </c>
      <c r="H537" s="58" t="s">
        <v>3342</v>
      </c>
      <c r="I537" s="58" t="s">
        <v>3877</v>
      </c>
      <c r="J537" s="58" t="s">
        <v>3342</v>
      </c>
      <c r="K537" s="58" t="s">
        <v>3868</v>
      </c>
      <c r="L537" s="58">
        <v>2781.0</v>
      </c>
      <c r="M537" s="58" t="s">
        <v>3885</v>
      </c>
      <c r="N537" s="58">
        <v>2.0</v>
      </c>
      <c r="O537" s="58" t="b">
        <v>1</v>
      </c>
      <c r="P537" s="58"/>
      <c r="Q537" s="58"/>
      <c r="R537" s="59" t="str">
        <f>IF(COUNTIF('Active Employees'!B:B, B537)&gt;0,"Y","N")</f>
        <v>Y</v>
      </c>
      <c r="S537" s="58"/>
      <c r="T537" s="58"/>
    </row>
    <row r="538">
      <c r="A538" s="58" t="s">
        <v>3237</v>
      </c>
      <c r="B538" s="58" t="s">
        <v>1310</v>
      </c>
      <c r="C538" s="58" t="s">
        <v>3866</v>
      </c>
      <c r="D538" s="58" t="s">
        <v>3867</v>
      </c>
      <c r="E538" s="68">
        <v>45799.77533564815</v>
      </c>
      <c r="F538" s="68">
        <v>45932.326319444444</v>
      </c>
      <c r="G538" s="58">
        <v>0.0</v>
      </c>
      <c r="H538" s="58" t="s">
        <v>3342</v>
      </c>
      <c r="I538" s="58" t="s">
        <v>3877</v>
      </c>
      <c r="J538" s="58" t="s">
        <v>3342</v>
      </c>
      <c r="K538" s="58" t="s">
        <v>3868</v>
      </c>
      <c r="L538" s="58">
        <v>1381.0</v>
      </c>
      <c r="M538" s="58" t="s">
        <v>3885</v>
      </c>
      <c r="N538" s="58">
        <v>2.0</v>
      </c>
      <c r="O538" s="58" t="b">
        <v>1</v>
      </c>
      <c r="P538" s="58"/>
      <c r="Q538" s="58"/>
      <c r="R538" s="59" t="str">
        <f>IF(COUNTIF('Active Employees'!B:B, B538)&gt;0,"Y","N")</f>
        <v>Y</v>
      </c>
      <c r="S538" s="58"/>
      <c r="T538" s="58"/>
    </row>
    <row r="539">
      <c r="A539" s="58" t="s">
        <v>3276</v>
      </c>
      <c r="B539" s="58" t="s">
        <v>1161</v>
      </c>
      <c r="C539" s="58" t="s">
        <v>3866</v>
      </c>
      <c r="D539" s="58" t="s">
        <v>3867</v>
      </c>
      <c r="E539" s="68">
        <v>45799.7752662037</v>
      </c>
      <c r="F539" s="68">
        <v>45932.083125</v>
      </c>
      <c r="G539" s="58">
        <v>0.0</v>
      </c>
      <c r="H539" s="58" t="s">
        <v>3342</v>
      </c>
      <c r="I539" s="58" t="s">
        <v>3877</v>
      </c>
      <c r="J539" s="58" t="s">
        <v>3342</v>
      </c>
      <c r="K539" s="58" t="s">
        <v>3868</v>
      </c>
      <c r="L539" s="58">
        <v>443.0</v>
      </c>
      <c r="M539" s="58" t="s">
        <v>3885</v>
      </c>
      <c r="N539" s="58">
        <v>2.0</v>
      </c>
      <c r="O539" s="58" t="b">
        <v>1</v>
      </c>
      <c r="P539" s="58"/>
      <c r="Q539" s="58"/>
      <c r="R539" s="59" t="str">
        <f>IF(COUNTIF('Active Employees'!B:B, B539)&gt;0,"Y","N")</f>
        <v>Y</v>
      </c>
      <c r="S539" s="58"/>
      <c r="T539" s="58"/>
    </row>
    <row r="540">
      <c r="A540" s="58" t="s">
        <v>3304</v>
      </c>
      <c r="B540" s="58" t="s">
        <v>663</v>
      </c>
      <c r="C540" s="58" t="s">
        <v>3866</v>
      </c>
      <c r="D540" s="58" t="s">
        <v>3867</v>
      </c>
      <c r="E540" s="68">
        <v>45799.77525462963</v>
      </c>
      <c r="F540" s="68">
        <v>45932.32581018518</v>
      </c>
      <c r="G540" s="58">
        <v>0.0</v>
      </c>
      <c r="H540" s="58" t="s">
        <v>3342</v>
      </c>
      <c r="I540" s="58" t="s">
        <v>3877</v>
      </c>
      <c r="J540" s="58" t="s">
        <v>3342</v>
      </c>
      <c r="K540" s="58" t="s">
        <v>3868</v>
      </c>
      <c r="L540" s="58">
        <v>1230.0</v>
      </c>
      <c r="M540" s="58" t="s">
        <v>3885</v>
      </c>
      <c r="N540" s="58">
        <v>2.0</v>
      </c>
      <c r="O540" s="58" t="b">
        <v>1</v>
      </c>
      <c r="P540" s="58"/>
      <c r="Q540" s="58"/>
      <c r="R540" s="59" t="str">
        <f>IF(COUNTIF('Active Employees'!B:B, B540)&gt;0,"Y","N")</f>
        <v>Y</v>
      </c>
      <c r="S540" s="58"/>
      <c r="T540" s="58"/>
    </row>
    <row r="541">
      <c r="A541" s="58" t="s">
        <v>3254</v>
      </c>
      <c r="B541" s="58" t="s">
        <v>298</v>
      </c>
      <c r="C541" s="58" t="s">
        <v>3961</v>
      </c>
      <c r="D541" s="58" t="s">
        <v>1440</v>
      </c>
      <c r="E541" s="68">
        <v>45722.701215277775</v>
      </c>
      <c r="F541" s="68">
        <v>45932.38746527778</v>
      </c>
      <c r="G541" s="58">
        <v>0.0</v>
      </c>
      <c r="H541" s="58" t="s">
        <v>3342</v>
      </c>
      <c r="I541" s="58" t="s">
        <v>3877</v>
      </c>
      <c r="J541" s="58" t="s">
        <v>3342</v>
      </c>
      <c r="K541" s="58" t="s">
        <v>3972</v>
      </c>
      <c r="L541" s="58">
        <v>15865.0</v>
      </c>
      <c r="M541" s="58" t="s">
        <v>3869</v>
      </c>
      <c r="N541" s="58">
        <v>2.0</v>
      </c>
      <c r="O541" s="58" t="b">
        <v>1</v>
      </c>
      <c r="P541" s="58"/>
      <c r="Q541" s="58"/>
      <c r="R541" s="59" t="str">
        <f>IF(COUNTIF('Active Employees'!B:B, B541)&gt;0,"Y","N")</f>
        <v>Y</v>
      </c>
      <c r="S541" s="58"/>
      <c r="T541" s="58"/>
    </row>
    <row r="542">
      <c r="A542" s="58" t="s">
        <v>3104</v>
      </c>
      <c r="B542" s="58" t="s">
        <v>617</v>
      </c>
      <c r="C542" s="58" t="s">
        <v>3866</v>
      </c>
      <c r="D542" s="58" t="s">
        <v>3867</v>
      </c>
      <c r="E542" s="68">
        <v>45799.77422453704</v>
      </c>
      <c r="F542" s="68">
        <v>45932.48768518519</v>
      </c>
      <c r="G542" s="58">
        <v>0.0</v>
      </c>
      <c r="H542" s="58" t="s">
        <v>3342</v>
      </c>
      <c r="I542" s="58" t="s">
        <v>3877</v>
      </c>
      <c r="J542" s="58" t="s">
        <v>3342</v>
      </c>
      <c r="K542" s="58" t="s">
        <v>3868</v>
      </c>
      <c r="L542" s="58">
        <v>81.0</v>
      </c>
      <c r="M542" s="58" t="s">
        <v>3918</v>
      </c>
      <c r="N542" s="58">
        <v>2.0</v>
      </c>
      <c r="O542" s="58" t="b">
        <v>1</v>
      </c>
      <c r="P542" s="58"/>
      <c r="Q542" s="58"/>
      <c r="R542" s="59" t="str">
        <f>IF(COUNTIF('Active Employees'!B:B, B542)&gt;0,"Y","N")</f>
        <v>Y</v>
      </c>
      <c r="S542" s="58"/>
      <c r="T542" s="58"/>
    </row>
    <row r="543">
      <c r="A543" s="58" t="s">
        <v>3256</v>
      </c>
      <c r="B543" s="58" t="s">
        <v>862</v>
      </c>
      <c r="C543" s="58" t="s">
        <v>3866</v>
      </c>
      <c r="D543" s="58" t="s">
        <v>3867</v>
      </c>
      <c r="E543" s="68">
        <v>45799.775300925925</v>
      </c>
      <c r="F543" s="68">
        <v>45932.519953703704</v>
      </c>
      <c r="G543" s="58">
        <v>0.0</v>
      </c>
      <c r="H543" s="58" t="s">
        <v>3342</v>
      </c>
      <c r="I543" s="58" t="s">
        <v>3877</v>
      </c>
      <c r="J543" s="58" t="s">
        <v>3342</v>
      </c>
      <c r="K543" s="58" t="s">
        <v>3868</v>
      </c>
      <c r="L543" s="58">
        <v>1595.0</v>
      </c>
      <c r="M543" s="58" t="s">
        <v>3885</v>
      </c>
      <c r="N543" s="58">
        <v>2.0</v>
      </c>
      <c r="O543" s="58" t="b">
        <v>1</v>
      </c>
      <c r="P543" s="58"/>
      <c r="Q543" s="58"/>
      <c r="R543" s="59" t="str">
        <f>IF(COUNTIF('Active Employees'!B:B, B543)&gt;0,"Y","N")</f>
        <v>Y</v>
      </c>
      <c r="S543" s="58"/>
      <c r="T543" s="58"/>
    </row>
    <row r="544">
      <c r="A544" s="58" t="s">
        <v>3202</v>
      </c>
      <c r="B544" s="58" t="s">
        <v>722</v>
      </c>
      <c r="C544" s="58" t="s">
        <v>3866</v>
      </c>
      <c r="D544" s="58" t="s">
        <v>3867</v>
      </c>
      <c r="E544" s="68">
        <v>45799.77533564815</v>
      </c>
      <c r="F544" s="68">
        <v>45932.00444444444</v>
      </c>
      <c r="G544" s="58">
        <v>0.0</v>
      </c>
      <c r="H544" s="58" t="s">
        <v>3342</v>
      </c>
      <c r="I544" s="58" t="s">
        <v>3877</v>
      </c>
      <c r="J544" s="58" t="s">
        <v>3342</v>
      </c>
      <c r="K544" s="58" t="s">
        <v>3868</v>
      </c>
      <c r="L544" s="58">
        <v>377.0</v>
      </c>
      <c r="M544" s="58" t="s">
        <v>3885</v>
      </c>
      <c r="N544" s="58">
        <v>2.0</v>
      </c>
      <c r="O544" s="58" t="b">
        <v>1</v>
      </c>
      <c r="P544" s="58"/>
      <c r="Q544" s="58"/>
      <c r="R544" s="59" t="str">
        <f>IF(COUNTIF('Active Employees'!B:B, B544)&gt;0,"Y","N")</f>
        <v>Y</v>
      </c>
      <c r="S544" s="58"/>
      <c r="T544" s="58"/>
    </row>
    <row r="545">
      <c r="A545" s="58" t="s">
        <v>3183</v>
      </c>
      <c r="B545" s="58" t="s">
        <v>1383</v>
      </c>
      <c r="C545" s="58" t="s">
        <v>3866</v>
      </c>
      <c r="D545" s="58" t="s">
        <v>3867</v>
      </c>
      <c r="E545" s="68">
        <v>45799.77525462963</v>
      </c>
      <c r="F545" s="68">
        <v>45932.07561342593</v>
      </c>
      <c r="G545" s="58">
        <v>0.0</v>
      </c>
      <c r="H545" s="58" t="s">
        <v>3342</v>
      </c>
      <c r="I545" s="58" t="s">
        <v>3877</v>
      </c>
      <c r="J545" s="58" t="s">
        <v>3342</v>
      </c>
      <c r="K545" s="58" t="s">
        <v>3868</v>
      </c>
      <c r="L545" s="58">
        <v>257.0</v>
      </c>
      <c r="M545" s="58" t="s">
        <v>3885</v>
      </c>
      <c r="N545" s="58">
        <v>2.0</v>
      </c>
      <c r="O545" s="58" t="b">
        <v>1</v>
      </c>
      <c r="P545" s="58"/>
      <c r="Q545" s="58"/>
      <c r="R545" s="59" t="str">
        <f>IF(COUNTIF('Active Employees'!B:B, B545)&gt;0,"Y","N")</f>
        <v>Y</v>
      </c>
      <c r="S545" s="58"/>
      <c r="T545" s="58"/>
    </row>
    <row r="546">
      <c r="A546" s="58" t="s">
        <v>3306</v>
      </c>
      <c r="B546" s="58" t="s">
        <v>893</v>
      </c>
      <c r="C546" s="58" t="s">
        <v>3961</v>
      </c>
      <c r="D546" s="58" t="s">
        <v>3962</v>
      </c>
      <c r="E546" s="68">
        <v>45694.813310185185</v>
      </c>
      <c r="F546" s="68">
        <v>45932.523460648146</v>
      </c>
      <c r="G546" s="58">
        <v>0.0</v>
      </c>
      <c r="H546" s="58" t="s">
        <v>3959</v>
      </c>
      <c r="I546" s="58" t="s">
        <v>3960</v>
      </c>
      <c r="J546" s="68">
        <v>45694.78965277778</v>
      </c>
      <c r="K546" s="58" t="s">
        <v>3963</v>
      </c>
      <c r="L546" s="58">
        <v>7007.0</v>
      </c>
      <c r="M546" s="58" t="s">
        <v>3869</v>
      </c>
      <c r="N546" s="58">
        <v>2.0</v>
      </c>
      <c r="O546" s="58" t="b">
        <v>1</v>
      </c>
      <c r="P546" s="58"/>
      <c r="Q546" s="58"/>
      <c r="R546" s="59" t="str">
        <f>IF(COUNTIF('Active Employees'!B:B, B546)&gt;0,"Y","N")</f>
        <v>Y</v>
      </c>
      <c r="S546" s="58"/>
      <c r="T546" s="58"/>
    </row>
    <row r="547">
      <c r="A547" s="58" t="s">
        <v>2988</v>
      </c>
      <c r="B547" s="58" t="s">
        <v>1185</v>
      </c>
      <c r="C547" s="58" t="s">
        <v>3961</v>
      </c>
      <c r="D547" s="58" t="s">
        <v>1440</v>
      </c>
      <c r="E547" s="68">
        <v>45799.77523148148</v>
      </c>
      <c r="F547" s="68">
        <v>45932.45869212963</v>
      </c>
      <c r="G547" s="58">
        <v>0.0</v>
      </c>
      <c r="H547" s="58" t="s">
        <v>3342</v>
      </c>
      <c r="I547" s="58" t="s">
        <v>3877</v>
      </c>
      <c r="J547" s="58" t="s">
        <v>3342</v>
      </c>
      <c r="K547" s="58" t="s">
        <v>3972</v>
      </c>
      <c r="L547" s="58">
        <v>1094.0</v>
      </c>
      <c r="M547" s="58" t="s">
        <v>3885</v>
      </c>
      <c r="N547" s="58">
        <v>2.0</v>
      </c>
      <c r="O547" s="58" t="b">
        <v>1</v>
      </c>
      <c r="P547" s="58"/>
      <c r="Q547" s="58"/>
      <c r="R547" s="59" t="str">
        <f>IF(COUNTIF('Active Employees'!B:B, B547)&gt;0,"Y","N")</f>
        <v>Y</v>
      </c>
      <c r="S547" s="58"/>
      <c r="T547" s="58"/>
    </row>
    <row r="548">
      <c r="A548" s="58" t="s">
        <v>133</v>
      </c>
      <c r="B548" s="58" t="s">
        <v>765</v>
      </c>
      <c r="C548" s="58" t="s">
        <v>4009</v>
      </c>
      <c r="D548" s="58" t="s">
        <v>4010</v>
      </c>
      <c r="E548" s="68">
        <v>45511.89188657407</v>
      </c>
      <c r="F548" s="68">
        <v>45932.04053240741</v>
      </c>
      <c r="G548" s="58">
        <v>0.0</v>
      </c>
      <c r="H548" s="58" t="s">
        <v>3342</v>
      </c>
      <c r="I548" s="58" t="s">
        <v>3877</v>
      </c>
      <c r="J548" s="58" t="s">
        <v>3342</v>
      </c>
      <c r="K548" s="58" t="s">
        <v>4011</v>
      </c>
      <c r="L548" s="58">
        <v>1889.0</v>
      </c>
      <c r="M548" s="58" t="s">
        <v>4062</v>
      </c>
      <c r="N548" s="58">
        <v>3.0</v>
      </c>
      <c r="O548" s="58" t="b">
        <v>1</v>
      </c>
      <c r="P548" s="58"/>
      <c r="Q548" s="58"/>
      <c r="R548" s="59" t="str">
        <f>IF(COUNTIF('Active Employees'!B:B, B548)&gt;0,"Y","N")</f>
        <v>Y</v>
      </c>
      <c r="S548" s="58"/>
      <c r="T548" s="58"/>
    </row>
    <row r="549">
      <c r="A549" s="58" t="s">
        <v>1078</v>
      </c>
      <c r="B549" s="58" t="s">
        <v>928</v>
      </c>
      <c r="C549" s="58" t="s">
        <v>3961</v>
      </c>
      <c r="D549" s="58" t="s">
        <v>1440</v>
      </c>
      <c r="E549" s="68">
        <v>45799.77479166666</v>
      </c>
      <c r="F549" s="68">
        <v>45932.40819444445</v>
      </c>
      <c r="G549" s="58">
        <v>0.0</v>
      </c>
      <c r="H549" s="58" t="s">
        <v>3342</v>
      </c>
      <c r="I549" s="58" t="s">
        <v>3877</v>
      </c>
      <c r="J549" s="58" t="s">
        <v>3342</v>
      </c>
      <c r="K549" s="58" t="s">
        <v>3972</v>
      </c>
      <c r="L549" s="58">
        <v>233.0</v>
      </c>
      <c r="M549" s="58" t="s">
        <v>3869</v>
      </c>
      <c r="N549" s="58">
        <v>2.0</v>
      </c>
      <c r="O549" s="58" t="b">
        <v>1</v>
      </c>
      <c r="P549" s="58"/>
      <c r="Q549" s="58"/>
      <c r="R549" s="59" t="str">
        <f>IF(COUNTIF('Active Employees'!B:B, B549)&gt;0,"Y","N")</f>
        <v>Y</v>
      </c>
      <c r="S549" s="58"/>
      <c r="T549" s="58"/>
    </row>
    <row r="550">
      <c r="A550" s="58" t="s">
        <v>3184</v>
      </c>
      <c r="B550" s="58" t="s">
        <v>200</v>
      </c>
      <c r="C550" s="58" t="s">
        <v>3961</v>
      </c>
      <c r="D550" s="58" t="s">
        <v>1440</v>
      </c>
      <c r="E550" s="68">
        <v>45743.6550462963</v>
      </c>
      <c r="F550" s="68">
        <v>45932.32262731482</v>
      </c>
      <c r="G550" s="58">
        <v>0.0</v>
      </c>
      <c r="H550" s="58" t="s">
        <v>3342</v>
      </c>
      <c r="I550" s="58" t="s">
        <v>3877</v>
      </c>
      <c r="J550" s="58" t="s">
        <v>3342</v>
      </c>
      <c r="K550" s="58" t="s">
        <v>3972</v>
      </c>
      <c r="L550" s="58">
        <v>2671.0</v>
      </c>
      <c r="M550" s="58" t="s">
        <v>3869</v>
      </c>
      <c r="N550" s="58">
        <v>2.0</v>
      </c>
      <c r="O550" s="58" t="b">
        <v>1</v>
      </c>
      <c r="P550" s="58"/>
      <c r="Q550" s="58"/>
      <c r="R550" s="59" t="str">
        <f>IF(COUNTIF('Active Employees'!B:B, B550)&gt;0,"Y","N")</f>
        <v>Y</v>
      </c>
      <c r="S550" s="58"/>
      <c r="T550" s="58"/>
    </row>
    <row r="551">
      <c r="A551" s="58" t="s">
        <v>771</v>
      </c>
      <c r="B551" s="58" t="s">
        <v>856</v>
      </c>
      <c r="C551" s="58" t="s">
        <v>3961</v>
      </c>
      <c r="D551" s="58" t="s">
        <v>3962</v>
      </c>
      <c r="E551" s="68">
        <v>45124.71797453704</v>
      </c>
      <c r="F551" s="68">
        <v>45932.52196759259</v>
      </c>
      <c r="G551" s="58">
        <v>0.0</v>
      </c>
      <c r="H551" s="58" t="s">
        <v>137</v>
      </c>
      <c r="I551" s="58" t="s">
        <v>158</v>
      </c>
      <c r="J551" s="68">
        <v>45124.71760416667</v>
      </c>
      <c r="K551" s="58" t="s">
        <v>3963</v>
      </c>
      <c r="L551" s="58">
        <v>13852.0</v>
      </c>
      <c r="M551" s="58" t="s">
        <v>3873</v>
      </c>
      <c r="N551" s="58">
        <v>2.0</v>
      </c>
      <c r="O551" s="58" t="b">
        <v>1</v>
      </c>
      <c r="P551" s="58"/>
      <c r="Q551" s="58"/>
      <c r="R551" s="59" t="str">
        <f>IF(COUNTIF('Active Employees'!B:B, B551)&gt;0,"Y","N")</f>
        <v>Y</v>
      </c>
      <c r="S551" s="58"/>
      <c r="T551" s="58"/>
    </row>
    <row r="552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</row>
    <row r="553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</row>
    <row r="554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</row>
    <row r="555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</row>
    <row r="556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</row>
    <row r="557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</row>
    <row r="558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</row>
    <row r="559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</row>
    <row r="560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</row>
    <row r="56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</row>
    <row r="562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</row>
    <row r="563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</row>
    <row r="564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</row>
    <row r="565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</row>
    <row r="566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</row>
    <row r="567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</row>
    <row r="568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</row>
    <row r="569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</row>
    <row r="570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</row>
    <row r="57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</row>
    <row r="572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</row>
    <row r="573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</row>
    <row r="574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</row>
    <row r="575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</row>
    <row r="576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</row>
    <row r="577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</row>
    <row r="578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</row>
    <row r="579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</row>
    <row r="580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</row>
    <row r="58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</row>
    <row r="582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</row>
    <row r="583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</row>
    <row r="584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</row>
    <row r="585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</row>
    <row r="586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</row>
    <row r="587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</row>
    <row r="588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</row>
    <row r="589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</row>
    <row r="590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</row>
    <row r="59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</row>
    <row r="592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</row>
    <row r="593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</row>
    <row r="594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</row>
    <row r="595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</row>
    <row r="596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</row>
    <row r="597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</row>
    <row r="598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</row>
    <row r="599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</row>
    <row r="600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</row>
    <row r="60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</row>
    <row r="602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</row>
    <row r="603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</row>
    <row r="604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</row>
    <row r="605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</row>
    <row r="606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</row>
    <row r="607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</row>
    <row r="608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</row>
    <row r="609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</row>
    <row r="610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</row>
    <row r="61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</row>
    <row r="612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</row>
    <row r="613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</row>
    <row r="614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</row>
    <row r="615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</row>
    <row r="616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</row>
    <row r="617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</row>
    <row r="618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</row>
    <row r="619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</row>
    <row r="620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</row>
    <row r="62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</row>
    <row r="622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</row>
    <row r="623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</row>
    <row r="624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</row>
    <row r="625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</row>
    <row r="626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</row>
    <row r="627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</row>
    <row r="628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</row>
    <row r="629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</row>
    <row r="630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</row>
    <row r="63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</row>
    <row r="632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</row>
    <row r="633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</row>
    <row r="634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</row>
    <row r="635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</row>
    <row r="636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</row>
    <row r="637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</row>
    <row r="638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</row>
    <row r="639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</row>
    <row r="640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</row>
    <row r="64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</row>
    <row r="642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</row>
    <row r="643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</row>
    <row r="644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</row>
    <row r="645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</row>
    <row r="646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</row>
    <row r="647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</row>
    <row r="648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</row>
    <row r="649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</row>
    <row r="650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</row>
    <row r="65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</row>
    <row r="652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</row>
    <row r="653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</row>
    <row r="654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</row>
    <row r="655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</row>
    <row r="656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</row>
    <row r="657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</row>
    <row r="658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</row>
    <row r="659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</row>
    <row r="660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</row>
    <row r="66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</row>
    <row r="662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</row>
    <row r="663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</row>
    <row r="664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</row>
    <row r="665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</row>
    <row r="666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</row>
    <row r="667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</row>
    <row r="668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</row>
    <row r="669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</row>
    <row r="670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</row>
    <row r="67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</row>
    <row r="672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</row>
    <row r="673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</row>
    <row r="674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</row>
    <row r="675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</row>
    <row r="676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</row>
    <row r="677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</row>
    <row r="678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</row>
    <row r="679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</row>
    <row r="680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</row>
    <row r="68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</row>
    <row r="682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</row>
    <row r="683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</row>
    <row r="684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</row>
    <row r="685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</row>
    <row r="686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</row>
    <row r="687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</row>
    <row r="688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</row>
    <row r="689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</row>
    <row r="690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</row>
    <row r="69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</row>
    <row r="69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</row>
    <row r="693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</row>
    <row r="694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</row>
    <row r="695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</row>
    <row r="696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</row>
    <row r="697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</row>
    <row r="698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</row>
    <row r="699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</row>
    <row r="700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</row>
    <row r="70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</row>
    <row r="702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</row>
    <row r="703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</row>
    <row r="704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</row>
    <row r="705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</row>
    <row r="706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</row>
    <row r="707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</row>
    <row r="708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</row>
    <row r="709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</row>
    <row r="710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</row>
    <row r="71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</row>
    <row r="712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</row>
    <row r="713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</row>
    <row r="714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</row>
    <row r="715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</row>
    <row r="716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</row>
    <row r="717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</row>
    <row r="718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</row>
    <row r="719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</row>
    <row r="720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</row>
    <row r="72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</row>
    <row r="722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</row>
    <row r="723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</row>
    <row r="724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</row>
    <row r="725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</row>
    <row r="726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</row>
    <row r="727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</row>
    <row r="728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</row>
    <row r="729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</row>
    <row r="730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</row>
    <row r="73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</row>
    <row r="732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</row>
    <row r="733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</row>
    <row r="734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</row>
    <row r="735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</row>
    <row r="736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</row>
    <row r="737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</row>
    <row r="738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</row>
    <row r="739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</row>
    <row r="740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</row>
    <row r="74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</row>
    <row r="742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</row>
    <row r="743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</row>
    <row r="744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</row>
    <row r="745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</row>
    <row r="746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</row>
    <row r="747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</row>
    <row r="748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</row>
    <row r="749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</row>
    <row r="750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</row>
    <row r="75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</row>
    <row r="752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</row>
    <row r="753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</row>
    <row r="754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</row>
    <row r="755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</row>
    <row r="756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</row>
    <row r="757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</row>
    <row r="758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</row>
    <row r="759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</row>
    <row r="760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</row>
    <row r="76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</row>
    <row r="762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</row>
    <row r="763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</row>
    <row r="764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</row>
    <row r="765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</row>
    <row r="766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</row>
    <row r="767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</row>
    <row r="768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</row>
    <row r="769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</row>
    <row r="770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</row>
    <row r="77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</row>
    <row r="772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</row>
    <row r="773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</row>
    <row r="774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</row>
    <row r="775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</row>
    <row r="776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</row>
    <row r="777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</row>
    <row r="778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</row>
    <row r="779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</row>
    <row r="780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</row>
    <row r="78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</row>
    <row r="782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</row>
    <row r="783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</row>
    <row r="784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</row>
    <row r="785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</row>
    <row r="786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</row>
    <row r="787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</row>
    <row r="788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</row>
    <row r="789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</row>
    <row r="790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</row>
    <row r="79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</row>
    <row r="792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</row>
    <row r="793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</row>
    <row r="794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</row>
    <row r="795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</row>
    <row r="796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</row>
    <row r="797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</row>
    <row r="798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</row>
    <row r="799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</row>
    <row r="800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</row>
    <row r="80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</row>
    <row r="802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</row>
    <row r="803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</row>
    <row r="804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</row>
    <row r="805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</row>
    <row r="806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</row>
    <row r="807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</row>
    <row r="808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</row>
    <row r="809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</row>
    <row r="810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</row>
    <row r="81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</row>
    <row r="812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</row>
    <row r="813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</row>
    <row r="814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</row>
    <row r="815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</row>
    <row r="816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</row>
    <row r="817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</row>
    <row r="818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</row>
    <row r="819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</row>
    <row r="820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</row>
    <row r="82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</row>
    <row r="822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</row>
    <row r="823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</row>
    <row r="824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</row>
    <row r="825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</row>
    <row r="826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</row>
    <row r="827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</row>
    <row r="828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</row>
    <row r="829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</row>
    <row r="830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</row>
    <row r="83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</row>
    <row r="832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</row>
    <row r="833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</row>
    <row r="834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</row>
    <row r="835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</row>
    <row r="836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</row>
    <row r="837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</row>
    <row r="838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</row>
    <row r="839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</row>
    <row r="840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</row>
    <row r="84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</row>
    <row r="842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</row>
    <row r="843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</row>
    <row r="844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</row>
    <row r="845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</row>
    <row r="846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</row>
    <row r="847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</row>
    <row r="848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</row>
    <row r="849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</row>
    <row r="850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</row>
    <row r="85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</row>
    <row r="852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</row>
    <row r="853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</row>
    <row r="854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</row>
    <row r="855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</row>
    <row r="856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</row>
    <row r="857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</row>
    <row r="858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</row>
    <row r="859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</row>
    <row r="860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</row>
    <row r="86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</row>
    <row r="862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</row>
    <row r="863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</row>
    <row r="864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</row>
    <row r="865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</row>
    <row r="866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</row>
    <row r="867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</row>
    <row r="868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</row>
    <row r="869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</row>
    <row r="870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</row>
    <row r="87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</row>
    <row r="872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</row>
    <row r="873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</row>
    <row r="874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</row>
    <row r="875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</row>
    <row r="876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</row>
    <row r="877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</row>
    <row r="878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</row>
    <row r="879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</row>
    <row r="880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</row>
    <row r="88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</row>
    <row r="882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</row>
    <row r="883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</row>
    <row r="884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</row>
    <row r="885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</row>
    <row r="886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</row>
    <row r="887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</row>
    <row r="888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</row>
    <row r="889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</row>
    <row r="890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</row>
    <row r="89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</row>
    <row r="892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</row>
    <row r="893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</row>
    <row r="894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</row>
    <row r="895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</row>
    <row r="896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</row>
    <row r="897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</row>
    <row r="898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</row>
    <row r="899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</row>
    <row r="900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</row>
    <row r="90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</row>
    <row r="902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</row>
    <row r="903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</row>
    <row r="904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</row>
    <row r="905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</row>
    <row r="906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</row>
    <row r="907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</row>
    <row r="908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</row>
    <row r="909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</row>
    <row r="910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</row>
    <row r="91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</row>
    <row r="912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</row>
    <row r="913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</row>
    <row r="914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</row>
    <row r="915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</row>
    <row r="916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</row>
    <row r="917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</row>
    <row r="918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</row>
    <row r="919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</row>
    <row r="920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</row>
    <row r="92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</row>
    <row r="922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</row>
    <row r="923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</row>
    <row r="924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</row>
    <row r="925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</row>
    <row r="926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</row>
    <row r="927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</row>
    <row r="928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</row>
    <row r="929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</row>
    <row r="930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</row>
    <row r="93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</row>
    <row r="932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</row>
    <row r="933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</row>
    <row r="934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</row>
    <row r="935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</row>
    <row r="936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</row>
    <row r="937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</row>
    <row r="938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</row>
    <row r="939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</row>
    <row r="940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</row>
    <row r="94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</row>
    <row r="942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</row>
    <row r="943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</row>
    <row r="944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</row>
    <row r="945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</row>
    <row r="946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</row>
    <row r="947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</row>
    <row r="948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</row>
    <row r="949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</row>
    <row r="950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</row>
    <row r="95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</row>
    <row r="952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</row>
    <row r="953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</row>
    <row r="954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</row>
    <row r="955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</row>
    <row r="956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</row>
    <row r="957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</row>
    <row r="958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</row>
    <row r="959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</row>
    <row r="960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</row>
    <row r="96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</row>
    <row r="962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</row>
    <row r="963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</row>
    <row r="964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</row>
    <row r="965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</row>
    <row r="966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</row>
    <row r="967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</row>
    <row r="968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</row>
    <row r="969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</row>
    <row r="970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</row>
    <row r="97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</row>
    <row r="972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</row>
    <row r="973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</row>
    <row r="974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</row>
    <row r="975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</row>
    <row r="976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</row>
    <row r="977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</row>
    <row r="978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</row>
    <row r="979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</row>
    <row r="980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</row>
    <row r="98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</row>
    <row r="982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</row>
    <row r="983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</row>
    <row r="984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</row>
    <row r="985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</row>
    <row r="986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</row>
    <row r="987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</row>
    <row r="988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</row>
    <row r="989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</row>
    <row r="990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</row>
    <row r="99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</row>
    <row r="992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</row>
    <row r="993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</row>
    <row r="994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</row>
    <row r="995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</row>
    <row r="996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</row>
    <row r="997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</row>
    <row r="998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</row>
    <row r="999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</row>
    <row r="1000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</row>
  </sheetData>
  <conditionalFormatting sqref="P2:Q1000">
    <cfRule type="beginsWith" dxfId="0" priority="1" operator="beginsWith" text="Y">
      <formula>LEFT((P2),LEN("Y"))=("Y")</formula>
    </cfRule>
  </conditionalFormatting>
  <conditionalFormatting sqref="P2:Q1000">
    <cfRule type="beginsWith" dxfId="1" priority="2" operator="beginsWith" text="N">
      <formula>LEFT((P2),LEN("N"))=("N")</formula>
    </cfRule>
  </conditionalFormatting>
  <conditionalFormatting sqref="R2:R1000">
    <cfRule type="beginsWith" dxfId="1" priority="3" operator="beginsWith" text="Y">
      <formula>LEFT((R2),LEN("Y"))=("Y")</formula>
    </cfRule>
  </conditionalFormatting>
  <conditionalFormatting sqref="R2:R1000">
    <cfRule type="beginsWith" dxfId="0" priority="4" operator="beginsWith" text="N">
      <formula>LEFT((R2),LEN("N"))=("N")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41.88"/>
    <col customWidth="1" min="2" max="2" width="86.88"/>
    <col customWidth="1" min="3" max="3" width="16.75"/>
    <col customWidth="1" min="4" max="4" width="33.5"/>
  </cols>
  <sheetData>
    <row r="1">
      <c r="A1" s="26" t="s">
        <v>4071</v>
      </c>
      <c r="B1" s="26" t="s">
        <v>4072</v>
      </c>
      <c r="C1" s="26" t="s">
        <v>4073</v>
      </c>
      <c r="D1" s="26" t="s">
        <v>1460</v>
      </c>
      <c r="E1" s="26" t="s">
        <v>1461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>
      <c r="A2" s="31" t="s">
        <v>4074</v>
      </c>
      <c r="B2" s="31" t="s">
        <v>4075</v>
      </c>
      <c r="C2" s="30" t="s">
        <v>4076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</row>
    <row r="3">
      <c r="A3" s="31" t="s">
        <v>4077</v>
      </c>
      <c r="B3" s="31" t="s">
        <v>4078</v>
      </c>
      <c r="C3" s="30" t="s">
        <v>4076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</row>
    <row r="4">
      <c r="A4" s="31" t="s">
        <v>4079</v>
      </c>
      <c r="B4" s="31" t="s">
        <v>4080</v>
      </c>
      <c r="C4" s="30" t="s">
        <v>4076</v>
      </c>
      <c r="D4" s="30"/>
      <c r="E4" s="30"/>
      <c r="F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</row>
    <row r="5">
      <c r="A5" s="31" t="s">
        <v>4081</v>
      </c>
      <c r="B5" s="31" t="s">
        <v>4082</v>
      </c>
      <c r="C5" s="30" t="s">
        <v>4076</v>
      </c>
      <c r="D5" s="30"/>
      <c r="E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</row>
    <row r="6">
      <c r="A6" s="31" t="s">
        <v>4083</v>
      </c>
      <c r="B6" s="31" t="s">
        <v>4080</v>
      </c>
      <c r="C6" s="30" t="s">
        <v>4076</v>
      </c>
      <c r="D6" s="30"/>
      <c r="E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>
      <c r="A7" s="31" t="s">
        <v>4084</v>
      </c>
      <c r="B7" s="31" t="s">
        <v>4082</v>
      </c>
      <c r="C7" s="30" t="s">
        <v>4076</v>
      </c>
      <c r="D7" s="30"/>
      <c r="E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</row>
    <row r="8">
      <c r="A8" s="31" t="s">
        <v>4085</v>
      </c>
      <c r="B8" s="31" t="s">
        <v>4080</v>
      </c>
      <c r="C8" s="30" t="s">
        <v>4076</v>
      </c>
      <c r="D8" s="30"/>
      <c r="E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</row>
    <row r="9">
      <c r="A9" s="30"/>
      <c r="B9" s="30"/>
      <c r="C9" s="30"/>
      <c r="D9" s="30"/>
      <c r="E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</row>
    <row r="10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</row>
    <row r="1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</row>
    <row r="12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</row>
    <row r="1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</row>
    <row r="14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</row>
    <row r="1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</row>
    <row r="16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</row>
    <row r="17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</row>
    <row r="18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</row>
    <row r="19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</row>
    <row r="20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</row>
    <row r="2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</row>
    <row r="22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</row>
    <row r="2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</row>
    <row r="24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</row>
    <row r="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</row>
    <row r="2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</row>
    <row r="27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</row>
    <row r="28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</row>
    <row r="29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</row>
    <row r="30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</row>
    <row r="3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</row>
    <row r="32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</row>
    <row r="33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</row>
    <row r="36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</row>
  </sheetData>
  <mergeCells count="1">
    <mergeCell ref="F4:J9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26.25"/>
    <col customWidth="1" min="3" max="3" width="14.25"/>
  </cols>
  <sheetData>
    <row r="1">
      <c r="A1" s="69" t="s">
        <v>3325</v>
      </c>
      <c r="B1" s="70" t="s">
        <v>4086</v>
      </c>
      <c r="C1" s="49" t="s">
        <v>1462</v>
      </c>
      <c r="D1" s="49" t="s">
        <v>4087</v>
      </c>
    </row>
    <row r="2">
      <c r="A2" s="69" t="s">
        <v>1397</v>
      </c>
      <c r="B2" s="71" t="s">
        <v>4088</v>
      </c>
      <c r="C2" s="49" t="s">
        <v>1469</v>
      </c>
      <c r="D2" s="49" t="s">
        <v>4089</v>
      </c>
    </row>
    <row r="3">
      <c r="A3" s="71" t="s">
        <v>1151</v>
      </c>
      <c r="B3" s="71" t="s">
        <v>4090</v>
      </c>
      <c r="C3" s="49" t="s">
        <v>1469</v>
      </c>
      <c r="D3" s="49" t="s">
        <v>4089</v>
      </c>
    </row>
    <row r="4">
      <c r="A4" s="71" t="s">
        <v>666</v>
      </c>
      <c r="B4" s="71" t="s">
        <v>4091</v>
      </c>
      <c r="C4" s="49" t="s">
        <v>1469</v>
      </c>
      <c r="D4" s="49" t="s">
        <v>4089</v>
      </c>
    </row>
    <row r="5">
      <c r="A5" s="71" t="s">
        <v>587</v>
      </c>
      <c r="B5" s="72" t="s">
        <v>4090</v>
      </c>
      <c r="C5" s="49" t="s">
        <v>1469</v>
      </c>
      <c r="D5" s="49" t="s">
        <v>4089</v>
      </c>
    </row>
    <row r="6">
      <c r="A6" s="73" t="s">
        <v>49</v>
      </c>
      <c r="B6" s="73" t="s">
        <v>4090</v>
      </c>
      <c r="C6" s="49" t="s">
        <v>1469</v>
      </c>
      <c r="D6" s="49" t="s">
        <v>4089</v>
      </c>
    </row>
    <row r="7">
      <c r="A7" s="73" t="s">
        <v>532</v>
      </c>
      <c r="B7" s="73" t="s">
        <v>4091</v>
      </c>
      <c r="C7" s="49" t="s">
        <v>1469</v>
      </c>
      <c r="D7" s="49" t="s">
        <v>4089</v>
      </c>
    </row>
    <row r="8">
      <c r="A8" s="73" t="s">
        <v>510</v>
      </c>
      <c r="B8" s="73" t="s">
        <v>4090</v>
      </c>
      <c r="C8" s="49" t="s">
        <v>1469</v>
      </c>
      <c r="D8" s="49" t="s">
        <v>4089</v>
      </c>
    </row>
    <row r="9">
      <c r="A9" s="73" t="s">
        <v>630</v>
      </c>
      <c r="B9" s="73" t="s">
        <v>4090</v>
      </c>
      <c r="C9" s="49" t="s">
        <v>1469</v>
      </c>
      <c r="D9" s="49" t="s">
        <v>4089</v>
      </c>
    </row>
    <row r="10">
      <c r="A10" s="73" t="s">
        <v>584</v>
      </c>
      <c r="B10" s="73" t="s">
        <v>4088</v>
      </c>
      <c r="C10" s="49" t="s">
        <v>1469</v>
      </c>
      <c r="D10" s="49" t="s">
        <v>4089</v>
      </c>
    </row>
    <row r="11">
      <c r="A11" s="73" t="s">
        <v>1141</v>
      </c>
      <c r="B11" s="73" t="s">
        <v>4091</v>
      </c>
      <c r="C11" s="49" t="s">
        <v>1469</v>
      </c>
      <c r="D11" s="49" t="s">
        <v>4089</v>
      </c>
    </row>
    <row r="12">
      <c r="A12" s="73" t="s">
        <v>597</v>
      </c>
      <c r="B12" s="73" t="s">
        <v>4088</v>
      </c>
      <c r="C12" s="49" t="s">
        <v>1469</v>
      </c>
      <c r="D12" s="49" t="s">
        <v>4089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88"/>
    <col customWidth="1" min="2" max="2" width="23.13"/>
    <col hidden="1" min="5" max="6" width="12.63"/>
    <col hidden="1" min="8" max="9" width="12.63"/>
  </cols>
  <sheetData>
    <row r="1">
      <c r="A1" s="49" t="s">
        <v>1475</v>
      </c>
      <c r="B1" s="49" t="s">
        <v>1476</v>
      </c>
      <c r="C1" s="49" t="s">
        <v>4092</v>
      </c>
      <c r="D1" s="49" t="s">
        <v>4093</v>
      </c>
      <c r="E1" s="49" t="s">
        <v>4094</v>
      </c>
      <c r="F1" s="49" t="s">
        <v>1477</v>
      </c>
      <c r="G1" s="49" t="s">
        <v>1478</v>
      </c>
      <c r="H1" s="49" t="s">
        <v>1479</v>
      </c>
      <c r="I1" s="49" t="s">
        <v>4095</v>
      </c>
      <c r="J1" s="49" t="s">
        <v>1462</v>
      </c>
      <c r="K1" s="49" t="s">
        <v>4087</v>
      </c>
    </row>
    <row r="2" hidden="1">
      <c r="A2" s="73" t="s">
        <v>4096</v>
      </c>
      <c r="B2" s="73" t="s">
        <v>1756</v>
      </c>
      <c r="C2" s="73" t="b">
        <v>1</v>
      </c>
      <c r="D2" s="73" t="s">
        <v>4097</v>
      </c>
      <c r="E2" s="21"/>
      <c r="F2" s="73" t="b">
        <v>0</v>
      </c>
      <c r="G2" s="73" t="s">
        <v>4098</v>
      </c>
      <c r="I2" s="49">
        <v>0.0</v>
      </c>
      <c r="J2" s="49" t="s">
        <v>1469</v>
      </c>
      <c r="K2" s="49" t="s">
        <v>4089</v>
      </c>
    </row>
    <row r="3" hidden="1">
      <c r="A3" s="73" t="s">
        <v>4099</v>
      </c>
      <c r="B3" s="73" t="s">
        <v>4100</v>
      </c>
      <c r="C3" s="73" t="b">
        <v>1</v>
      </c>
      <c r="D3" s="73" t="s">
        <v>4101</v>
      </c>
      <c r="E3" s="21"/>
      <c r="F3" s="73" t="b">
        <v>0</v>
      </c>
      <c r="G3" s="73" t="s">
        <v>4098</v>
      </c>
      <c r="I3" s="49">
        <v>0.0</v>
      </c>
      <c r="J3" s="49" t="s">
        <v>1469</v>
      </c>
      <c r="K3" s="49" t="s">
        <v>4089</v>
      </c>
    </row>
    <row r="4" hidden="1">
      <c r="A4" s="73" t="s">
        <v>4102</v>
      </c>
      <c r="B4" s="73" t="s">
        <v>4103</v>
      </c>
      <c r="C4" s="73" t="b">
        <v>1</v>
      </c>
      <c r="D4" s="73" t="s">
        <v>4097</v>
      </c>
      <c r="E4" s="21"/>
      <c r="F4" s="73" t="b">
        <v>0</v>
      </c>
      <c r="G4" s="73" t="s">
        <v>4098</v>
      </c>
      <c r="I4" s="49">
        <v>0.0</v>
      </c>
    </row>
    <row r="5" hidden="1">
      <c r="A5" s="73" t="s">
        <v>4104</v>
      </c>
      <c r="B5" s="73" t="s">
        <v>3263</v>
      </c>
      <c r="C5" s="73" t="b">
        <v>1</v>
      </c>
      <c r="D5" s="73" t="s">
        <v>4097</v>
      </c>
      <c r="E5" s="21"/>
      <c r="F5" s="73" t="b">
        <v>0</v>
      </c>
      <c r="G5" s="73" t="s">
        <v>4098</v>
      </c>
      <c r="I5" s="49">
        <v>0.0</v>
      </c>
      <c r="J5" s="49" t="s">
        <v>1469</v>
      </c>
      <c r="K5" s="49" t="s">
        <v>4089</v>
      </c>
    </row>
    <row r="6" hidden="1">
      <c r="A6" s="73" t="s">
        <v>4105</v>
      </c>
      <c r="B6" s="73" t="s">
        <v>3242</v>
      </c>
      <c r="C6" s="73" t="b">
        <v>1</v>
      </c>
      <c r="D6" s="73" t="s">
        <v>4097</v>
      </c>
      <c r="E6" s="21"/>
      <c r="F6" s="73" t="b">
        <v>0</v>
      </c>
      <c r="G6" s="73" t="s">
        <v>4098</v>
      </c>
      <c r="I6" s="49">
        <v>0.0</v>
      </c>
      <c r="J6" s="49" t="s">
        <v>1469</v>
      </c>
      <c r="K6" s="49" t="s">
        <v>4089</v>
      </c>
    </row>
    <row r="7">
      <c r="A7" s="73" t="s">
        <v>1484</v>
      </c>
      <c r="B7" s="73" t="s">
        <v>1485</v>
      </c>
      <c r="C7" s="73" t="b">
        <v>1</v>
      </c>
      <c r="D7" s="73" t="s">
        <v>4097</v>
      </c>
      <c r="E7" s="21"/>
      <c r="F7" s="73" t="b">
        <v>0</v>
      </c>
      <c r="G7" s="73" t="s">
        <v>1481</v>
      </c>
      <c r="I7" s="49">
        <v>0.0</v>
      </c>
      <c r="J7" s="49" t="s">
        <v>1469</v>
      </c>
      <c r="K7" s="49" t="s">
        <v>4089</v>
      </c>
    </row>
    <row r="8" hidden="1">
      <c r="A8" s="73" t="s">
        <v>4106</v>
      </c>
      <c r="B8" s="73" t="s">
        <v>4056</v>
      </c>
      <c r="C8" s="73" t="b">
        <v>1</v>
      </c>
      <c r="D8" s="73" t="s">
        <v>4101</v>
      </c>
      <c r="E8" s="21"/>
      <c r="F8" s="73" t="b">
        <v>0</v>
      </c>
      <c r="G8" s="73" t="s">
        <v>4098</v>
      </c>
      <c r="I8" s="49">
        <v>0.0</v>
      </c>
      <c r="J8" s="49" t="s">
        <v>1469</v>
      </c>
      <c r="K8" s="49" t="s">
        <v>4089</v>
      </c>
    </row>
    <row r="9" hidden="1">
      <c r="A9" s="73" t="s">
        <v>4107</v>
      </c>
      <c r="B9" s="73" t="s">
        <v>3064</v>
      </c>
      <c r="C9" s="73" t="b">
        <v>1</v>
      </c>
      <c r="D9" s="73" t="s">
        <v>4097</v>
      </c>
      <c r="E9" s="21"/>
      <c r="F9" s="73" t="b">
        <v>0</v>
      </c>
      <c r="G9" s="73" t="s">
        <v>4098</v>
      </c>
      <c r="I9" s="49">
        <v>0.0</v>
      </c>
      <c r="J9" s="49" t="s">
        <v>1469</v>
      </c>
      <c r="K9" s="49" t="s">
        <v>4089</v>
      </c>
    </row>
    <row r="10" hidden="1">
      <c r="A10" s="73" t="s">
        <v>4108</v>
      </c>
      <c r="B10" s="73" t="s">
        <v>3290</v>
      </c>
      <c r="C10" s="73" t="b">
        <v>1</v>
      </c>
      <c r="D10" s="73" t="s">
        <v>4101</v>
      </c>
      <c r="E10" s="21"/>
      <c r="F10" s="73" t="b">
        <v>0</v>
      </c>
      <c r="G10" s="73" t="s">
        <v>4098</v>
      </c>
      <c r="I10" s="49">
        <v>0.0</v>
      </c>
      <c r="J10" s="49" t="s">
        <v>1469</v>
      </c>
      <c r="K10" s="49" t="s">
        <v>4089</v>
      </c>
    </row>
    <row r="11" hidden="1">
      <c r="A11" s="73" t="s">
        <v>4109</v>
      </c>
      <c r="B11" s="73" t="s">
        <v>4110</v>
      </c>
      <c r="C11" s="73" t="b">
        <v>1</v>
      </c>
      <c r="D11" s="73" t="s">
        <v>4101</v>
      </c>
      <c r="E11" s="21"/>
      <c r="F11" s="73" t="b">
        <v>0</v>
      </c>
      <c r="G11" s="73" t="s">
        <v>4098</v>
      </c>
      <c r="I11" s="49">
        <v>0.0</v>
      </c>
      <c r="J11" s="49" t="s">
        <v>1469</v>
      </c>
      <c r="K11" s="49" t="s">
        <v>4089</v>
      </c>
    </row>
    <row r="12" hidden="1">
      <c r="A12" s="73" t="s">
        <v>4111</v>
      </c>
      <c r="B12" s="73" t="s">
        <v>3008</v>
      </c>
      <c r="C12" s="73" t="b">
        <v>1</v>
      </c>
      <c r="D12" s="73" t="s">
        <v>4101</v>
      </c>
      <c r="E12" s="21"/>
      <c r="F12" s="73" t="b">
        <v>0</v>
      </c>
      <c r="G12" s="73" t="s">
        <v>4098</v>
      </c>
      <c r="I12" s="49">
        <v>0.0</v>
      </c>
      <c r="J12" s="49" t="s">
        <v>1469</v>
      </c>
      <c r="K12" s="49" t="s">
        <v>4089</v>
      </c>
    </row>
    <row r="13" hidden="1">
      <c r="A13" s="73" t="s">
        <v>4112</v>
      </c>
      <c r="B13" s="73" t="s">
        <v>3993</v>
      </c>
      <c r="C13" s="73" t="b">
        <v>1</v>
      </c>
      <c r="D13" s="73" t="s">
        <v>4097</v>
      </c>
      <c r="E13" s="21"/>
      <c r="F13" s="73" t="b">
        <v>0</v>
      </c>
      <c r="G13" s="73" t="s">
        <v>4098</v>
      </c>
      <c r="I13" s="49">
        <v>0.0</v>
      </c>
      <c r="J13" s="49" t="s">
        <v>1469</v>
      </c>
      <c r="K13" s="49" t="s">
        <v>4089</v>
      </c>
    </row>
    <row r="14">
      <c r="A14" s="73" t="s">
        <v>1489</v>
      </c>
      <c r="B14" s="73" t="s">
        <v>1490</v>
      </c>
      <c r="C14" s="73" t="b">
        <v>1</v>
      </c>
      <c r="D14" s="73" t="s">
        <v>4097</v>
      </c>
      <c r="E14" s="21"/>
      <c r="F14" s="73" t="b">
        <v>0</v>
      </c>
      <c r="G14" s="73" t="s">
        <v>1481</v>
      </c>
      <c r="I14" s="49">
        <v>0.0</v>
      </c>
      <c r="J14" s="49" t="s">
        <v>1469</v>
      </c>
      <c r="K14" s="49" t="s">
        <v>4089</v>
      </c>
    </row>
    <row r="15" hidden="1">
      <c r="A15" s="73" t="s">
        <v>4113</v>
      </c>
      <c r="B15" s="73" t="s">
        <v>1859</v>
      </c>
      <c r="C15" s="73" t="b">
        <v>1</v>
      </c>
      <c r="D15" s="73" t="s">
        <v>4097</v>
      </c>
      <c r="E15" s="21"/>
      <c r="F15" s="73" t="b">
        <v>0</v>
      </c>
      <c r="G15" s="73" t="s">
        <v>4098</v>
      </c>
      <c r="I15" s="49">
        <v>0.0</v>
      </c>
      <c r="J15" s="49" t="s">
        <v>1469</v>
      </c>
      <c r="K15" s="49" t="s">
        <v>4089</v>
      </c>
    </row>
    <row r="16">
      <c r="A16" s="73" t="s">
        <v>1493</v>
      </c>
      <c r="B16" s="73" t="s">
        <v>1494</v>
      </c>
      <c r="C16" s="73" t="b">
        <v>1</v>
      </c>
      <c r="D16" s="73" t="s">
        <v>4097</v>
      </c>
      <c r="E16" s="21"/>
      <c r="F16" s="73" t="b">
        <v>0</v>
      </c>
      <c r="G16" s="73" t="s">
        <v>1481</v>
      </c>
      <c r="I16" s="49">
        <v>0.0</v>
      </c>
      <c r="J16" s="49" t="s">
        <v>1469</v>
      </c>
      <c r="K16" s="49" t="s">
        <v>4089</v>
      </c>
    </row>
    <row r="17">
      <c r="A17" s="73" t="s">
        <v>1495</v>
      </c>
      <c r="B17" s="73" t="s">
        <v>1496</v>
      </c>
      <c r="C17" s="73" t="b">
        <v>1</v>
      </c>
      <c r="D17" s="73" t="s">
        <v>4097</v>
      </c>
      <c r="E17" s="21"/>
      <c r="F17" s="73" t="b">
        <v>0</v>
      </c>
      <c r="G17" s="73" t="s">
        <v>1481</v>
      </c>
      <c r="I17" s="49">
        <v>0.0</v>
      </c>
      <c r="J17" s="49" t="s">
        <v>1469</v>
      </c>
      <c r="K17" s="49" t="s">
        <v>4089</v>
      </c>
    </row>
    <row r="18" hidden="1">
      <c r="A18" s="73" t="s">
        <v>4114</v>
      </c>
      <c r="B18" s="73" t="s">
        <v>3118</v>
      </c>
      <c r="C18" s="73" t="b">
        <v>1</v>
      </c>
      <c r="D18" s="73" t="s">
        <v>4097</v>
      </c>
      <c r="E18" s="21"/>
      <c r="F18" s="73" t="b">
        <v>0</v>
      </c>
      <c r="G18" s="73" t="s">
        <v>4098</v>
      </c>
      <c r="I18" s="49">
        <v>0.0</v>
      </c>
      <c r="J18" s="49" t="s">
        <v>1469</v>
      </c>
      <c r="K18" s="49" t="s">
        <v>4089</v>
      </c>
    </row>
    <row r="19" hidden="1">
      <c r="A19" s="73" t="s">
        <v>4115</v>
      </c>
      <c r="B19" s="73" t="s">
        <v>4016</v>
      </c>
      <c r="C19" s="73" t="b">
        <v>1</v>
      </c>
      <c r="D19" s="73" t="s">
        <v>4101</v>
      </c>
      <c r="E19" s="21"/>
      <c r="F19" s="73" t="b">
        <v>0</v>
      </c>
      <c r="G19" s="73" t="s">
        <v>4098</v>
      </c>
      <c r="I19" s="49">
        <v>0.0</v>
      </c>
      <c r="J19" s="49" t="s">
        <v>1469</v>
      </c>
      <c r="K19" s="49" t="s">
        <v>4089</v>
      </c>
    </row>
    <row r="20" hidden="1">
      <c r="A20" s="73" t="s">
        <v>4116</v>
      </c>
      <c r="B20" s="73" t="s">
        <v>4018</v>
      </c>
      <c r="C20" s="73" t="b">
        <v>1</v>
      </c>
      <c r="D20" s="73" t="s">
        <v>4101</v>
      </c>
      <c r="E20" s="21"/>
      <c r="F20" s="73" t="b">
        <v>0</v>
      </c>
      <c r="G20" s="73" t="s">
        <v>4098</v>
      </c>
      <c r="I20" s="49">
        <v>0.0</v>
      </c>
      <c r="J20" s="49" t="s">
        <v>1469</v>
      </c>
      <c r="K20" s="49" t="s">
        <v>4089</v>
      </c>
    </row>
    <row r="21" hidden="1">
      <c r="A21" s="73" t="s">
        <v>4117</v>
      </c>
      <c r="B21" s="73" t="s">
        <v>2960</v>
      </c>
      <c r="C21" s="73" t="b">
        <v>1</v>
      </c>
      <c r="D21" s="73" t="s">
        <v>4097</v>
      </c>
      <c r="E21" s="21"/>
      <c r="F21" s="73" t="b">
        <v>0</v>
      </c>
      <c r="G21" s="73" t="s">
        <v>4098</v>
      </c>
      <c r="I21" s="49">
        <v>0.0</v>
      </c>
      <c r="J21" s="49" t="s">
        <v>1469</v>
      </c>
      <c r="K21" s="49" t="s">
        <v>4089</v>
      </c>
    </row>
    <row r="22">
      <c r="A22" s="73" t="s">
        <v>1498</v>
      </c>
      <c r="B22" s="73" t="s">
        <v>1499</v>
      </c>
      <c r="C22" s="73" t="b">
        <v>1</v>
      </c>
      <c r="D22" s="73" t="s">
        <v>4097</v>
      </c>
      <c r="E22" s="21"/>
      <c r="F22" s="73" t="b">
        <v>0</v>
      </c>
      <c r="G22" s="73" t="s">
        <v>1481</v>
      </c>
      <c r="I22" s="49">
        <v>0.0</v>
      </c>
      <c r="J22" s="49" t="s">
        <v>1469</v>
      </c>
      <c r="K22" s="49" t="s">
        <v>4089</v>
      </c>
    </row>
    <row r="23" hidden="1">
      <c r="A23" s="73" t="s">
        <v>4118</v>
      </c>
      <c r="B23" s="73" t="s">
        <v>4046</v>
      </c>
      <c r="C23" s="73" t="b">
        <v>1</v>
      </c>
      <c r="D23" s="73" t="s">
        <v>4101</v>
      </c>
      <c r="E23" s="21"/>
      <c r="F23" s="73" t="b">
        <v>0</v>
      </c>
      <c r="G23" s="73" t="s">
        <v>4098</v>
      </c>
      <c r="I23" s="49">
        <v>0.0</v>
      </c>
      <c r="J23" s="49" t="s">
        <v>1469</v>
      </c>
      <c r="K23" s="49" t="s">
        <v>4089</v>
      </c>
    </row>
    <row r="24" hidden="1">
      <c r="A24" s="73" t="s">
        <v>1507</v>
      </c>
      <c r="B24" s="73" t="s">
        <v>1508</v>
      </c>
      <c r="C24" s="73" t="b">
        <v>1</v>
      </c>
      <c r="D24" s="73" t="s">
        <v>4097</v>
      </c>
      <c r="E24" s="21"/>
      <c r="F24" s="73" t="b">
        <v>1</v>
      </c>
      <c r="G24" s="73" t="s">
        <v>4098</v>
      </c>
      <c r="I24" s="49">
        <v>0.0</v>
      </c>
      <c r="J24" s="49" t="s">
        <v>1469</v>
      </c>
      <c r="K24" s="49" t="s">
        <v>4089</v>
      </c>
    </row>
    <row r="25">
      <c r="A25" s="73" t="s">
        <v>1511</v>
      </c>
      <c r="B25" s="73" t="s">
        <v>4119</v>
      </c>
      <c r="C25" s="73" t="b">
        <v>1</v>
      </c>
      <c r="D25" s="73" t="s">
        <v>4101</v>
      </c>
      <c r="E25" s="21"/>
      <c r="F25" s="73" t="b">
        <v>0</v>
      </c>
      <c r="G25" s="73" t="s">
        <v>1481</v>
      </c>
      <c r="I25" s="49">
        <v>0.0</v>
      </c>
      <c r="J25" s="49" t="s">
        <v>1469</v>
      </c>
      <c r="K25" s="49" t="s">
        <v>4089</v>
      </c>
    </row>
    <row r="26" hidden="1">
      <c r="A26" s="73" t="s">
        <v>4120</v>
      </c>
      <c r="B26" s="73" t="s">
        <v>4002</v>
      </c>
      <c r="C26" s="73" t="b">
        <v>1</v>
      </c>
      <c r="D26" s="73" t="s">
        <v>4097</v>
      </c>
      <c r="E26" s="21"/>
      <c r="F26" s="73" t="b">
        <v>0</v>
      </c>
      <c r="G26" s="73" t="s">
        <v>4098</v>
      </c>
      <c r="I26" s="49">
        <v>0.0</v>
      </c>
      <c r="J26" s="49" t="s">
        <v>1469</v>
      </c>
      <c r="K26" s="49" t="s">
        <v>4089</v>
      </c>
    </row>
    <row r="27">
      <c r="A27" s="73" t="s">
        <v>1514</v>
      </c>
      <c r="B27" s="73" t="s">
        <v>1515</v>
      </c>
      <c r="C27" s="73" t="b">
        <v>1</v>
      </c>
      <c r="D27" s="73" t="s">
        <v>4097</v>
      </c>
      <c r="E27" s="21"/>
      <c r="F27" s="73" t="b">
        <v>0</v>
      </c>
      <c r="G27" s="73" t="s">
        <v>1481</v>
      </c>
      <c r="I27" s="49">
        <v>0.0</v>
      </c>
      <c r="J27" s="49" t="s">
        <v>1469</v>
      </c>
      <c r="K27" s="49" t="s">
        <v>4089</v>
      </c>
    </row>
    <row r="28">
      <c r="A28" s="73" t="s">
        <v>4121</v>
      </c>
      <c r="B28" s="73" t="s">
        <v>568</v>
      </c>
      <c r="C28" s="73" t="b">
        <v>1</v>
      </c>
      <c r="D28" s="73" t="s">
        <v>4097</v>
      </c>
      <c r="E28" s="21"/>
      <c r="F28" s="73" t="b">
        <v>0</v>
      </c>
      <c r="G28" s="73" t="s">
        <v>1481</v>
      </c>
      <c r="I28" s="49">
        <v>0.0</v>
      </c>
      <c r="J28" s="49" t="s">
        <v>1469</v>
      </c>
      <c r="K28" s="49" t="s">
        <v>4089</v>
      </c>
    </row>
    <row r="29">
      <c r="A29" s="73" t="s">
        <v>4122</v>
      </c>
      <c r="B29" s="73" t="s">
        <v>3983</v>
      </c>
      <c r="C29" s="73" t="b">
        <v>1</v>
      </c>
      <c r="D29" s="73" t="s">
        <v>4097</v>
      </c>
      <c r="E29" s="21"/>
      <c r="F29" s="73" t="b">
        <v>0</v>
      </c>
      <c r="G29" s="73" t="s">
        <v>1481</v>
      </c>
      <c r="I29" s="49">
        <v>0.0</v>
      </c>
      <c r="J29" s="49" t="s">
        <v>1469</v>
      </c>
      <c r="K29" s="49" t="s">
        <v>4089</v>
      </c>
    </row>
    <row r="30" hidden="1">
      <c r="A30" s="73" t="s">
        <v>4123</v>
      </c>
      <c r="B30" s="73" t="s">
        <v>4031</v>
      </c>
      <c r="C30" s="73" t="b">
        <v>1</v>
      </c>
      <c r="D30" s="73" t="s">
        <v>4097</v>
      </c>
      <c r="E30" s="21"/>
      <c r="F30" s="73" t="b">
        <v>0</v>
      </c>
      <c r="G30" s="73" t="s">
        <v>4098</v>
      </c>
      <c r="I30" s="49">
        <v>0.0</v>
      </c>
      <c r="J30" s="49" t="s">
        <v>1469</v>
      </c>
      <c r="K30" s="49" t="s">
        <v>4089</v>
      </c>
    </row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G$1:$G$1000">
    <filterColumn colId="0">
      <filters>
        <filter val="Owner"/>
      </filters>
    </filterColumn>
  </autoFil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2.0"/>
    <col hidden="1" min="5" max="6" width="12.63"/>
    <col hidden="1" min="8" max="8" width="12.63"/>
    <col customWidth="1" hidden="1" min="9" max="9" width="19.0"/>
  </cols>
  <sheetData>
    <row r="1">
      <c r="A1" s="49" t="s">
        <v>1475</v>
      </c>
      <c r="B1" s="49" t="s">
        <v>1476</v>
      </c>
      <c r="C1" s="49" t="s">
        <v>4092</v>
      </c>
      <c r="D1" s="49" t="s">
        <v>4093</v>
      </c>
      <c r="E1" s="49" t="s">
        <v>4094</v>
      </c>
      <c r="F1" s="49" t="s">
        <v>1477</v>
      </c>
      <c r="G1" s="49" t="s">
        <v>1478</v>
      </c>
      <c r="H1" s="49" t="s">
        <v>1479</v>
      </c>
      <c r="I1" s="49" t="s">
        <v>4095</v>
      </c>
      <c r="J1" s="49" t="s">
        <v>1462</v>
      </c>
      <c r="K1" s="49" t="s">
        <v>4087</v>
      </c>
    </row>
    <row r="2">
      <c r="A2" s="73" t="s">
        <v>4102</v>
      </c>
      <c r="B2" s="73" t="s">
        <v>4103</v>
      </c>
      <c r="C2" s="73" t="b">
        <v>1</v>
      </c>
      <c r="D2" s="73" t="s">
        <v>4097</v>
      </c>
      <c r="E2" s="21"/>
      <c r="F2" s="73" t="b">
        <v>0</v>
      </c>
      <c r="G2" s="73" t="s">
        <v>1481</v>
      </c>
      <c r="I2" s="49">
        <v>0.0</v>
      </c>
    </row>
    <row r="3" hidden="1">
      <c r="A3" s="73" t="s">
        <v>4104</v>
      </c>
      <c r="B3" s="73" t="s">
        <v>3263</v>
      </c>
      <c r="C3" s="73" t="b">
        <v>1</v>
      </c>
      <c r="D3" s="73" t="s">
        <v>4097</v>
      </c>
      <c r="E3" s="21"/>
      <c r="F3" s="73" t="b">
        <v>0</v>
      </c>
      <c r="G3" s="73" t="s">
        <v>4098</v>
      </c>
      <c r="I3" s="49">
        <v>0.0</v>
      </c>
      <c r="J3" s="49" t="s">
        <v>1469</v>
      </c>
      <c r="K3" s="49" t="s">
        <v>4089</v>
      </c>
    </row>
    <row r="4">
      <c r="A4" s="73" t="s">
        <v>1484</v>
      </c>
      <c r="B4" s="73" t="s">
        <v>1485</v>
      </c>
      <c r="C4" s="73" t="b">
        <v>1</v>
      </c>
      <c r="D4" s="73" t="s">
        <v>4097</v>
      </c>
      <c r="E4" s="21"/>
      <c r="F4" s="73" t="b">
        <v>0</v>
      </c>
      <c r="G4" s="73" t="s">
        <v>1481</v>
      </c>
      <c r="I4" s="49">
        <v>0.0</v>
      </c>
      <c r="J4" s="49" t="s">
        <v>1469</v>
      </c>
      <c r="K4" s="49" t="s">
        <v>4089</v>
      </c>
    </row>
    <row r="5" hidden="1">
      <c r="A5" s="73" t="s">
        <v>4106</v>
      </c>
      <c r="B5" s="73" t="s">
        <v>4056</v>
      </c>
      <c r="C5" s="73" t="b">
        <v>1</v>
      </c>
      <c r="D5" s="73" t="s">
        <v>4101</v>
      </c>
      <c r="E5" s="21"/>
      <c r="F5" s="73" t="b">
        <v>0</v>
      </c>
      <c r="G5" s="73" t="s">
        <v>4098</v>
      </c>
      <c r="I5" s="49">
        <v>0.0</v>
      </c>
      <c r="J5" s="49" t="s">
        <v>1469</v>
      </c>
      <c r="K5" s="49" t="s">
        <v>4089</v>
      </c>
    </row>
    <row r="6" hidden="1">
      <c r="A6" s="73" t="s">
        <v>4112</v>
      </c>
      <c r="B6" s="73" t="s">
        <v>3993</v>
      </c>
      <c r="C6" s="73" t="b">
        <v>1</v>
      </c>
      <c r="D6" s="73" t="s">
        <v>4097</v>
      </c>
      <c r="E6" s="21"/>
      <c r="F6" s="73" t="b">
        <v>0</v>
      </c>
      <c r="G6" s="73" t="s">
        <v>4098</v>
      </c>
      <c r="I6" s="49">
        <v>0.0</v>
      </c>
      <c r="J6" s="49" t="s">
        <v>1469</v>
      </c>
      <c r="K6" s="49" t="s">
        <v>4089</v>
      </c>
    </row>
    <row r="7" hidden="1">
      <c r="A7" s="73" t="s">
        <v>4115</v>
      </c>
      <c r="B7" s="73" t="s">
        <v>4016</v>
      </c>
      <c r="C7" s="73" t="b">
        <v>1</v>
      </c>
      <c r="D7" s="73" t="s">
        <v>4101</v>
      </c>
      <c r="E7" s="21"/>
      <c r="F7" s="73" t="b">
        <v>0</v>
      </c>
      <c r="G7" s="73" t="s">
        <v>4098</v>
      </c>
      <c r="I7" s="49">
        <v>0.0</v>
      </c>
      <c r="J7" s="49" t="s">
        <v>1469</v>
      </c>
      <c r="K7" s="49" t="s">
        <v>4089</v>
      </c>
    </row>
    <row r="8" hidden="1">
      <c r="A8" s="73" t="s">
        <v>4116</v>
      </c>
      <c r="B8" s="73" t="s">
        <v>4018</v>
      </c>
      <c r="C8" s="73" t="b">
        <v>1</v>
      </c>
      <c r="D8" s="73" t="s">
        <v>4101</v>
      </c>
      <c r="E8" s="21"/>
      <c r="F8" s="73" t="b">
        <v>0</v>
      </c>
      <c r="G8" s="73" t="s">
        <v>4098</v>
      </c>
      <c r="I8" s="49">
        <v>0.0</v>
      </c>
      <c r="J8" s="49" t="s">
        <v>1469</v>
      </c>
      <c r="K8" s="49" t="s">
        <v>4089</v>
      </c>
    </row>
    <row r="9">
      <c r="A9" s="73" t="s">
        <v>1498</v>
      </c>
      <c r="B9" s="73" t="s">
        <v>1499</v>
      </c>
      <c r="C9" s="73" t="b">
        <v>1</v>
      </c>
      <c r="D9" s="73" t="s">
        <v>4097</v>
      </c>
      <c r="E9" s="21"/>
      <c r="F9" s="73" t="b">
        <v>0</v>
      </c>
      <c r="G9" s="73" t="s">
        <v>1481</v>
      </c>
      <c r="I9" s="49">
        <v>0.0</v>
      </c>
      <c r="J9" s="49" t="s">
        <v>1469</v>
      </c>
      <c r="K9" s="49" t="s">
        <v>4089</v>
      </c>
    </row>
    <row r="10" hidden="1">
      <c r="A10" s="73" t="s">
        <v>4118</v>
      </c>
      <c r="B10" s="73" t="s">
        <v>4046</v>
      </c>
      <c r="C10" s="73" t="b">
        <v>1</v>
      </c>
      <c r="D10" s="73" t="s">
        <v>4101</v>
      </c>
      <c r="E10" s="21"/>
      <c r="F10" s="73" t="b">
        <v>0</v>
      </c>
      <c r="G10" s="73" t="s">
        <v>4098</v>
      </c>
      <c r="I10" s="49">
        <v>0.0</v>
      </c>
      <c r="J10" s="49" t="s">
        <v>1469</v>
      </c>
      <c r="K10" s="49" t="s">
        <v>4089</v>
      </c>
    </row>
    <row r="11">
      <c r="A11" s="73" t="s">
        <v>1511</v>
      </c>
      <c r="B11" s="73" t="s">
        <v>1512</v>
      </c>
      <c r="C11" s="73" t="b">
        <v>1</v>
      </c>
      <c r="D11" s="73" t="s">
        <v>4101</v>
      </c>
      <c r="E11" s="21"/>
      <c r="F11" s="73" t="b">
        <v>0</v>
      </c>
      <c r="G11" s="73" t="s">
        <v>1481</v>
      </c>
      <c r="I11" s="49">
        <v>0.0</v>
      </c>
      <c r="J11" s="49" t="s">
        <v>1469</v>
      </c>
      <c r="K11" s="49" t="s">
        <v>4089</v>
      </c>
    </row>
    <row r="12" hidden="1">
      <c r="A12" s="73" t="s">
        <v>4120</v>
      </c>
      <c r="B12" s="73" t="s">
        <v>4002</v>
      </c>
      <c r="C12" s="73" t="b">
        <v>1</v>
      </c>
      <c r="D12" s="73" t="s">
        <v>4097</v>
      </c>
      <c r="E12" s="21"/>
      <c r="F12" s="73" t="b">
        <v>0</v>
      </c>
      <c r="G12" s="73" t="s">
        <v>4098</v>
      </c>
      <c r="I12" s="49">
        <v>0.0</v>
      </c>
      <c r="J12" s="49" t="s">
        <v>1469</v>
      </c>
      <c r="K12" s="49" t="s">
        <v>4089</v>
      </c>
    </row>
    <row r="13">
      <c r="A13" s="73" t="s">
        <v>1514</v>
      </c>
      <c r="B13" s="73" t="s">
        <v>1515</v>
      </c>
      <c r="C13" s="73" t="b">
        <v>1</v>
      </c>
      <c r="D13" s="73" t="s">
        <v>4097</v>
      </c>
      <c r="E13" s="21"/>
      <c r="F13" s="73" t="b">
        <v>0</v>
      </c>
      <c r="G13" s="73" t="s">
        <v>1481</v>
      </c>
      <c r="I13" s="49">
        <v>0.0</v>
      </c>
      <c r="J13" s="49" t="s">
        <v>1469</v>
      </c>
      <c r="K13" s="49" t="s">
        <v>4089</v>
      </c>
    </row>
    <row r="14">
      <c r="A14" s="73" t="s">
        <v>4122</v>
      </c>
      <c r="B14" s="73" t="s">
        <v>3983</v>
      </c>
      <c r="C14" s="73" t="b">
        <v>1</v>
      </c>
      <c r="D14" s="73" t="s">
        <v>4097</v>
      </c>
      <c r="E14" s="21"/>
      <c r="F14" s="73" t="b">
        <v>0</v>
      </c>
      <c r="G14" s="73" t="s">
        <v>1481</v>
      </c>
      <c r="I14" s="49">
        <v>0.0</v>
      </c>
      <c r="J14" s="49" t="s">
        <v>1469</v>
      </c>
      <c r="K14" s="49" t="s">
        <v>4089</v>
      </c>
    </row>
    <row r="15" hidden="1">
      <c r="A15" s="73" t="s">
        <v>4123</v>
      </c>
      <c r="B15" s="73" t="s">
        <v>4031</v>
      </c>
      <c r="C15" s="73" t="b">
        <v>1</v>
      </c>
      <c r="D15" s="73" t="s">
        <v>4097</v>
      </c>
      <c r="E15" s="21"/>
      <c r="F15" s="73" t="b">
        <v>0</v>
      </c>
      <c r="G15" s="73" t="s">
        <v>4098</v>
      </c>
      <c r="I15" s="49">
        <v>0.0</v>
      </c>
      <c r="J15" s="49" t="s">
        <v>1469</v>
      </c>
      <c r="K15" s="49" t="s">
        <v>4089</v>
      </c>
    </row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G$1:$G$1000">
    <filterColumn colId="0">
      <filters>
        <filter val="Owner"/>
      </filters>
    </filterColumn>
  </autoFil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7.13"/>
    <col hidden="1" min="5" max="6" width="12.63"/>
    <col customWidth="1" min="8" max="8" width="25.63"/>
    <col hidden="1" min="9" max="9" width="12.63"/>
    <col customWidth="1" min="12" max="12" width="25.25"/>
  </cols>
  <sheetData>
    <row r="1">
      <c r="A1" s="49" t="s">
        <v>1475</v>
      </c>
      <c r="B1" s="49" t="s">
        <v>1476</v>
      </c>
      <c r="C1" s="49" t="s">
        <v>4092</v>
      </c>
      <c r="D1" s="49" t="s">
        <v>4093</v>
      </c>
      <c r="E1" s="49" t="s">
        <v>4094</v>
      </c>
      <c r="F1" s="49" t="s">
        <v>1477</v>
      </c>
      <c r="G1" s="49" t="s">
        <v>1478</v>
      </c>
      <c r="H1" s="49" t="s">
        <v>1479</v>
      </c>
      <c r="I1" s="49" t="s">
        <v>4095</v>
      </c>
      <c r="J1" s="49" t="s">
        <v>1462</v>
      </c>
      <c r="K1" s="49" t="s">
        <v>4087</v>
      </c>
      <c r="L1" s="49" t="s">
        <v>4124</v>
      </c>
    </row>
    <row r="2" hidden="1">
      <c r="A2" s="73" t="s">
        <v>4125</v>
      </c>
      <c r="B2" s="73" t="s">
        <v>3946</v>
      </c>
      <c r="C2" s="73" t="b">
        <v>1</v>
      </c>
      <c r="D2" s="73" t="s">
        <v>4097</v>
      </c>
      <c r="E2" s="21"/>
      <c r="F2" s="73" t="b">
        <v>0</v>
      </c>
      <c r="G2" s="73" t="s">
        <v>4098</v>
      </c>
      <c r="H2" s="73" t="s">
        <v>3947</v>
      </c>
      <c r="I2" s="49">
        <v>0.0</v>
      </c>
      <c r="J2" s="49" t="s">
        <v>1483</v>
      </c>
    </row>
    <row r="3" hidden="1">
      <c r="A3" s="74" t="s">
        <v>4126</v>
      </c>
      <c r="B3" s="74" t="s">
        <v>4127</v>
      </c>
      <c r="C3" s="74" t="b">
        <v>1</v>
      </c>
      <c r="D3" s="74" t="s">
        <v>4101</v>
      </c>
      <c r="E3" s="75"/>
      <c r="F3" s="74" t="b">
        <v>0</v>
      </c>
      <c r="G3" s="74" t="s">
        <v>4098</v>
      </c>
      <c r="H3" s="75"/>
      <c r="I3" s="76">
        <v>0.0</v>
      </c>
      <c r="J3" s="76" t="s">
        <v>1466</v>
      </c>
      <c r="K3" s="76" t="s">
        <v>4089</v>
      </c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idden="1">
      <c r="A4" s="74" t="s">
        <v>4128</v>
      </c>
      <c r="B4" s="74" t="s">
        <v>4129</v>
      </c>
      <c r="C4" s="74" t="b">
        <v>1</v>
      </c>
      <c r="D4" s="74" t="s">
        <v>4097</v>
      </c>
      <c r="E4" s="75"/>
      <c r="F4" s="74" t="b">
        <v>0</v>
      </c>
      <c r="G4" s="74" t="s">
        <v>4098</v>
      </c>
      <c r="H4" s="75"/>
      <c r="I4" s="76">
        <v>0.0</v>
      </c>
      <c r="J4" s="76" t="s">
        <v>1466</v>
      </c>
      <c r="K4" s="76" t="s">
        <v>4089</v>
      </c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idden="1">
      <c r="A5" s="74" t="s">
        <v>4130</v>
      </c>
      <c r="B5" s="74" t="s">
        <v>4131</v>
      </c>
      <c r="C5" s="74" t="b">
        <v>1</v>
      </c>
      <c r="D5" s="74" t="s">
        <v>4101</v>
      </c>
      <c r="E5" s="75"/>
      <c r="F5" s="74" t="b">
        <v>0</v>
      </c>
      <c r="G5" s="74" t="s">
        <v>4098</v>
      </c>
      <c r="H5" s="75"/>
      <c r="I5" s="76">
        <v>0.0</v>
      </c>
      <c r="J5" s="76" t="s">
        <v>1466</v>
      </c>
      <c r="K5" s="76" t="s">
        <v>4089</v>
      </c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idden="1">
      <c r="A6" s="74" t="s">
        <v>4132</v>
      </c>
      <c r="B6" s="74" t="s">
        <v>4133</v>
      </c>
      <c r="C6" s="74" t="b">
        <v>1</v>
      </c>
      <c r="D6" s="74" t="s">
        <v>4101</v>
      </c>
      <c r="E6" s="75"/>
      <c r="F6" s="74" t="b">
        <v>0</v>
      </c>
      <c r="G6" s="74" t="s">
        <v>4098</v>
      </c>
      <c r="H6" s="75"/>
      <c r="I6" s="76">
        <v>0.0</v>
      </c>
      <c r="J6" s="76" t="s">
        <v>1466</v>
      </c>
      <c r="K6" s="76" t="s">
        <v>4089</v>
      </c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idden="1">
      <c r="A7" s="74" t="s">
        <v>4134</v>
      </c>
      <c r="B7" s="74" t="s">
        <v>3926</v>
      </c>
      <c r="C7" s="74" t="b">
        <v>1</v>
      </c>
      <c r="D7" s="74" t="s">
        <v>4101</v>
      </c>
      <c r="E7" s="75"/>
      <c r="F7" s="74" t="b">
        <v>0</v>
      </c>
      <c r="G7" s="74" t="s">
        <v>4098</v>
      </c>
      <c r="H7" s="75"/>
      <c r="I7" s="76">
        <v>0.0</v>
      </c>
      <c r="J7" s="76" t="s">
        <v>1466</v>
      </c>
      <c r="K7" s="76" t="s">
        <v>4089</v>
      </c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idden="1">
      <c r="A8" s="74" t="s">
        <v>4135</v>
      </c>
      <c r="B8" s="74" t="s">
        <v>4136</v>
      </c>
      <c r="C8" s="74" t="b">
        <v>1</v>
      </c>
      <c r="D8" s="74" t="s">
        <v>4097</v>
      </c>
      <c r="E8" s="75"/>
      <c r="F8" s="74" t="b">
        <v>0</v>
      </c>
      <c r="G8" s="74" t="s">
        <v>4098</v>
      </c>
      <c r="H8" s="75"/>
      <c r="I8" s="76">
        <v>0.0</v>
      </c>
      <c r="J8" s="76" t="s">
        <v>1466</v>
      </c>
      <c r="K8" s="76" t="s">
        <v>4089</v>
      </c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hidden="1">
      <c r="A9" s="74" t="s">
        <v>4137</v>
      </c>
      <c r="B9" s="74" t="s">
        <v>4138</v>
      </c>
      <c r="C9" s="74" t="b">
        <v>1</v>
      </c>
      <c r="D9" s="74" t="s">
        <v>4101</v>
      </c>
      <c r="E9" s="75"/>
      <c r="F9" s="74" t="b">
        <v>0</v>
      </c>
      <c r="G9" s="74" t="s">
        <v>4098</v>
      </c>
      <c r="H9" s="75"/>
      <c r="I9" s="76">
        <v>0.0</v>
      </c>
      <c r="J9" s="76" t="s">
        <v>1466</v>
      </c>
      <c r="K9" s="76" t="s">
        <v>4089</v>
      </c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idden="1">
      <c r="A10" s="78" t="s">
        <v>4139</v>
      </c>
      <c r="B10" s="79"/>
      <c r="C10" s="78" t="b">
        <v>1</v>
      </c>
      <c r="D10" s="78" t="s">
        <v>4101</v>
      </c>
      <c r="E10" s="79"/>
      <c r="F10" s="78" t="b">
        <v>0</v>
      </c>
      <c r="G10" s="78" t="s">
        <v>4098</v>
      </c>
      <c r="H10" s="79"/>
      <c r="I10" s="80">
        <v>0.0</v>
      </c>
      <c r="J10" s="81"/>
      <c r="K10" s="80" t="s">
        <v>4089</v>
      </c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idden="1">
      <c r="A11" s="78" t="s">
        <v>4140</v>
      </c>
      <c r="B11" s="79"/>
      <c r="C11" s="78" t="b">
        <v>1</v>
      </c>
      <c r="D11" s="78" t="s">
        <v>4101</v>
      </c>
      <c r="E11" s="79"/>
      <c r="F11" s="78" t="b">
        <v>0</v>
      </c>
      <c r="G11" s="78" t="s">
        <v>4098</v>
      </c>
      <c r="H11" s="79"/>
      <c r="I11" s="80">
        <v>0.0</v>
      </c>
      <c r="J11" s="81"/>
      <c r="K11" s="80" t="s">
        <v>4089</v>
      </c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hidden="1">
      <c r="A12" s="78" t="s">
        <v>4141</v>
      </c>
      <c r="B12" s="79"/>
      <c r="C12" s="78" t="b">
        <v>0</v>
      </c>
      <c r="D12" s="78" t="s">
        <v>4142</v>
      </c>
      <c r="E12" s="79"/>
      <c r="F12" s="78" t="b">
        <v>0</v>
      </c>
      <c r="G12" s="78" t="s">
        <v>4098</v>
      </c>
      <c r="H12" s="79"/>
      <c r="I12" s="80">
        <v>0.0</v>
      </c>
      <c r="J12" s="81"/>
      <c r="K12" s="80" t="s">
        <v>4089</v>
      </c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hidden="1">
      <c r="A13" s="78" t="s">
        <v>4143</v>
      </c>
      <c r="B13" s="78" t="s">
        <v>4144</v>
      </c>
      <c r="C13" s="78" t="b">
        <v>1</v>
      </c>
      <c r="D13" s="78" t="s">
        <v>4101</v>
      </c>
      <c r="E13" s="79"/>
      <c r="F13" s="78" t="b">
        <v>0</v>
      </c>
      <c r="G13" s="78" t="s">
        <v>4098</v>
      </c>
      <c r="H13" s="79"/>
      <c r="I13" s="80">
        <v>0.0</v>
      </c>
      <c r="J13" s="81"/>
      <c r="K13" s="80" t="s">
        <v>4089</v>
      </c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hidden="1">
      <c r="A14" s="78" t="s">
        <v>4145</v>
      </c>
      <c r="B14" s="79"/>
      <c r="C14" s="78" t="b">
        <v>1</v>
      </c>
      <c r="D14" s="78" t="s">
        <v>4097</v>
      </c>
      <c r="E14" s="79"/>
      <c r="F14" s="78" t="b">
        <v>0</v>
      </c>
      <c r="G14" s="78" t="s">
        <v>4098</v>
      </c>
      <c r="H14" s="79"/>
      <c r="I14" s="80">
        <v>0.0</v>
      </c>
      <c r="J14" s="81"/>
      <c r="K14" s="80" t="s">
        <v>4089</v>
      </c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hidden="1">
      <c r="A15" s="78" t="s">
        <v>4146</v>
      </c>
      <c r="B15" s="79"/>
      <c r="C15" s="78" t="b">
        <v>1</v>
      </c>
      <c r="D15" s="78" t="s">
        <v>4097</v>
      </c>
      <c r="E15" s="79"/>
      <c r="F15" s="78" t="b">
        <v>0</v>
      </c>
      <c r="G15" s="78" t="s">
        <v>4098</v>
      </c>
      <c r="H15" s="79"/>
      <c r="I15" s="80">
        <v>0.0</v>
      </c>
      <c r="J15" s="81"/>
      <c r="K15" s="80" t="s">
        <v>4089</v>
      </c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hidden="1">
      <c r="A16" s="78" t="s">
        <v>4147</v>
      </c>
      <c r="B16" s="78" t="s">
        <v>4148</v>
      </c>
      <c r="C16" s="78" t="b">
        <v>1</v>
      </c>
      <c r="D16" s="78" t="s">
        <v>4101</v>
      </c>
      <c r="E16" s="79"/>
      <c r="F16" s="78" t="b">
        <v>0</v>
      </c>
      <c r="G16" s="78" t="s">
        <v>4098</v>
      </c>
      <c r="H16" s="78" t="s">
        <v>1082</v>
      </c>
      <c r="I16" s="80">
        <v>0.0</v>
      </c>
      <c r="J16" s="80" t="s">
        <v>1469</v>
      </c>
      <c r="K16" s="80" t="s">
        <v>4089</v>
      </c>
      <c r="L16" s="80" t="s">
        <v>4149</v>
      </c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hidden="1">
      <c r="A17" s="73" t="s">
        <v>4150</v>
      </c>
      <c r="B17" s="73" t="s">
        <v>3975</v>
      </c>
      <c r="C17" s="73" t="b">
        <v>1</v>
      </c>
      <c r="D17" s="73" t="s">
        <v>4101</v>
      </c>
      <c r="E17" s="21"/>
      <c r="F17" s="73" t="b">
        <v>0</v>
      </c>
      <c r="G17" s="73" t="s">
        <v>4098</v>
      </c>
      <c r="H17" s="73" t="s">
        <v>1414</v>
      </c>
      <c r="I17" s="49">
        <v>0.0</v>
      </c>
      <c r="J17" s="49" t="s">
        <v>1469</v>
      </c>
      <c r="K17" s="49" t="s">
        <v>4089</v>
      </c>
    </row>
    <row r="18" hidden="1">
      <c r="A18" s="73" t="s">
        <v>4096</v>
      </c>
      <c r="B18" s="73" t="s">
        <v>1756</v>
      </c>
      <c r="C18" s="73" t="b">
        <v>1</v>
      </c>
      <c r="D18" s="73" t="s">
        <v>4097</v>
      </c>
      <c r="E18" s="21"/>
      <c r="F18" s="73" t="b">
        <v>0</v>
      </c>
      <c r="G18" s="73" t="s">
        <v>4098</v>
      </c>
      <c r="H18" s="73" t="s">
        <v>1264</v>
      </c>
      <c r="I18" s="49">
        <v>0.0</v>
      </c>
      <c r="J18" s="49" t="s">
        <v>1469</v>
      </c>
      <c r="K18" s="49" t="s">
        <v>4089</v>
      </c>
    </row>
    <row r="19" hidden="1">
      <c r="A19" s="73" t="s">
        <v>4099</v>
      </c>
      <c r="B19" s="73" t="s">
        <v>4100</v>
      </c>
      <c r="C19" s="73" t="b">
        <v>1</v>
      </c>
      <c r="D19" s="73" t="s">
        <v>4101</v>
      </c>
      <c r="E19" s="21"/>
      <c r="F19" s="73" t="b">
        <v>0</v>
      </c>
      <c r="G19" s="73" t="s">
        <v>4098</v>
      </c>
      <c r="H19" s="73" t="s">
        <v>1151</v>
      </c>
      <c r="I19" s="49">
        <v>0.0</v>
      </c>
      <c r="J19" s="49" t="s">
        <v>1469</v>
      </c>
      <c r="K19" s="49" t="s">
        <v>4089</v>
      </c>
    </row>
    <row r="20" hidden="1">
      <c r="A20" s="73" t="s">
        <v>4151</v>
      </c>
      <c r="B20" s="73" t="s">
        <v>667</v>
      </c>
      <c r="C20" s="73" t="b">
        <v>1</v>
      </c>
      <c r="D20" s="73" t="s">
        <v>4101</v>
      </c>
      <c r="E20" s="21"/>
      <c r="F20" s="73" t="b">
        <v>0</v>
      </c>
      <c r="G20" s="73" t="s">
        <v>4098</v>
      </c>
      <c r="H20" s="73" t="s">
        <v>693</v>
      </c>
      <c r="I20" s="49">
        <v>0.0</v>
      </c>
      <c r="J20" s="49" t="s">
        <v>1469</v>
      </c>
      <c r="K20" s="49" t="s">
        <v>4089</v>
      </c>
    </row>
    <row r="21" hidden="1">
      <c r="A21" s="73" t="s">
        <v>4104</v>
      </c>
      <c r="B21" s="73" t="s">
        <v>3263</v>
      </c>
      <c r="C21" s="73" t="b">
        <v>1</v>
      </c>
      <c r="D21" s="73" t="s">
        <v>4097</v>
      </c>
      <c r="E21" s="21"/>
      <c r="F21" s="73" t="b">
        <v>0</v>
      </c>
      <c r="G21" s="73" t="s">
        <v>4098</v>
      </c>
      <c r="H21" s="73" t="s">
        <v>645</v>
      </c>
      <c r="I21" s="49">
        <v>0.0</v>
      </c>
      <c r="J21" s="49" t="s">
        <v>1469</v>
      </c>
      <c r="K21" s="49" t="s">
        <v>4089</v>
      </c>
    </row>
    <row r="22" hidden="1">
      <c r="A22" s="73" t="s">
        <v>4105</v>
      </c>
      <c r="B22" s="73" t="s">
        <v>3242</v>
      </c>
      <c r="C22" s="73" t="b">
        <v>1</v>
      </c>
      <c r="D22" s="73" t="s">
        <v>4097</v>
      </c>
      <c r="E22" s="21"/>
      <c r="F22" s="73" t="b">
        <v>0</v>
      </c>
      <c r="G22" s="73" t="s">
        <v>4098</v>
      </c>
      <c r="H22" s="73" t="s">
        <v>253</v>
      </c>
      <c r="I22" s="49">
        <v>0.0</v>
      </c>
      <c r="J22" s="49" t="s">
        <v>1469</v>
      </c>
      <c r="K22" s="49" t="s">
        <v>4089</v>
      </c>
    </row>
    <row r="23" hidden="1">
      <c r="A23" s="73" t="s">
        <v>4152</v>
      </c>
      <c r="B23" s="73" t="s">
        <v>4066</v>
      </c>
      <c r="C23" s="73" t="b">
        <v>1</v>
      </c>
      <c r="D23" s="73" t="s">
        <v>4097</v>
      </c>
      <c r="E23" s="21"/>
      <c r="F23" s="73" t="b">
        <v>0</v>
      </c>
      <c r="G23" s="73" t="s">
        <v>4098</v>
      </c>
      <c r="H23" s="73" t="s">
        <v>797</v>
      </c>
      <c r="I23" s="49">
        <v>0.0</v>
      </c>
      <c r="J23" s="49" t="s">
        <v>1469</v>
      </c>
      <c r="K23" s="49" t="s">
        <v>4089</v>
      </c>
    </row>
    <row r="24" hidden="1">
      <c r="A24" s="73" t="s">
        <v>4153</v>
      </c>
      <c r="B24" s="73" t="s">
        <v>3221</v>
      </c>
      <c r="C24" s="73" t="b">
        <v>1</v>
      </c>
      <c r="D24" s="73" t="s">
        <v>4101</v>
      </c>
      <c r="E24" s="21"/>
      <c r="F24" s="73" t="b">
        <v>0</v>
      </c>
      <c r="G24" s="73" t="s">
        <v>4098</v>
      </c>
      <c r="H24" s="21"/>
      <c r="I24" s="49">
        <v>0.0</v>
      </c>
      <c r="J24" s="49" t="s">
        <v>1469</v>
      </c>
      <c r="K24" s="49" t="s">
        <v>4089</v>
      </c>
    </row>
    <row r="25">
      <c r="A25" s="73" t="s">
        <v>1484</v>
      </c>
      <c r="B25" s="73" t="s">
        <v>1485</v>
      </c>
      <c r="C25" s="73" t="b">
        <v>1</v>
      </c>
      <c r="D25" s="73" t="s">
        <v>4097</v>
      </c>
      <c r="E25" s="21"/>
      <c r="F25" s="73" t="b">
        <v>0</v>
      </c>
      <c r="G25" s="73" t="s">
        <v>1481</v>
      </c>
      <c r="H25" s="73" t="s">
        <v>532</v>
      </c>
      <c r="I25" s="49">
        <v>0.0</v>
      </c>
      <c r="J25" s="49" t="s">
        <v>1469</v>
      </c>
      <c r="K25" s="49" t="s">
        <v>4089</v>
      </c>
    </row>
    <row r="26" hidden="1">
      <c r="A26" s="73" t="s">
        <v>4154</v>
      </c>
      <c r="B26" s="73" t="s">
        <v>3071</v>
      </c>
      <c r="C26" s="73" t="b">
        <v>1</v>
      </c>
      <c r="D26" s="73" t="s">
        <v>4097</v>
      </c>
      <c r="E26" s="21"/>
      <c r="F26" s="73" t="b">
        <v>0</v>
      </c>
      <c r="G26" s="73" t="s">
        <v>4098</v>
      </c>
      <c r="H26" s="21"/>
      <c r="I26" s="49">
        <v>0.0</v>
      </c>
      <c r="J26" s="49" t="s">
        <v>1469</v>
      </c>
      <c r="K26" s="49" t="s">
        <v>4089</v>
      </c>
    </row>
    <row r="27" hidden="1">
      <c r="A27" s="73" t="s">
        <v>4155</v>
      </c>
      <c r="B27" s="73" t="s">
        <v>129</v>
      </c>
      <c r="C27" s="73" t="b">
        <v>1</v>
      </c>
      <c r="D27" s="73" t="s">
        <v>4101</v>
      </c>
      <c r="E27" s="21"/>
      <c r="F27" s="73" t="b">
        <v>0</v>
      </c>
      <c r="G27" s="73" t="s">
        <v>4098</v>
      </c>
      <c r="H27" s="73" t="s">
        <v>1195</v>
      </c>
      <c r="I27" s="49">
        <v>0.0</v>
      </c>
      <c r="J27" s="49" t="s">
        <v>1469</v>
      </c>
      <c r="K27" s="49" t="s">
        <v>4089</v>
      </c>
    </row>
    <row r="28" hidden="1">
      <c r="A28" s="73" t="s">
        <v>4156</v>
      </c>
      <c r="B28" s="73" t="s">
        <v>3997</v>
      </c>
      <c r="C28" s="73" t="b">
        <v>0</v>
      </c>
      <c r="D28" s="73" t="s">
        <v>4142</v>
      </c>
      <c r="E28" s="21"/>
      <c r="F28" s="73" t="b">
        <v>0</v>
      </c>
      <c r="G28" s="73" t="s">
        <v>4098</v>
      </c>
      <c r="H28" s="73" t="s">
        <v>127</v>
      </c>
      <c r="I28" s="49">
        <v>0.0</v>
      </c>
      <c r="J28" s="49" t="s">
        <v>1469</v>
      </c>
      <c r="K28" s="49" t="s">
        <v>4089</v>
      </c>
    </row>
    <row r="29" hidden="1">
      <c r="A29" s="73" t="s">
        <v>4157</v>
      </c>
      <c r="B29" s="73" t="s">
        <v>1824</v>
      </c>
      <c r="C29" s="73" t="b">
        <v>1</v>
      </c>
      <c r="D29" s="73" t="s">
        <v>4097</v>
      </c>
      <c r="E29" s="21"/>
      <c r="F29" s="73" t="b">
        <v>0</v>
      </c>
      <c r="G29" s="73" t="s">
        <v>4098</v>
      </c>
      <c r="H29" s="21"/>
      <c r="I29" s="49">
        <v>0.0</v>
      </c>
      <c r="J29" s="49" t="s">
        <v>1469</v>
      </c>
      <c r="K29" s="49" t="s">
        <v>4089</v>
      </c>
    </row>
    <row r="30" hidden="1">
      <c r="A30" s="73" t="s">
        <v>4158</v>
      </c>
      <c r="B30" s="73" t="s">
        <v>3998</v>
      </c>
      <c r="C30" s="73" t="b">
        <v>1</v>
      </c>
      <c r="D30" s="73" t="s">
        <v>4097</v>
      </c>
      <c r="E30" s="21"/>
      <c r="F30" s="73" t="b">
        <v>0</v>
      </c>
      <c r="G30" s="73" t="s">
        <v>4098</v>
      </c>
      <c r="H30" s="73" t="s">
        <v>540</v>
      </c>
      <c r="I30" s="49">
        <v>0.0</v>
      </c>
      <c r="J30" s="49" t="s">
        <v>1469</v>
      </c>
      <c r="K30" s="49" t="s">
        <v>4089</v>
      </c>
    </row>
    <row r="31">
      <c r="A31" s="73" t="s">
        <v>1495</v>
      </c>
      <c r="B31" s="73" t="s">
        <v>1496</v>
      </c>
      <c r="C31" s="73" t="b">
        <v>1</v>
      </c>
      <c r="D31" s="73" t="s">
        <v>4097</v>
      </c>
      <c r="E31" s="21"/>
      <c r="F31" s="73" t="b">
        <v>0</v>
      </c>
      <c r="G31" s="73" t="s">
        <v>1481</v>
      </c>
      <c r="H31" s="21"/>
      <c r="I31" s="49">
        <v>0.0</v>
      </c>
      <c r="J31" s="49" t="s">
        <v>1469</v>
      </c>
      <c r="K31" s="49" t="s">
        <v>4089</v>
      </c>
    </row>
    <row r="32" hidden="1">
      <c r="A32" s="73" t="s">
        <v>4159</v>
      </c>
      <c r="B32" s="73" t="s">
        <v>3197</v>
      </c>
      <c r="C32" s="73" t="b">
        <v>1</v>
      </c>
      <c r="D32" s="73" t="s">
        <v>4097</v>
      </c>
      <c r="E32" s="21"/>
      <c r="F32" s="73" t="b">
        <v>0</v>
      </c>
      <c r="G32" s="73" t="s">
        <v>4098</v>
      </c>
      <c r="H32" s="73" t="s">
        <v>419</v>
      </c>
      <c r="I32" s="49">
        <v>0.0</v>
      </c>
      <c r="J32" s="49" t="s">
        <v>1469</v>
      </c>
      <c r="K32" s="49" t="s">
        <v>4089</v>
      </c>
    </row>
    <row r="33" hidden="1">
      <c r="A33" s="73" t="s">
        <v>4160</v>
      </c>
      <c r="B33" s="73" t="s">
        <v>3230</v>
      </c>
      <c r="C33" s="73" t="b">
        <v>1</v>
      </c>
      <c r="D33" s="73" t="s">
        <v>4097</v>
      </c>
      <c r="E33" s="21"/>
      <c r="F33" s="73" t="b">
        <v>0</v>
      </c>
      <c r="G33" s="73" t="s">
        <v>4098</v>
      </c>
      <c r="H33" s="73" t="s">
        <v>1426</v>
      </c>
      <c r="I33" s="49">
        <v>0.0</v>
      </c>
      <c r="J33" s="49" t="s">
        <v>1469</v>
      </c>
      <c r="K33" s="49" t="s">
        <v>4089</v>
      </c>
    </row>
    <row r="34" hidden="1">
      <c r="A34" s="73" t="s">
        <v>4115</v>
      </c>
      <c r="B34" s="73" t="s">
        <v>4016</v>
      </c>
      <c r="C34" s="73" t="b">
        <v>1</v>
      </c>
      <c r="D34" s="73" t="s">
        <v>4101</v>
      </c>
      <c r="E34" s="21"/>
      <c r="F34" s="73" t="b">
        <v>0</v>
      </c>
      <c r="G34" s="73" t="s">
        <v>4098</v>
      </c>
      <c r="H34" s="21"/>
      <c r="I34" s="49">
        <v>0.0</v>
      </c>
      <c r="J34" s="49" t="s">
        <v>1469</v>
      </c>
      <c r="K34" s="49" t="s">
        <v>4089</v>
      </c>
    </row>
    <row r="35" hidden="1">
      <c r="A35" s="73" t="s">
        <v>4161</v>
      </c>
      <c r="B35" s="73" t="s">
        <v>2964</v>
      </c>
      <c r="C35" s="73" t="b">
        <v>1</v>
      </c>
      <c r="D35" s="73" t="s">
        <v>4097</v>
      </c>
      <c r="E35" s="21"/>
      <c r="F35" s="73" t="b">
        <v>0</v>
      </c>
      <c r="G35" s="73" t="s">
        <v>4098</v>
      </c>
      <c r="H35" s="73" t="s">
        <v>630</v>
      </c>
      <c r="I35" s="49">
        <v>0.0</v>
      </c>
      <c r="J35" s="49" t="s">
        <v>1469</v>
      </c>
      <c r="K35" s="49" t="s">
        <v>4089</v>
      </c>
    </row>
    <row r="36" hidden="1">
      <c r="A36" s="73" t="s">
        <v>4162</v>
      </c>
      <c r="B36" s="73" t="s">
        <v>1886</v>
      </c>
      <c r="C36" s="73" t="b">
        <v>1</v>
      </c>
      <c r="D36" s="73" t="s">
        <v>4097</v>
      </c>
      <c r="E36" s="21"/>
      <c r="F36" s="73" t="b">
        <v>0</v>
      </c>
      <c r="G36" s="73" t="s">
        <v>4098</v>
      </c>
      <c r="H36" s="73" t="s">
        <v>1351</v>
      </c>
      <c r="I36" s="49">
        <v>0.0</v>
      </c>
      <c r="J36" s="49" t="s">
        <v>1469</v>
      </c>
      <c r="K36" s="49" t="s">
        <v>4089</v>
      </c>
    </row>
    <row r="37" hidden="1">
      <c r="A37" s="73" t="s">
        <v>4116</v>
      </c>
      <c r="B37" s="73" t="s">
        <v>4018</v>
      </c>
      <c r="C37" s="73" t="b">
        <v>1</v>
      </c>
      <c r="D37" s="73" t="s">
        <v>4101</v>
      </c>
      <c r="E37" s="21"/>
      <c r="F37" s="73" t="b">
        <v>0</v>
      </c>
      <c r="G37" s="73" t="s">
        <v>4098</v>
      </c>
      <c r="H37" s="21"/>
      <c r="I37" s="49">
        <v>0.0</v>
      </c>
      <c r="J37" s="49" t="s">
        <v>1469</v>
      </c>
      <c r="K37" s="49" t="s">
        <v>4089</v>
      </c>
    </row>
    <row r="38" hidden="1">
      <c r="A38" s="73" t="s">
        <v>4117</v>
      </c>
      <c r="B38" s="73" t="s">
        <v>2960</v>
      </c>
      <c r="C38" s="73" t="b">
        <v>1</v>
      </c>
      <c r="D38" s="73" t="s">
        <v>4097</v>
      </c>
      <c r="E38" s="21"/>
      <c r="F38" s="73" t="b">
        <v>0</v>
      </c>
      <c r="G38" s="73" t="s">
        <v>4098</v>
      </c>
      <c r="H38" s="73" t="s">
        <v>1289</v>
      </c>
      <c r="I38" s="49">
        <v>0.0</v>
      </c>
      <c r="J38" s="49" t="s">
        <v>1469</v>
      </c>
      <c r="K38" s="49" t="s">
        <v>4089</v>
      </c>
    </row>
    <row r="39" hidden="1">
      <c r="A39" s="73" t="s">
        <v>4163</v>
      </c>
      <c r="B39" s="73" t="s">
        <v>256</v>
      </c>
      <c r="C39" s="73" t="b">
        <v>1</v>
      </c>
      <c r="D39" s="73" t="s">
        <v>4101</v>
      </c>
      <c r="E39" s="21"/>
      <c r="F39" s="73" t="b">
        <v>0</v>
      </c>
      <c r="G39" s="73" t="s">
        <v>4098</v>
      </c>
      <c r="H39" s="21"/>
      <c r="I39" s="49">
        <v>0.0</v>
      </c>
      <c r="J39" s="49" t="s">
        <v>1469</v>
      </c>
      <c r="K39" s="49" t="s">
        <v>4089</v>
      </c>
    </row>
    <row r="40" hidden="1">
      <c r="A40" s="73" t="s">
        <v>4164</v>
      </c>
      <c r="B40" s="73" t="s">
        <v>4165</v>
      </c>
      <c r="C40" s="73" t="b">
        <v>1</v>
      </c>
      <c r="D40" s="73" t="s">
        <v>4097</v>
      </c>
      <c r="E40" s="21"/>
      <c r="F40" s="73" t="b">
        <v>0</v>
      </c>
      <c r="G40" s="73" t="s">
        <v>4098</v>
      </c>
      <c r="H40" s="73" t="s">
        <v>1105</v>
      </c>
      <c r="I40" s="49">
        <v>0.0</v>
      </c>
      <c r="J40" s="49" t="s">
        <v>1469</v>
      </c>
      <c r="K40" s="49" t="s">
        <v>4089</v>
      </c>
    </row>
    <row r="41" hidden="1">
      <c r="A41" s="73" t="s">
        <v>4166</v>
      </c>
      <c r="B41" s="73" t="s">
        <v>333</v>
      </c>
      <c r="C41" s="73" t="b">
        <v>1</v>
      </c>
      <c r="D41" s="73" t="s">
        <v>4097</v>
      </c>
      <c r="E41" s="21"/>
      <c r="F41" s="73" t="b">
        <v>0</v>
      </c>
      <c r="G41" s="73" t="s">
        <v>4098</v>
      </c>
      <c r="H41" s="73" t="s">
        <v>240</v>
      </c>
      <c r="I41" s="49">
        <v>0.0</v>
      </c>
      <c r="J41" s="49" t="s">
        <v>1469</v>
      </c>
      <c r="K41" s="49" t="s">
        <v>4089</v>
      </c>
    </row>
    <row r="42" hidden="1">
      <c r="A42" s="73" t="s">
        <v>4167</v>
      </c>
      <c r="B42" s="73" t="s">
        <v>3275</v>
      </c>
      <c r="C42" s="73" t="b">
        <v>0</v>
      </c>
      <c r="D42" s="73" t="s">
        <v>4142</v>
      </c>
      <c r="E42" s="21"/>
      <c r="F42" s="73" t="b">
        <v>0</v>
      </c>
      <c r="G42" s="73" t="s">
        <v>4098</v>
      </c>
      <c r="H42" s="73" t="s">
        <v>325</v>
      </c>
      <c r="I42" s="49">
        <v>0.0</v>
      </c>
      <c r="J42" s="49" t="s">
        <v>1469</v>
      </c>
      <c r="K42" s="49" t="s">
        <v>4089</v>
      </c>
    </row>
    <row r="43" hidden="1">
      <c r="A43" s="73" t="s">
        <v>4168</v>
      </c>
      <c r="B43" s="73" t="s">
        <v>3024</v>
      </c>
      <c r="C43" s="73" t="b">
        <v>1</v>
      </c>
      <c r="D43" s="73" t="s">
        <v>4101</v>
      </c>
      <c r="E43" s="21"/>
      <c r="F43" s="73" t="b">
        <v>1</v>
      </c>
      <c r="G43" s="73" t="s">
        <v>4098</v>
      </c>
      <c r="H43" s="73" t="s">
        <v>1041</v>
      </c>
      <c r="I43" s="49">
        <v>0.0</v>
      </c>
      <c r="J43" s="49" t="s">
        <v>1469</v>
      </c>
      <c r="K43" s="49" t="s">
        <v>4089</v>
      </c>
    </row>
    <row r="44">
      <c r="A44" s="73" t="s">
        <v>1498</v>
      </c>
      <c r="B44" s="73" t="s">
        <v>1499</v>
      </c>
      <c r="C44" s="73" t="b">
        <v>1</v>
      </c>
      <c r="D44" s="73" t="s">
        <v>4097</v>
      </c>
      <c r="E44" s="21"/>
      <c r="F44" s="73" t="b">
        <v>0</v>
      </c>
      <c r="G44" s="73" t="s">
        <v>1481</v>
      </c>
      <c r="H44" s="73" t="s">
        <v>1141</v>
      </c>
      <c r="I44" s="49">
        <v>0.0</v>
      </c>
      <c r="J44" s="49" t="s">
        <v>1469</v>
      </c>
      <c r="K44" s="49" t="s">
        <v>4089</v>
      </c>
    </row>
    <row r="45" hidden="1">
      <c r="A45" s="73" t="s">
        <v>4169</v>
      </c>
      <c r="B45" s="73" t="s">
        <v>4057</v>
      </c>
      <c r="C45" s="73" t="b">
        <v>1</v>
      </c>
      <c r="D45" s="73" t="s">
        <v>4097</v>
      </c>
      <c r="E45" s="21"/>
      <c r="F45" s="73" t="b">
        <v>0</v>
      </c>
      <c r="G45" s="73" t="s">
        <v>4098</v>
      </c>
      <c r="H45" s="73" t="s">
        <v>1072</v>
      </c>
      <c r="I45" s="49">
        <v>0.0</v>
      </c>
      <c r="J45" s="49" t="s">
        <v>1469</v>
      </c>
      <c r="K45" s="49" t="s">
        <v>4089</v>
      </c>
    </row>
    <row r="46" hidden="1">
      <c r="A46" s="73" t="s">
        <v>4170</v>
      </c>
      <c r="B46" s="73" t="s">
        <v>3253</v>
      </c>
      <c r="C46" s="73" t="b">
        <v>1</v>
      </c>
      <c r="D46" s="73" t="s">
        <v>4101</v>
      </c>
      <c r="E46" s="21"/>
      <c r="F46" s="73" t="b">
        <v>0</v>
      </c>
      <c r="G46" s="73" t="s">
        <v>4098</v>
      </c>
      <c r="H46" s="21"/>
      <c r="I46" s="49">
        <v>0.0</v>
      </c>
      <c r="J46" s="49" t="s">
        <v>1469</v>
      </c>
      <c r="K46" s="49" t="s">
        <v>4089</v>
      </c>
    </row>
    <row r="47" hidden="1">
      <c r="A47" s="73" t="s">
        <v>4118</v>
      </c>
      <c r="B47" s="73" t="s">
        <v>4046</v>
      </c>
      <c r="C47" s="73" t="b">
        <v>1</v>
      </c>
      <c r="D47" s="73" t="s">
        <v>4101</v>
      </c>
      <c r="E47" s="21"/>
      <c r="F47" s="73" t="b">
        <v>0</v>
      </c>
      <c r="G47" s="73" t="s">
        <v>4098</v>
      </c>
      <c r="H47" s="21"/>
      <c r="I47" s="49">
        <v>0.0</v>
      </c>
      <c r="J47" s="49" t="s">
        <v>1469</v>
      </c>
      <c r="K47" s="49" t="s">
        <v>4089</v>
      </c>
    </row>
    <row r="48" hidden="1">
      <c r="A48" s="73" t="s">
        <v>4171</v>
      </c>
      <c r="B48" s="73" t="s">
        <v>3022</v>
      </c>
      <c r="C48" s="73" t="b">
        <v>1</v>
      </c>
      <c r="D48" s="73" t="s">
        <v>4097</v>
      </c>
      <c r="E48" s="21"/>
      <c r="F48" s="73" t="b">
        <v>0</v>
      </c>
      <c r="G48" s="73" t="s">
        <v>4098</v>
      </c>
      <c r="H48" s="21"/>
      <c r="I48" s="49">
        <v>0.0</v>
      </c>
      <c r="J48" s="49" t="s">
        <v>1469</v>
      </c>
      <c r="K48" s="49" t="s">
        <v>4089</v>
      </c>
    </row>
    <row r="49">
      <c r="A49" s="73" t="s">
        <v>1511</v>
      </c>
      <c r="B49" s="73" t="s">
        <v>1512</v>
      </c>
      <c r="C49" s="73" t="b">
        <v>1</v>
      </c>
      <c r="D49" s="73" t="s">
        <v>4101</v>
      </c>
      <c r="E49" s="21"/>
      <c r="F49" s="73" t="b">
        <v>0</v>
      </c>
      <c r="G49" s="73" t="s">
        <v>1481</v>
      </c>
      <c r="H49" s="73" t="s">
        <v>1353</v>
      </c>
      <c r="I49" s="49">
        <v>0.0</v>
      </c>
      <c r="J49" s="49" t="s">
        <v>1469</v>
      </c>
      <c r="K49" s="49" t="s">
        <v>4089</v>
      </c>
    </row>
    <row r="50" hidden="1">
      <c r="A50" s="73" t="s">
        <v>4172</v>
      </c>
      <c r="B50" s="73" t="s">
        <v>3205</v>
      </c>
      <c r="C50" s="73" t="b">
        <v>1</v>
      </c>
      <c r="D50" s="73" t="s">
        <v>4097</v>
      </c>
      <c r="E50" s="21"/>
      <c r="F50" s="73" t="b">
        <v>0</v>
      </c>
      <c r="G50" s="73" t="s">
        <v>4098</v>
      </c>
      <c r="H50" s="21"/>
      <c r="I50" s="49">
        <v>0.0</v>
      </c>
      <c r="J50" s="49" t="s">
        <v>1469</v>
      </c>
      <c r="K50" s="49" t="s">
        <v>4089</v>
      </c>
    </row>
    <row r="51" hidden="1">
      <c r="A51" s="73" t="s">
        <v>1514</v>
      </c>
      <c r="B51" s="73" t="s">
        <v>1515</v>
      </c>
      <c r="C51" s="73" t="b">
        <v>1</v>
      </c>
      <c r="D51" s="73" t="s">
        <v>4097</v>
      </c>
      <c r="E51" s="21"/>
      <c r="F51" s="73" t="b">
        <v>0</v>
      </c>
      <c r="G51" s="73" t="s">
        <v>4098</v>
      </c>
      <c r="H51" s="21"/>
      <c r="I51" s="49">
        <v>0.0</v>
      </c>
      <c r="J51" s="49" t="s">
        <v>1469</v>
      </c>
      <c r="K51" s="49" t="s">
        <v>4089</v>
      </c>
    </row>
    <row r="52">
      <c r="A52" s="73" t="s">
        <v>4121</v>
      </c>
      <c r="B52" s="73" t="s">
        <v>568</v>
      </c>
      <c r="C52" s="73" t="b">
        <v>1</v>
      </c>
      <c r="D52" s="73" t="s">
        <v>4097</v>
      </c>
      <c r="E52" s="21"/>
      <c r="F52" s="73" t="b">
        <v>0</v>
      </c>
      <c r="G52" s="73" t="s">
        <v>1481</v>
      </c>
      <c r="H52" s="73" t="s">
        <v>510</v>
      </c>
      <c r="I52" s="49">
        <v>0.0</v>
      </c>
      <c r="J52" s="49" t="s">
        <v>1469</v>
      </c>
      <c r="K52" s="49" t="s">
        <v>4089</v>
      </c>
    </row>
    <row r="53">
      <c r="A53" s="73" t="s">
        <v>4122</v>
      </c>
      <c r="B53" s="73" t="s">
        <v>3983</v>
      </c>
      <c r="C53" s="73" t="b">
        <v>1</v>
      </c>
      <c r="D53" s="73" t="s">
        <v>4097</v>
      </c>
      <c r="E53" s="21"/>
      <c r="F53" s="73" t="b">
        <v>0</v>
      </c>
      <c r="G53" s="73" t="s">
        <v>1481</v>
      </c>
      <c r="H53" s="73" t="s">
        <v>666</v>
      </c>
      <c r="I53" s="49">
        <v>0.0</v>
      </c>
      <c r="J53" s="49" t="s">
        <v>1469</v>
      </c>
      <c r="K53" s="49" t="s">
        <v>4089</v>
      </c>
    </row>
    <row r="54" hidden="1">
      <c r="A54" s="73" t="s">
        <v>4123</v>
      </c>
      <c r="B54" s="73" t="s">
        <v>4031</v>
      </c>
      <c r="C54" s="73" t="b">
        <v>1</v>
      </c>
      <c r="D54" s="73" t="s">
        <v>4097</v>
      </c>
      <c r="E54" s="21"/>
      <c r="F54" s="73" t="b">
        <v>0</v>
      </c>
      <c r="G54" s="73" t="s">
        <v>4098</v>
      </c>
      <c r="H54" s="21"/>
      <c r="I54" s="49">
        <v>0.0</v>
      </c>
      <c r="J54" s="49" t="s">
        <v>1469</v>
      </c>
      <c r="K54" s="49" t="s">
        <v>4089</v>
      </c>
    </row>
    <row r="55" hidden="1">
      <c r="A55" s="73" t="s">
        <v>4173</v>
      </c>
      <c r="B55" s="73" t="s">
        <v>3060</v>
      </c>
      <c r="C55" s="73" t="b">
        <v>1</v>
      </c>
      <c r="D55" s="73" t="s">
        <v>4097</v>
      </c>
      <c r="E55" s="21"/>
      <c r="F55" s="73" t="b">
        <v>0</v>
      </c>
      <c r="G55" s="73" t="s">
        <v>4098</v>
      </c>
      <c r="H55" s="73" t="s">
        <v>567</v>
      </c>
      <c r="I55" s="49">
        <v>0.0</v>
      </c>
      <c r="J55" s="49" t="s">
        <v>1469</v>
      </c>
      <c r="K55" s="49" t="s">
        <v>4089</v>
      </c>
    </row>
    <row r="56" hidden="1">
      <c r="A56" s="73" t="s">
        <v>4174</v>
      </c>
      <c r="B56" s="73" t="s">
        <v>4175</v>
      </c>
      <c r="C56" s="73" t="b">
        <v>1</v>
      </c>
      <c r="D56" s="73" t="s">
        <v>4101</v>
      </c>
      <c r="E56" s="21"/>
      <c r="F56" s="73" t="b">
        <v>0</v>
      </c>
      <c r="G56" s="73" t="s">
        <v>4098</v>
      </c>
      <c r="H56" s="21"/>
      <c r="I56" s="49">
        <v>0.0</v>
      </c>
      <c r="K56" s="49" t="s">
        <v>4089</v>
      </c>
    </row>
    <row r="57" hidden="1">
      <c r="A57" s="73" t="s">
        <v>4176</v>
      </c>
      <c r="B57" s="73" t="s">
        <v>4177</v>
      </c>
      <c r="C57" s="73" t="b">
        <v>0</v>
      </c>
      <c r="D57" s="73" t="s">
        <v>4142</v>
      </c>
      <c r="E57" s="21"/>
      <c r="F57" s="73" t="b">
        <v>0</v>
      </c>
      <c r="G57" s="73" t="s">
        <v>4098</v>
      </c>
      <c r="H57" s="21"/>
      <c r="I57" s="49">
        <v>0.0</v>
      </c>
      <c r="K57" s="49" t="s">
        <v>4089</v>
      </c>
    </row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G$1:$G$1000">
    <filterColumn colId="0">
      <filters>
        <filter val="Owner"/>
      </filters>
    </filterColumn>
  </autoFilter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25.38"/>
    <col customWidth="1" min="2" max="2" width="32.38"/>
    <col customWidth="1" hidden="1" min="3" max="3" width="16.5"/>
    <col customWidth="1" min="4" max="4" width="19.38"/>
    <col customWidth="1" min="5" max="5" width="22.25"/>
    <col hidden="1" min="6" max="6" width="12.63"/>
    <col customWidth="1" min="7" max="7" width="22.13"/>
    <col customWidth="1" hidden="1" min="8" max="8" width="27.13"/>
    <col customWidth="1" min="9" max="9" width="31.5"/>
    <col hidden="1" min="10" max="13" width="12.63"/>
    <col customWidth="1" hidden="1" min="14" max="14" width="28.13"/>
    <col customWidth="1" min="15" max="15" width="13.38"/>
  </cols>
  <sheetData>
    <row r="1">
      <c r="A1" s="30" t="s">
        <v>4178</v>
      </c>
      <c r="B1" s="26" t="s">
        <v>4179</v>
      </c>
      <c r="C1" s="26" t="s">
        <v>4180</v>
      </c>
      <c r="D1" s="26" t="s">
        <v>4086</v>
      </c>
      <c r="E1" s="26" t="s">
        <v>4181</v>
      </c>
      <c r="F1" s="26" t="s">
        <v>4182</v>
      </c>
      <c r="G1" s="26" t="s">
        <v>4183</v>
      </c>
      <c r="H1" s="26" t="s">
        <v>4184</v>
      </c>
      <c r="I1" s="26" t="s">
        <v>2023</v>
      </c>
      <c r="J1" s="26" t="s">
        <v>4185</v>
      </c>
      <c r="K1" s="26" t="s">
        <v>4186</v>
      </c>
      <c r="L1" s="26" t="s">
        <v>4187</v>
      </c>
      <c r="M1" s="26" t="s">
        <v>4188</v>
      </c>
      <c r="N1" s="29" t="s">
        <v>4189</v>
      </c>
      <c r="O1" s="29" t="s">
        <v>1462</v>
      </c>
      <c r="P1" s="27" t="s">
        <v>1459</v>
      </c>
      <c r="Q1" s="28" t="s">
        <v>1460</v>
      </c>
      <c r="R1" s="28" t="s">
        <v>1461</v>
      </c>
      <c r="S1" s="30"/>
      <c r="T1" s="30"/>
      <c r="U1" s="30"/>
      <c r="V1" s="30"/>
      <c r="W1" s="30"/>
      <c r="X1" s="30"/>
      <c r="Y1" s="30"/>
      <c r="Z1" s="30"/>
      <c r="AA1" s="30"/>
    </row>
    <row r="2">
      <c r="A2" s="30"/>
      <c r="B2" s="31" t="s">
        <v>4190</v>
      </c>
      <c r="C2" s="31" t="b">
        <v>0</v>
      </c>
      <c r="D2" s="31" t="s">
        <v>4191</v>
      </c>
      <c r="E2" s="31" t="s">
        <v>4192</v>
      </c>
      <c r="F2" s="31" t="b">
        <v>0</v>
      </c>
      <c r="G2" s="31" t="s">
        <v>1744</v>
      </c>
      <c r="H2" s="31" t="s">
        <v>724</v>
      </c>
      <c r="I2" s="31" t="s">
        <v>724</v>
      </c>
      <c r="J2" s="30" t="s">
        <v>4193</v>
      </c>
      <c r="K2" s="30" t="s">
        <v>4194</v>
      </c>
      <c r="L2" s="30"/>
      <c r="M2" s="30"/>
      <c r="N2" s="31" t="str">
        <f>VLOOKUP(I2,'Active Employees'!$B$2:$B$498,1,false)</f>
        <v>alex.hokanson@docker.com</v>
      </c>
      <c r="O2" s="33" t="s">
        <v>1469</v>
      </c>
      <c r="P2" s="31"/>
      <c r="Q2" s="31"/>
      <c r="R2" s="31"/>
      <c r="S2" s="30"/>
      <c r="T2" s="30"/>
      <c r="U2" s="30"/>
      <c r="V2" s="30"/>
      <c r="W2" s="30"/>
      <c r="X2" s="30"/>
      <c r="Y2" s="30"/>
      <c r="Z2" s="30"/>
      <c r="AA2" s="30"/>
    </row>
    <row r="3">
      <c r="A3" s="30"/>
      <c r="B3" s="31" t="s">
        <v>4195</v>
      </c>
      <c r="C3" s="31" t="b">
        <v>0</v>
      </c>
      <c r="D3" s="31" t="s">
        <v>4196</v>
      </c>
      <c r="E3" s="31" t="s">
        <v>4192</v>
      </c>
      <c r="F3" s="31" t="b">
        <v>0</v>
      </c>
      <c r="G3" s="31" t="s">
        <v>1744</v>
      </c>
      <c r="H3" s="31" t="s">
        <v>724</v>
      </c>
      <c r="I3" s="31" t="s">
        <v>724</v>
      </c>
      <c r="J3" s="30" t="s">
        <v>4193</v>
      </c>
      <c r="K3" s="30" t="s">
        <v>4194</v>
      </c>
      <c r="L3" s="30"/>
      <c r="M3" s="30"/>
      <c r="N3" s="31" t="str">
        <f>VLOOKUP(I3,'Active Employees'!$B$2:$B$498,1,false)</f>
        <v>alex.hokanson@docker.com</v>
      </c>
      <c r="O3" s="33" t="s">
        <v>1469</v>
      </c>
      <c r="P3" s="31"/>
      <c r="Q3" s="31"/>
      <c r="R3" s="31"/>
      <c r="S3" s="30"/>
      <c r="T3" s="30"/>
      <c r="U3" s="30"/>
      <c r="V3" s="30"/>
      <c r="W3" s="30"/>
      <c r="X3" s="30"/>
      <c r="Y3" s="30"/>
      <c r="Z3" s="30"/>
      <c r="AA3" s="30"/>
    </row>
    <row r="4">
      <c r="A4" s="30"/>
      <c r="B4" s="31" t="s">
        <v>4197</v>
      </c>
      <c r="C4" s="31" t="b">
        <v>0</v>
      </c>
      <c r="D4" s="31" t="s">
        <v>4196</v>
      </c>
      <c r="E4" s="31" t="s">
        <v>4192</v>
      </c>
      <c r="F4" s="31" t="b">
        <v>0</v>
      </c>
      <c r="G4" s="31" t="s">
        <v>1744</v>
      </c>
      <c r="H4" s="31" t="s">
        <v>724</v>
      </c>
      <c r="I4" s="31" t="s">
        <v>724</v>
      </c>
      <c r="J4" s="30" t="s">
        <v>4193</v>
      </c>
      <c r="K4" s="30" t="s">
        <v>4194</v>
      </c>
      <c r="L4" s="30"/>
      <c r="M4" s="30"/>
      <c r="N4" s="31" t="str">
        <f>VLOOKUP(I4,'Active Employees'!$B$2:$B$498,1,false)</f>
        <v>alex.hokanson@docker.com</v>
      </c>
      <c r="O4" s="33" t="s">
        <v>1469</v>
      </c>
      <c r="P4" s="31"/>
      <c r="Q4" s="31"/>
      <c r="R4" s="31"/>
      <c r="S4" s="30"/>
      <c r="T4" s="30"/>
      <c r="U4" s="30"/>
      <c r="V4" s="30"/>
      <c r="W4" s="30"/>
      <c r="X4" s="30"/>
      <c r="Y4" s="30"/>
      <c r="Z4" s="30"/>
      <c r="AA4" s="30"/>
    </row>
    <row r="5">
      <c r="A5" s="30"/>
      <c r="B5" s="31" t="s">
        <v>4198</v>
      </c>
      <c r="C5" s="31" t="b">
        <v>0</v>
      </c>
      <c r="D5" s="31" t="s">
        <v>4196</v>
      </c>
      <c r="E5" s="31" t="s">
        <v>4192</v>
      </c>
      <c r="F5" s="31" t="b">
        <v>0</v>
      </c>
      <c r="G5" s="31" t="s">
        <v>1744</v>
      </c>
      <c r="H5" s="31" t="s">
        <v>724</v>
      </c>
      <c r="I5" s="31" t="s">
        <v>724</v>
      </c>
      <c r="J5" s="30" t="s">
        <v>4193</v>
      </c>
      <c r="K5" s="30" t="s">
        <v>4194</v>
      </c>
      <c r="L5" s="30"/>
      <c r="M5" s="30"/>
      <c r="N5" s="31" t="str">
        <f>VLOOKUP(I5,'Active Employees'!$B$2:$B$498,1,false)</f>
        <v>alex.hokanson@docker.com</v>
      </c>
      <c r="O5" s="33" t="s">
        <v>1469</v>
      </c>
      <c r="P5" s="31"/>
      <c r="Q5" s="31"/>
      <c r="R5" s="31"/>
      <c r="S5" s="30"/>
      <c r="T5" s="30"/>
      <c r="U5" s="30"/>
      <c r="V5" s="30"/>
      <c r="W5" s="30"/>
      <c r="X5" s="30"/>
      <c r="Y5" s="30"/>
      <c r="Z5" s="30"/>
      <c r="AA5" s="30"/>
    </row>
    <row r="6">
      <c r="A6" s="30"/>
      <c r="B6" s="31" t="s">
        <v>4199</v>
      </c>
      <c r="C6" s="31" t="b">
        <v>0</v>
      </c>
      <c r="D6" s="31" t="s">
        <v>4196</v>
      </c>
      <c r="E6" s="31" t="s">
        <v>4192</v>
      </c>
      <c r="F6" s="31" t="b">
        <v>0</v>
      </c>
      <c r="G6" s="31" t="s">
        <v>1744</v>
      </c>
      <c r="H6" s="31" t="s">
        <v>724</v>
      </c>
      <c r="I6" s="31" t="s">
        <v>724</v>
      </c>
      <c r="J6" s="30" t="s">
        <v>4193</v>
      </c>
      <c r="K6" s="30" t="s">
        <v>4194</v>
      </c>
      <c r="L6" s="30"/>
      <c r="M6" s="30"/>
      <c r="N6" s="31" t="str">
        <f>VLOOKUP(I6,'Active Employees'!$B$2:$B$498,1,false)</f>
        <v>alex.hokanson@docker.com</v>
      </c>
      <c r="O6" s="33" t="s">
        <v>1469</v>
      </c>
      <c r="P6" s="31"/>
      <c r="Q6" s="31"/>
      <c r="R6" s="31"/>
      <c r="S6" s="30"/>
      <c r="T6" s="30"/>
      <c r="U6" s="30"/>
      <c r="V6" s="30"/>
      <c r="W6" s="30"/>
      <c r="X6" s="30"/>
      <c r="Y6" s="30"/>
      <c r="Z6" s="30"/>
      <c r="AA6" s="30"/>
    </row>
    <row r="7">
      <c r="A7" s="30"/>
      <c r="B7" s="31" t="s">
        <v>4200</v>
      </c>
      <c r="C7" s="31" t="b">
        <v>0</v>
      </c>
      <c r="D7" s="31" t="s">
        <v>4196</v>
      </c>
      <c r="E7" s="31" t="s">
        <v>4192</v>
      </c>
      <c r="F7" s="31" t="b">
        <v>0</v>
      </c>
      <c r="G7" s="31" t="s">
        <v>1744</v>
      </c>
      <c r="H7" s="31" t="s">
        <v>724</v>
      </c>
      <c r="I7" s="31" t="s">
        <v>724</v>
      </c>
      <c r="J7" s="30" t="s">
        <v>4193</v>
      </c>
      <c r="K7" s="30" t="s">
        <v>4194</v>
      </c>
      <c r="L7" s="30"/>
      <c r="M7" s="30"/>
      <c r="N7" s="31" t="str">
        <f>VLOOKUP(I7,'Active Employees'!$B$2:$B$498,1,false)</f>
        <v>alex.hokanson@docker.com</v>
      </c>
      <c r="O7" s="33" t="s">
        <v>1469</v>
      </c>
      <c r="P7" s="31"/>
      <c r="Q7" s="31"/>
      <c r="R7" s="31"/>
      <c r="S7" s="30"/>
      <c r="T7" s="30"/>
      <c r="U7" s="30"/>
      <c r="V7" s="30"/>
      <c r="W7" s="30"/>
      <c r="X7" s="30"/>
      <c r="Y7" s="30"/>
      <c r="Z7" s="30"/>
      <c r="AA7" s="30"/>
    </row>
    <row r="8">
      <c r="A8" s="30"/>
      <c r="B8" s="31" t="s">
        <v>4201</v>
      </c>
      <c r="C8" s="31" t="b">
        <v>0</v>
      </c>
      <c r="D8" s="31" t="s">
        <v>4196</v>
      </c>
      <c r="E8" s="31" t="s">
        <v>4192</v>
      </c>
      <c r="F8" s="31" t="b">
        <v>0</v>
      </c>
      <c r="G8" s="31" t="s">
        <v>1744</v>
      </c>
      <c r="H8" s="31" t="s">
        <v>724</v>
      </c>
      <c r="I8" s="31" t="s">
        <v>724</v>
      </c>
      <c r="J8" s="30" t="s">
        <v>4193</v>
      </c>
      <c r="K8" s="30" t="s">
        <v>4194</v>
      </c>
      <c r="L8" s="30"/>
      <c r="M8" s="30"/>
      <c r="N8" s="31" t="str">
        <f>VLOOKUP(I8,'Active Employees'!$B$2:$B$498,1,false)</f>
        <v>alex.hokanson@docker.com</v>
      </c>
      <c r="O8" s="33" t="s">
        <v>1469</v>
      </c>
      <c r="P8" s="31"/>
      <c r="Q8" s="31"/>
      <c r="R8" s="31"/>
      <c r="S8" s="30"/>
      <c r="T8" s="30"/>
      <c r="U8" s="30"/>
      <c r="V8" s="30"/>
      <c r="W8" s="30"/>
      <c r="X8" s="30"/>
      <c r="Y8" s="30"/>
      <c r="Z8" s="30"/>
      <c r="AA8" s="30"/>
    </row>
    <row r="9">
      <c r="A9" s="30"/>
      <c r="B9" s="31" t="s">
        <v>4202</v>
      </c>
      <c r="C9" s="31" t="b">
        <v>0</v>
      </c>
      <c r="D9" s="31" t="s">
        <v>4196</v>
      </c>
      <c r="E9" s="31" t="s">
        <v>4192</v>
      </c>
      <c r="F9" s="31" t="b">
        <v>0</v>
      </c>
      <c r="G9" s="31" t="s">
        <v>1744</v>
      </c>
      <c r="H9" s="31" t="s">
        <v>724</v>
      </c>
      <c r="I9" s="31" t="s">
        <v>724</v>
      </c>
      <c r="J9" s="30" t="s">
        <v>4193</v>
      </c>
      <c r="K9" s="30" t="s">
        <v>4194</v>
      </c>
      <c r="L9" s="30"/>
      <c r="M9" s="30"/>
      <c r="N9" s="31" t="str">
        <f>VLOOKUP(I9,'Active Employees'!$B$2:$B$498,1,false)</f>
        <v>alex.hokanson@docker.com</v>
      </c>
      <c r="O9" s="33" t="s">
        <v>1469</v>
      </c>
      <c r="P9" s="31"/>
      <c r="Q9" s="31"/>
      <c r="R9" s="31"/>
      <c r="S9" s="30"/>
      <c r="T9" s="30"/>
      <c r="U9" s="30"/>
      <c r="V9" s="30"/>
      <c r="W9" s="30"/>
      <c r="X9" s="30"/>
      <c r="Y9" s="30"/>
      <c r="Z9" s="30"/>
      <c r="AA9" s="30"/>
    </row>
    <row r="10">
      <c r="A10" s="30"/>
      <c r="B10" s="31" t="s">
        <v>4203</v>
      </c>
      <c r="C10" s="31" t="b">
        <v>0</v>
      </c>
      <c r="D10" s="31" t="s">
        <v>4196</v>
      </c>
      <c r="E10" s="31" t="s">
        <v>4192</v>
      </c>
      <c r="F10" s="31" t="b">
        <v>0</v>
      </c>
      <c r="G10" s="31" t="s">
        <v>1744</v>
      </c>
      <c r="H10" s="31" t="s">
        <v>724</v>
      </c>
      <c r="I10" s="31" t="s">
        <v>724</v>
      </c>
      <c r="J10" s="30" t="s">
        <v>4193</v>
      </c>
      <c r="K10" s="30" t="s">
        <v>4194</v>
      </c>
      <c r="L10" s="30"/>
      <c r="M10" s="30"/>
      <c r="N10" s="31" t="str">
        <f>VLOOKUP(I10,'Active Employees'!$B$2:$B$498,1,false)</f>
        <v>alex.hokanson@docker.com</v>
      </c>
      <c r="O10" s="33" t="s">
        <v>1469</v>
      </c>
      <c r="P10" s="31"/>
      <c r="Q10" s="31"/>
      <c r="R10" s="31"/>
      <c r="S10" s="30"/>
      <c r="T10" s="30"/>
      <c r="U10" s="30"/>
      <c r="V10" s="30"/>
      <c r="W10" s="30"/>
      <c r="X10" s="30"/>
      <c r="Y10" s="30"/>
      <c r="Z10" s="30"/>
      <c r="AA10" s="30"/>
    </row>
    <row r="11">
      <c r="A11" s="30"/>
      <c r="B11" s="31" t="s">
        <v>4204</v>
      </c>
      <c r="C11" s="31" t="b">
        <v>0</v>
      </c>
      <c r="D11" s="31" t="s">
        <v>4196</v>
      </c>
      <c r="E11" s="31" t="s">
        <v>4192</v>
      </c>
      <c r="F11" s="31" t="b">
        <v>0</v>
      </c>
      <c r="G11" s="31" t="s">
        <v>1744</v>
      </c>
      <c r="H11" s="31" t="s">
        <v>724</v>
      </c>
      <c r="I11" s="31" t="s">
        <v>724</v>
      </c>
      <c r="J11" s="30" t="s">
        <v>4193</v>
      </c>
      <c r="K11" s="30" t="s">
        <v>4194</v>
      </c>
      <c r="L11" s="30"/>
      <c r="M11" s="30"/>
      <c r="N11" s="31" t="str">
        <f>VLOOKUP(I11,'Active Employees'!$B$2:$B$498,1,false)</f>
        <v>alex.hokanson@docker.com</v>
      </c>
      <c r="O11" s="33" t="s">
        <v>1469</v>
      </c>
      <c r="P11" s="31"/>
      <c r="Q11" s="31"/>
      <c r="R11" s="31"/>
      <c r="S11" s="30"/>
      <c r="T11" s="30"/>
      <c r="U11" s="30"/>
      <c r="V11" s="30"/>
      <c r="W11" s="30"/>
      <c r="X11" s="30"/>
      <c r="Y11" s="30"/>
      <c r="Z11" s="30"/>
      <c r="AA11" s="30"/>
    </row>
    <row r="12">
      <c r="A12" s="30"/>
      <c r="B12" s="31" t="s">
        <v>4205</v>
      </c>
      <c r="C12" s="31" t="b">
        <v>0</v>
      </c>
      <c r="D12" s="31" t="s">
        <v>4196</v>
      </c>
      <c r="E12" s="31" t="s">
        <v>4192</v>
      </c>
      <c r="F12" s="31" t="b">
        <v>0</v>
      </c>
      <c r="G12" s="31" t="s">
        <v>1744</v>
      </c>
      <c r="H12" s="31" t="s">
        <v>724</v>
      </c>
      <c r="I12" s="31" t="s">
        <v>724</v>
      </c>
      <c r="J12" s="30" t="s">
        <v>4193</v>
      </c>
      <c r="K12" s="30" t="s">
        <v>4194</v>
      </c>
      <c r="L12" s="30"/>
      <c r="M12" s="30"/>
      <c r="N12" s="31" t="str">
        <f>VLOOKUP(I12,'Active Employees'!$B$2:$B$498,1,false)</f>
        <v>alex.hokanson@docker.com</v>
      </c>
      <c r="O12" s="33" t="s">
        <v>1469</v>
      </c>
      <c r="P12" s="31"/>
      <c r="Q12" s="31"/>
      <c r="R12" s="31"/>
      <c r="S12" s="30"/>
      <c r="T12" s="30"/>
      <c r="U12" s="30"/>
      <c r="V12" s="30"/>
      <c r="W12" s="30"/>
      <c r="X12" s="30"/>
      <c r="Y12" s="30"/>
      <c r="Z12" s="30"/>
      <c r="AA12" s="30"/>
    </row>
    <row r="13">
      <c r="A13" s="30"/>
      <c r="B13" s="31" t="s">
        <v>4206</v>
      </c>
      <c r="C13" s="31" t="b">
        <v>0</v>
      </c>
      <c r="D13" s="31" t="s">
        <v>4196</v>
      </c>
      <c r="E13" s="31" t="s">
        <v>4192</v>
      </c>
      <c r="F13" s="31" t="b">
        <v>0</v>
      </c>
      <c r="G13" s="31" t="s">
        <v>1744</v>
      </c>
      <c r="H13" s="31" t="s">
        <v>724</v>
      </c>
      <c r="I13" s="31" t="s">
        <v>724</v>
      </c>
      <c r="J13" s="30" t="s">
        <v>4193</v>
      </c>
      <c r="K13" s="30" t="s">
        <v>4194</v>
      </c>
      <c r="L13" s="30"/>
      <c r="M13" s="30"/>
      <c r="N13" s="31" t="str">
        <f>VLOOKUP(I13,'Active Employees'!$B$2:$B$498,1,false)</f>
        <v>alex.hokanson@docker.com</v>
      </c>
      <c r="O13" s="33" t="s">
        <v>1469</v>
      </c>
      <c r="P13" s="31"/>
      <c r="Q13" s="31"/>
      <c r="R13" s="31"/>
      <c r="S13" s="30"/>
      <c r="T13" s="30"/>
      <c r="U13" s="30"/>
      <c r="V13" s="30"/>
      <c r="W13" s="30"/>
      <c r="X13" s="30"/>
      <c r="Y13" s="30"/>
      <c r="Z13" s="30"/>
      <c r="AA13" s="30"/>
    </row>
    <row r="14">
      <c r="A14" s="30"/>
      <c r="B14" s="31" t="s">
        <v>4207</v>
      </c>
      <c r="C14" s="31" t="b">
        <v>0</v>
      </c>
      <c r="D14" s="31" t="s">
        <v>4196</v>
      </c>
      <c r="E14" s="31" t="s">
        <v>4192</v>
      </c>
      <c r="F14" s="31" t="b">
        <v>0</v>
      </c>
      <c r="G14" s="31" t="s">
        <v>1744</v>
      </c>
      <c r="H14" s="31" t="s">
        <v>724</v>
      </c>
      <c r="I14" s="31" t="s">
        <v>724</v>
      </c>
      <c r="J14" s="30" t="s">
        <v>4193</v>
      </c>
      <c r="K14" s="30" t="s">
        <v>4194</v>
      </c>
      <c r="L14" s="30"/>
      <c r="M14" s="30"/>
      <c r="N14" s="31" t="str">
        <f>VLOOKUP(I14,'Active Employees'!$B$2:$B$498,1,false)</f>
        <v>alex.hokanson@docker.com</v>
      </c>
      <c r="O14" s="33" t="s">
        <v>1469</v>
      </c>
      <c r="P14" s="31"/>
      <c r="Q14" s="31"/>
      <c r="R14" s="31"/>
      <c r="S14" s="30"/>
      <c r="T14" s="30"/>
      <c r="U14" s="30"/>
      <c r="V14" s="30"/>
      <c r="W14" s="30"/>
      <c r="X14" s="30"/>
      <c r="Y14" s="30"/>
      <c r="Z14" s="30"/>
      <c r="AA14" s="30"/>
    </row>
    <row r="15">
      <c r="A15" s="30"/>
      <c r="B15" s="31" t="s">
        <v>4208</v>
      </c>
      <c r="C15" s="31" t="b">
        <v>0</v>
      </c>
      <c r="D15" s="31" t="s">
        <v>4196</v>
      </c>
      <c r="E15" s="31" t="s">
        <v>4192</v>
      </c>
      <c r="F15" s="31" t="b">
        <v>0</v>
      </c>
      <c r="G15" s="31" t="s">
        <v>1744</v>
      </c>
      <c r="H15" s="31" t="s">
        <v>724</v>
      </c>
      <c r="I15" s="31" t="s">
        <v>724</v>
      </c>
      <c r="J15" s="30" t="s">
        <v>4193</v>
      </c>
      <c r="K15" s="30" t="s">
        <v>4194</v>
      </c>
      <c r="L15" s="30"/>
      <c r="M15" s="30"/>
      <c r="N15" s="31" t="str">
        <f>VLOOKUP(I15,'Active Employees'!$B$2:$B$498,1,false)</f>
        <v>alex.hokanson@docker.com</v>
      </c>
      <c r="O15" s="33" t="s">
        <v>1469</v>
      </c>
      <c r="P15" s="31"/>
      <c r="Q15" s="31"/>
      <c r="R15" s="31"/>
      <c r="S15" s="30"/>
      <c r="T15" s="30"/>
      <c r="U15" s="30"/>
      <c r="V15" s="30"/>
      <c r="W15" s="30"/>
      <c r="X15" s="30"/>
      <c r="Y15" s="30"/>
      <c r="Z15" s="30"/>
      <c r="AA15" s="30"/>
    </row>
    <row r="16">
      <c r="A16" s="30"/>
      <c r="B16" s="31" t="s">
        <v>4209</v>
      </c>
      <c r="C16" s="31" t="b">
        <v>0</v>
      </c>
      <c r="D16" s="31" t="s">
        <v>4196</v>
      </c>
      <c r="E16" s="31" t="s">
        <v>4192</v>
      </c>
      <c r="F16" s="31" t="b">
        <v>0</v>
      </c>
      <c r="G16" s="31" t="s">
        <v>1744</v>
      </c>
      <c r="H16" s="31" t="s">
        <v>724</v>
      </c>
      <c r="I16" s="31" t="s">
        <v>724</v>
      </c>
      <c r="J16" s="30" t="s">
        <v>4193</v>
      </c>
      <c r="K16" s="30" t="s">
        <v>4194</v>
      </c>
      <c r="L16" s="30"/>
      <c r="M16" s="30"/>
      <c r="N16" s="31" t="str">
        <f>VLOOKUP(I16,'Active Employees'!$B$2:$B$498,1,false)</f>
        <v>alex.hokanson@docker.com</v>
      </c>
      <c r="O16" s="33" t="s">
        <v>1469</v>
      </c>
      <c r="P16" s="31"/>
      <c r="Q16" s="31"/>
      <c r="R16" s="31"/>
      <c r="S16" s="30"/>
      <c r="T16" s="30"/>
      <c r="U16" s="30"/>
      <c r="V16" s="30"/>
      <c r="W16" s="30"/>
      <c r="X16" s="30"/>
      <c r="Y16" s="30"/>
      <c r="Z16" s="30"/>
      <c r="AA16" s="30"/>
    </row>
    <row r="17">
      <c r="A17" s="30"/>
      <c r="B17" s="31" t="s">
        <v>1974</v>
      </c>
      <c r="C17" s="31" t="b">
        <v>0</v>
      </c>
      <c r="D17" s="31" t="s">
        <v>4196</v>
      </c>
      <c r="E17" s="31" t="s">
        <v>4192</v>
      </c>
      <c r="F17" s="31" t="b">
        <v>0</v>
      </c>
      <c r="G17" s="31" t="s">
        <v>1744</v>
      </c>
      <c r="H17" s="31" t="s">
        <v>724</v>
      </c>
      <c r="I17" s="31" t="s">
        <v>724</v>
      </c>
      <c r="J17" s="30" t="s">
        <v>4193</v>
      </c>
      <c r="K17" s="30" t="s">
        <v>4194</v>
      </c>
      <c r="L17" s="30"/>
      <c r="M17" s="30"/>
      <c r="N17" s="31" t="str">
        <f>VLOOKUP(I17,'Active Employees'!$B$2:$B$498,1,false)</f>
        <v>alex.hokanson@docker.com</v>
      </c>
      <c r="O17" s="33" t="s">
        <v>1469</v>
      </c>
      <c r="P17" s="31"/>
      <c r="Q17" s="31"/>
      <c r="R17" s="31"/>
      <c r="S17" s="30"/>
      <c r="T17" s="30"/>
      <c r="U17" s="30"/>
      <c r="V17" s="30"/>
      <c r="W17" s="30"/>
      <c r="X17" s="30"/>
      <c r="Y17" s="30"/>
      <c r="Z17" s="30"/>
      <c r="AA17" s="30"/>
    </row>
    <row r="18">
      <c r="A18" s="30"/>
      <c r="B18" s="31" t="s">
        <v>4210</v>
      </c>
      <c r="C18" s="31" t="b">
        <v>0</v>
      </c>
      <c r="D18" s="31" t="s">
        <v>4196</v>
      </c>
      <c r="E18" s="31" t="s">
        <v>4192</v>
      </c>
      <c r="F18" s="31" t="b">
        <v>0</v>
      </c>
      <c r="G18" s="31" t="s">
        <v>1744</v>
      </c>
      <c r="H18" s="31" t="s">
        <v>724</v>
      </c>
      <c r="I18" s="31" t="s">
        <v>724</v>
      </c>
      <c r="J18" s="30" t="s">
        <v>4193</v>
      </c>
      <c r="K18" s="30" t="s">
        <v>4194</v>
      </c>
      <c r="L18" s="30"/>
      <c r="M18" s="30"/>
      <c r="N18" s="31" t="str">
        <f>VLOOKUP(I18,'Active Employees'!$B$2:$B$498,1,false)</f>
        <v>alex.hokanson@docker.com</v>
      </c>
      <c r="O18" s="33" t="s">
        <v>1469</v>
      </c>
      <c r="P18" s="31"/>
      <c r="Q18" s="31"/>
      <c r="R18" s="31"/>
      <c r="S18" s="30"/>
      <c r="T18" s="30"/>
      <c r="U18" s="30"/>
      <c r="V18" s="30"/>
      <c r="W18" s="30"/>
      <c r="X18" s="30"/>
      <c r="Y18" s="30"/>
      <c r="Z18" s="30"/>
      <c r="AA18" s="30"/>
    </row>
    <row r="19">
      <c r="A19" s="30"/>
      <c r="B19" s="31" t="s">
        <v>4211</v>
      </c>
      <c r="C19" s="31" t="b">
        <v>0</v>
      </c>
      <c r="D19" s="31" t="s">
        <v>4196</v>
      </c>
      <c r="E19" s="31" t="s">
        <v>4192</v>
      </c>
      <c r="F19" s="31" t="b">
        <v>0</v>
      </c>
      <c r="G19" s="31" t="s">
        <v>1744</v>
      </c>
      <c r="H19" s="31" t="s">
        <v>724</v>
      </c>
      <c r="I19" s="31" t="s">
        <v>724</v>
      </c>
      <c r="J19" s="30" t="s">
        <v>4193</v>
      </c>
      <c r="K19" s="30" t="s">
        <v>4194</v>
      </c>
      <c r="L19" s="30"/>
      <c r="M19" s="30"/>
      <c r="N19" s="31" t="str">
        <f>VLOOKUP(I19,'Active Employees'!$B$2:$B$498,1,false)</f>
        <v>alex.hokanson@docker.com</v>
      </c>
      <c r="O19" s="33" t="s">
        <v>1469</v>
      </c>
      <c r="P19" s="31"/>
      <c r="Q19" s="31"/>
      <c r="R19" s="31"/>
      <c r="S19" s="30"/>
      <c r="T19" s="30"/>
      <c r="U19" s="30"/>
      <c r="V19" s="30"/>
      <c r="W19" s="30"/>
      <c r="X19" s="30"/>
      <c r="Y19" s="30"/>
      <c r="Z19" s="30"/>
      <c r="AA19" s="30"/>
    </row>
    <row r="20">
      <c r="A20" s="30"/>
      <c r="B20" s="31" t="s">
        <v>4212</v>
      </c>
      <c r="C20" s="31" t="b">
        <v>0</v>
      </c>
      <c r="D20" s="31" t="s">
        <v>4196</v>
      </c>
      <c r="E20" s="31" t="s">
        <v>4192</v>
      </c>
      <c r="F20" s="31" t="b">
        <v>0</v>
      </c>
      <c r="G20" s="31" t="s">
        <v>1744</v>
      </c>
      <c r="H20" s="31" t="s">
        <v>724</v>
      </c>
      <c r="I20" s="31" t="s">
        <v>724</v>
      </c>
      <c r="J20" s="30" t="s">
        <v>4193</v>
      </c>
      <c r="K20" s="30" t="s">
        <v>4194</v>
      </c>
      <c r="L20" s="30"/>
      <c r="M20" s="30"/>
      <c r="N20" s="31" t="str">
        <f>VLOOKUP(I20,'Active Employees'!$B$2:$B$498,1,false)</f>
        <v>alex.hokanson@docker.com</v>
      </c>
      <c r="O20" s="33" t="s">
        <v>1469</v>
      </c>
      <c r="P20" s="31"/>
      <c r="Q20" s="31"/>
      <c r="R20" s="31"/>
      <c r="S20" s="30"/>
      <c r="T20" s="30"/>
      <c r="U20" s="30"/>
      <c r="V20" s="30"/>
      <c r="W20" s="30"/>
      <c r="X20" s="30"/>
      <c r="Y20" s="30"/>
      <c r="Z20" s="30"/>
      <c r="AA20" s="30"/>
    </row>
    <row r="21">
      <c r="A21" s="30"/>
      <c r="B21" s="31" t="s">
        <v>4213</v>
      </c>
      <c r="C21" s="31" t="b">
        <v>0</v>
      </c>
      <c r="D21" s="31" t="s">
        <v>4196</v>
      </c>
      <c r="E21" s="31" t="s">
        <v>4192</v>
      </c>
      <c r="F21" s="31" t="b">
        <v>0</v>
      </c>
      <c r="G21" s="31" t="s">
        <v>1744</v>
      </c>
      <c r="H21" s="31" t="s">
        <v>724</v>
      </c>
      <c r="I21" s="31" t="s">
        <v>724</v>
      </c>
      <c r="J21" s="30" t="s">
        <v>4193</v>
      </c>
      <c r="K21" s="30" t="s">
        <v>4194</v>
      </c>
      <c r="L21" s="30"/>
      <c r="M21" s="30"/>
      <c r="N21" s="31" t="str">
        <f>VLOOKUP(I21,'Active Employees'!$B$2:$B$498,1,false)</f>
        <v>alex.hokanson@docker.com</v>
      </c>
      <c r="O21" s="33" t="s">
        <v>1469</v>
      </c>
      <c r="P21" s="31"/>
      <c r="Q21" s="31"/>
      <c r="R21" s="31"/>
      <c r="S21" s="30"/>
      <c r="T21" s="30"/>
      <c r="U21" s="30"/>
      <c r="V21" s="30"/>
      <c r="W21" s="30"/>
      <c r="X21" s="30"/>
      <c r="Y21" s="30"/>
      <c r="Z21" s="30"/>
      <c r="AA21" s="30"/>
    </row>
    <row r="22">
      <c r="A22" s="30"/>
      <c r="B22" s="31" t="s">
        <v>4214</v>
      </c>
      <c r="C22" s="31" t="b">
        <v>0</v>
      </c>
      <c r="D22" s="31" t="s">
        <v>4196</v>
      </c>
      <c r="E22" s="31" t="s">
        <v>4192</v>
      </c>
      <c r="F22" s="31" t="b">
        <v>0</v>
      </c>
      <c r="G22" s="31" t="s">
        <v>1744</v>
      </c>
      <c r="H22" s="31" t="s">
        <v>724</v>
      </c>
      <c r="I22" s="31" t="s">
        <v>724</v>
      </c>
      <c r="J22" s="30" t="s">
        <v>4193</v>
      </c>
      <c r="K22" s="30" t="s">
        <v>4194</v>
      </c>
      <c r="L22" s="30"/>
      <c r="M22" s="30"/>
      <c r="N22" s="31" t="str">
        <f>VLOOKUP(I22,'Active Employees'!$B$2:$B$498,1,false)</f>
        <v>alex.hokanson@docker.com</v>
      </c>
      <c r="O22" s="33" t="s">
        <v>1469</v>
      </c>
      <c r="P22" s="31"/>
      <c r="Q22" s="31"/>
      <c r="R22" s="31"/>
      <c r="S22" s="30"/>
      <c r="T22" s="30"/>
      <c r="U22" s="30"/>
      <c r="V22" s="30"/>
      <c r="W22" s="30"/>
      <c r="X22" s="30"/>
      <c r="Y22" s="30"/>
      <c r="Z22" s="30"/>
      <c r="AA22" s="30"/>
    </row>
    <row r="23">
      <c r="A23" s="30"/>
      <c r="B23" s="31" t="s">
        <v>4215</v>
      </c>
      <c r="C23" s="31" t="b">
        <v>0</v>
      </c>
      <c r="D23" s="31" t="s">
        <v>4196</v>
      </c>
      <c r="E23" s="31" t="s">
        <v>4192</v>
      </c>
      <c r="F23" s="31" t="b">
        <v>0</v>
      </c>
      <c r="G23" s="31" t="s">
        <v>1744</v>
      </c>
      <c r="H23" s="31" t="s">
        <v>724</v>
      </c>
      <c r="I23" s="31" t="s">
        <v>724</v>
      </c>
      <c r="J23" s="30" t="s">
        <v>4193</v>
      </c>
      <c r="K23" s="30" t="s">
        <v>4194</v>
      </c>
      <c r="L23" s="30"/>
      <c r="M23" s="30"/>
      <c r="N23" s="31" t="str">
        <f>VLOOKUP(I23,'Active Employees'!$B$2:$B$498,1,false)</f>
        <v>alex.hokanson@docker.com</v>
      </c>
      <c r="O23" s="33" t="s">
        <v>1469</v>
      </c>
      <c r="P23" s="31"/>
      <c r="Q23" s="31"/>
      <c r="R23" s="31"/>
      <c r="S23" s="30"/>
      <c r="T23" s="30"/>
      <c r="U23" s="30"/>
      <c r="V23" s="30"/>
      <c r="W23" s="30"/>
      <c r="X23" s="30"/>
      <c r="Y23" s="30"/>
      <c r="Z23" s="30"/>
      <c r="AA23" s="30"/>
    </row>
    <row r="24">
      <c r="A24" s="30"/>
      <c r="B24" s="31" t="s">
        <v>4216</v>
      </c>
      <c r="C24" s="31" t="b">
        <v>0</v>
      </c>
      <c r="D24" s="31" t="s">
        <v>4196</v>
      </c>
      <c r="E24" s="31" t="s">
        <v>4192</v>
      </c>
      <c r="F24" s="31" t="b">
        <v>0</v>
      </c>
      <c r="G24" s="31" t="s">
        <v>1744</v>
      </c>
      <c r="H24" s="31" t="s">
        <v>724</v>
      </c>
      <c r="I24" s="31" t="s">
        <v>724</v>
      </c>
      <c r="J24" s="30" t="s">
        <v>4193</v>
      </c>
      <c r="K24" s="30" t="s">
        <v>4194</v>
      </c>
      <c r="L24" s="30"/>
      <c r="M24" s="30"/>
      <c r="N24" s="31" t="str">
        <f>VLOOKUP(I24,'Active Employees'!$B$2:$B$498,1,false)</f>
        <v>alex.hokanson@docker.com</v>
      </c>
      <c r="O24" s="33" t="s">
        <v>1469</v>
      </c>
      <c r="P24" s="31"/>
      <c r="Q24" s="31"/>
      <c r="R24" s="31"/>
      <c r="S24" s="30"/>
      <c r="T24" s="30"/>
      <c r="U24" s="30"/>
      <c r="V24" s="30"/>
      <c r="W24" s="30"/>
      <c r="X24" s="30"/>
      <c r="Y24" s="30"/>
      <c r="Z24" s="30"/>
      <c r="AA24" s="30"/>
    </row>
    <row r="25">
      <c r="A25" s="30"/>
      <c r="B25" s="31" t="s">
        <v>4217</v>
      </c>
      <c r="C25" s="31" t="b">
        <v>0</v>
      </c>
      <c r="D25" s="31" t="s">
        <v>4196</v>
      </c>
      <c r="E25" s="31" t="s">
        <v>4192</v>
      </c>
      <c r="F25" s="31" t="b">
        <v>0</v>
      </c>
      <c r="G25" s="31" t="s">
        <v>1744</v>
      </c>
      <c r="H25" s="31" t="s">
        <v>724</v>
      </c>
      <c r="I25" s="31" t="s">
        <v>724</v>
      </c>
      <c r="J25" s="30" t="s">
        <v>4193</v>
      </c>
      <c r="K25" s="30" t="s">
        <v>4194</v>
      </c>
      <c r="L25" s="30"/>
      <c r="M25" s="30"/>
      <c r="N25" s="31" t="str">
        <f>VLOOKUP(I25,'Active Employees'!$B$2:$B$498,1,false)</f>
        <v>alex.hokanson@docker.com</v>
      </c>
      <c r="O25" s="33" t="s">
        <v>1469</v>
      </c>
      <c r="P25" s="31"/>
      <c r="Q25" s="31"/>
      <c r="R25" s="31"/>
      <c r="S25" s="30"/>
      <c r="T25" s="30"/>
      <c r="U25" s="30"/>
      <c r="V25" s="30"/>
      <c r="W25" s="30"/>
      <c r="X25" s="30"/>
      <c r="Y25" s="30"/>
      <c r="Z25" s="30"/>
      <c r="AA25" s="30"/>
    </row>
    <row r="26">
      <c r="A26" s="30"/>
      <c r="B26" s="31" t="s">
        <v>4218</v>
      </c>
      <c r="C26" s="31" t="b">
        <v>0</v>
      </c>
      <c r="D26" s="31" t="s">
        <v>4196</v>
      </c>
      <c r="E26" s="31" t="s">
        <v>4192</v>
      </c>
      <c r="F26" s="31" t="b">
        <v>0</v>
      </c>
      <c r="G26" s="31" t="s">
        <v>1744</v>
      </c>
      <c r="H26" s="31" t="s">
        <v>724</v>
      </c>
      <c r="I26" s="31" t="s">
        <v>724</v>
      </c>
      <c r="J26" s="30" t="s">
        <v>4193</v>
      </c>
      <c r="K26" s="30" t="s">
        <v>4194</v>
      </c>
      <c r="L26" s="30"/>
      <c r="M26" s="30"/>
      <c r="N26" s="31" t="str">
        <f>VLOOKUP(I26,'Active Employees'!$B$2:$B$498,1,false)</f>
        <v>alex.hokanson@docker.com</v>
      </c>
      <c r="O26" s="33" t="s">
        <v>1469</v>
      </c>
      <c r="P26" s="31"/>
      <c r="Q26" s="31"/>
      <c r="R26" s="31"/>
      <c r="S26" s="30"/>
      <c r="T26" s="30"/>
      <c r="U26" s="30"/>
      <c r="V26" s="30"/>
      <c r="W26" s="30"/>
      <c r="X26" s="30"/>
      <c r="Y26" s="30"/>
      <c r="Z26" s="30"/>
      <c r="AA26" s="30"/>
    </row>
    <row r="27">
      <c r="A27" s="30"/>
      <c r="B27" s="31" t="s">
        <v>4219</v>
      </c>
      <c r="C27" s="31" t="b">
        <v>0</v>
      </c>
      <c r="D27" s="31" t="s">
        <v>4196</v>
      </c>
      <c r="E27" s="31" t="s">
        <v>4192</v>
      </c>
      <c r="F27" s="31" t="b">
        <v>0</v>
      </c>
      <c r="G27" s="31" t="s">
        <v>1744</v>
      </c>
      <c r="H27" s="31" t="s">
        <v>724</v>
      </c>
      <c r="I27" s="31" t="s">
        <v>724</v>
      </c>
      <c r="J27" s="30" t="s">
        <v>4193</v>
      </c>
      <c r="K27" s="30" t="s">
        <v>4194</v>
      </c>
      <c r="L27" s="30"/>
      <c r="M27" s="30"/>
      <c r="N27" s="31" t="str">
        <f>VLOOKUP(I27,'Active Employees'!$B$2:$B$498,1,false)</f>
        <v>alex.hokanson@docker.com</v>
      </c>
      <c r="O27" s="33" t="s">
        <v>1469</v>
      </c>
      <c r="P27" s="31"/>
      <c r="Q27" s="31"/>
      <c r="R27" s="31"/>
      <c r="S27" s="30"/>
      <c r="T27" s="30"/>
      <c r="U27" s="30"/>
      <c r="V27" s="30"/>
      <c r="W27" s="30"/>
      <c r="X27" s="30"/>
      <c r="Y27" s="30"/>
      <c r="Z27" s="30"/>
      <c r="AA27" s="30"/>
    </row>
    <row r="28">
      <c r="A28" s="30"/>
      <c r="B28" s="31" t="s">
        <v>4220</v>
      </c>
      <c r="C28" s="31" t="b">
        <v>0</v>
      </c>
      <c r="D28" s="31" t="s">
        <v>4196</v>
      </c>
      <c r="E28" s="31" t="s">
        <v>4192</v>
      </c>
      <c r="F28" s="31" t="b">
        <v>0</v>
      </c>
      <c r="G28" s="31" t="s">
        <v>1744</v>
      </c>
      <c r="H28" s="31" t="s">
        <v>724</v>
      </c>
      <c r="I28" s="31" t="s">
        <v>724</v>
      </c>
      <c r="J28" s="30" t="s">
        <v>4193</v>
      </c>
      <c r="K28" s="30" t="s">
        <v>4194</v>
      </c>
      <c r="L28" s="30"/>
      <c r="M28" s="30"/>
      <c r="N28" s="31" t="str">
        <f>VLOOKUP(I28,'Active Employees'!$B$2:$B$498,1,false)</f>
        <v>alex.hokanson@docker.com</v>
      </c>
      <c r="O28" s="33" t="s">
        <v>1469</v>
      </c>
      <c r="P28" s="31"/>
      <c r="Q28" s="31"/>
      <c r="R28" s="31"/>
      <c r="S28" s="30"/>
      <c r="T28" s="30"/>
      <c r="U28" s="30"/>
      <c r="V28" s="30"/>
      <c r="W28" s="30"/>
      <c r="X28" s="30"/>
      <c r="Y28" s="30"/>
      <c r="Z28" s="30"/>
      <c r="AA28" s="30"/>
    </row>
    <row r="29">
      <c r="A29" s="30"/>
      <c r="B29" s="31" t="s">
        <v>4221</v>
      </c>
      <c r="C29" s="31" t="b">
        <v>0</v>
      </c>
      <c r="D29" s="31" t="s">
        <v>4196</v>
      </c>
      <c r="E29" s="31" t="s">
        <v>4192</v>
      </c>
      <c r="F29" s="31" t="b">
        <v>0</v>
      </c>
      <c r="G29" s="31" t="s">
        <v>1744</v>
      </c>
      <c r="H29" s="31" t="s">
        <v>724</v>
      </c>
      <c r="I29" s="31" t="s">
        <v>724</v>
      </c>
      <c r="J29" s="30" t="s">
        <v>4193</v>
      </c>
      <c r="K29" s="30" t="s">
        <v>4194</v>
      </c>
      <c r="L29" s="30"/>
      <c r="M29" s="30"/>
      <c r="N29" s="31" t="str">
        <f>VLOOKUP(I29,'Active Employees'!$B$2:$B$498,1,false)</f>
        <v>alex.hokanson@docker.com</v>
      </c>
      <c r="O29" s="33" t="s">
        <v>1469</v>
      </c>
      <c r="P29" s="31"/>
      <c r="Q29" s="31"/>
      <c r="R29" s="31"/>
      <c r="S29" s="30"/>
      <c r="T29" s="30"/>
      <c r="U29" s="30"/>
      <c r="V29" s="30"/>
      <c r="W29" s="30"/>
      <c r="X29" s="30"/>
      <c r="Y29" s="30"/>
      <c r="Z29" s="30"/>
      <c r="AA29" s="30"/>
    </row>
    <row r="30">
      <c r="A30" s="30"/>
      <c r="B30" s="31" t="s">
        <v>4222</v>
      </c>
      <c r="C30" s="31" t="b">
        <v>0</v>
      </c>
      <c r="D30" s="31" t="s">
        <v>4196</v>
      </c>
      <c r="E30" s="31" t="s">
        <v>4192</v>
      </c>
      <c r="F30" s="31" t="b">
        <v>0</v>
      </c>
      <c r="G30" s="31" t="s">
        <v>1744</v>
      </c>
      <c r="H30" s="31" t="s">
        <v>724</v>
      </c>
      <c r="I30" s="31" t="s">
        <v>724</v>
      </c>
      <c r="J30" s="30" t="s">
        <v>4193</v>
      </c>
      <c r="K30" s="30" t="s">
        <v>4194</v>
      </c>
      <c r="L30" s="30"/>
      <c r="M30" s="30"/>
      <c r="N30" s="31" t="str">
        <f>VLOOKUP(I30,'Active Employees'!$B$2:$B$498,1,false)</f>
        <v>alex.hokanson@docker.com</v>
      </c>
      <c r="O30" s="33" t="s">
        <v>1469</v>
      </c>
      <c r="P30" s="31"/>
      <c r="Q30" s="31"/>
      <c r="R30" s="31"/>
      <c r="S30" s="30"/>
      <c r="T30" s="30"/>
      <c r="U30" s="30"/>
      <c r="V30" s="30"/>
      <c r="W30" s="30"/>
      <c r="X30" s="30"/>
      <c r="Y30" s="30"/>
      <c r="Z30" s="30"/>
      <c r="AA30" s="30"/>
    </row>
    <row r="31">
      <c r="A31" s="30"/>
      <c r="B31" s="31" t="s">
        <v>4223</v>
      </c>
      <c r="C31" s="31" t="b">
        <v>0</v>
      </c>
      <c r="D31" s="31" t="s">
        <v>4196</v>
      </c>
      <c r="E31" s="31" t="s">
        <v>4192</v>
      </c>
      <c r="F31" s="31" t="b">
        <v>0</v>
      </c>
      <c r="G31" s="31" t="s">
        <v>1744</v>
      </c>
      <c r="H31" s="31" t="s">
        <v>724</v>
      </c>
      <c r="I31" s="31" t="s">
        <v>724</v>
      </c>
      <c r="J31" s="30" t="s">
        <v>4193</v>
      </c>
      <c r="K31" s="30" t="s">
        <v>4194</v>
      </c>
      <c r="L31" s="30"/>
      <c r="M31" s="30"/>
      <c r="N31" s="31" t="str">
        <f>VLOOKUP(I31,'Active Employees'!$B$2:$B$498,1,false)</f>
        <v>alex.hokanson@docker.com</v>
      </c>
      <c r="O31" s="33" t="s">
        <v>1469</v>
      </c>
      <c r="P31" s="31"/>
      <c r="Q31" s="31"/>
      <c r="R31" s="31"/>
      <c r="S31" s="30"/>
      <c r="T31" s="30"/>
      <c r="U31" s="30"/>
      <c r="V31" s="30"/>
      <c r="W31" s="30"/>
      <c r="X31" s="30"/>
      <c r="Y31" s="30"/>
      <c r="Z31" s="30"/>
      <c r="AA31" s="30"/>
    </row>
    <row r="32">
      <c r="A32" s="30"/>
      <c r="B32" s="31" t="s">
        <v>4224</v>
      </c>
      <c r="C32" s="31" t="b">
        <v>0</v>
      </c>
      <c r="D32" s="31" t="s">
        <v>4196</v>
      </c>
      <c r="E32" s="31" t="s">
        <v>4192</v>
      </c>
      <c r="F32" s="31" t="b">
        <v>0</v>
      </c>
      <c r="G32" s="31" t="s">
        <v>1744</v>
      </c>
      <c r="H32" s="31" t="s">
        <v>724</v>
      </c>
      <c r="I32" s="31" t="s">
        <v>724</v>
      </c>
      <c r="J32" s="30" t="s">
        <v>4193</v>
      </c>
      <c r="K32" s="30" t="s">
        <v>4194</v>
      </c>
      <c r="L32" s="30"/>
      <c r="M32" s="30"/>
      <c r="N32" s="31" t="str">
        <f>VLOOKUP(I32,'Active Employees'!$B$2:$B$498,1,false)</f>
        <v>alex.hokanson@docker.com</v>
      </c>
      <c r="O32" s="33" t="s">
        <v>1469</v>
      </c>
      <c r="P32" s="31"/>
      <c r="Q32" s="31"/>
      <c r="R32" s="31"/>
      <c r="S32" s="30"/>
      <c r="T32" s="30"/>
      <c r="U32" s="30"/>
      <c r="V32" s="30"/>
      <c r="W32" s="30"/>
      <c r="X32" s="30"/>
      <c r="Y32" s="30"/>
      <c r="Z32" s="30"/>
      <c r="AA32" s="30"/>
    </row>
    <row r="33">
      <c r="A33" s="30"/>
      <c r="B33" s="31" t="s">
        <v>4225</v>
      </c>
      <c r="C33" s="31" t="b">
        <v>0</v>
      </c>
      <c r="D33" s="31" t="s">
        <v>4196</v>
      </c>
      <c r="E33" s="31" t="s">
        <v>4192</v>
      </c>
      <c r="F33" s="31" t="b">
        <v>0</v>
      </c>
      <c r="G33" s="31" t="s">
        <v>1744</v>
      </c>
      <c r="H33" s="31" t="s">
        <v>724</v>
      </c>
      <c r="I33" s="31" t="s">
        <v>724</v>
      </c>
      <c r="J33" s="30" t="s">
        <v>4193</v>
      </c>
      <c r="K33" s="30" t="s">
        <v>4194</v>
      </c>
      <c r="L33" s="30"/>
      <c r="M33" s="30"/>
      <c r="N33" s="31" t="str">
        <f>VLOOKUP(I33,'Active Employees'!$B$2:$B$498,1,false)</f>
        <v>alex.hokanson@docker.com</v>
      </c>
      <c r="O33" s="33" t="s">
        <v>1469</v>
      </c>
      <c r="P33" s="31"/>
      <c r="Q33" s="31"/>
      <c r="R33" s="31"/>
      <c r="S33" s="30"/>
      <c r="T33" s="30"/>
      <c r="U33" s="30"/>
      <c r="V33" s="30"/>
      <c r="W33" s="30"/>
      <c r="X33" s="30"/>
      <c r="Y33" s="30"/>
      <c r="Z33" s="30"/>
      <c r="AA33" s="30"/>
    </row>
    <row r="34">
      <c r="A34" s="30"/>
      <c r="B34" s="31" t="s">
        <v>4226</v>
      </c>
      <c r="C34" s="31" t="b">
        <v>0</v>
      </c>
      <c r="D34" s="31" t="s">
        <v>4196</v>
      </c>
      <c r="E34" s="31" t="s">
        <v>4192</v>
      </c>
      <c r="F34" s="31" t="b">
        <v>0</v>
      </c>
      <c r="G34" s="31" t="s">
        <v>1744</v>
      </c>
      <c r="H34" s="31" t="s">
        <v>724</v>
      </c>
      <c r="I34" s="31" t="s">
        <v>724</v>
      </c>
      <c r="J34" s="30" t="s">
        <v>4193</v>
      </c>
      <c r="K34" s="30" t="s">
        <v>4194</v>
      </c>
      <c r="L34" s="30"/>
      <c r="M34" s="30"/>
      <c r="N34" s="31" t="str">
        <f>VLOOKUP(I34,'Active Employees'!$B$2:$B$498,1,false)</f>
        <v>alex.hokanson@docker.com</v>
      </c>
      <c r="O34" s="33" t="s">
        <v>1469</v>
      </c>
      <c r="P34" s="31"/>
      <c r="Q34" s="31"/>
      <c r="R34" s="31"/>
      <c r="S34" s="30"/>
      <c r="T34" s="30"/>
      <c r="U34" s="30"/>
      <c r="V34" s="30"/>
      <c r="W34" s="30"/>
      <c r="X34" s="30"/>
      <c r="Y34" s="30"/>
      <c r="Z34" s="30"/>
      <c r="AA34" s="30"/>
    </row>
    <row r="35">
      <c r="A35" s="30"/>
      <c r="B35" s="31" t="s">
        <v>4227</v>
      </c>
      <c r="C35" s="31" t="b">
        <v>0</v>
      </c>
      <c r="D35" s="31" t="s">
        <v>4196</v>
      </c>
      <c r="E35" s="31" t="s">
        <v>4192</v>
      </c>
      <c r="F35" s="31" t="b">
        <v>0</v>
      </c>
      <c r="G35" s="31" t="s">
        <v>1744</v>
      </c>
      <c r="H35" s="31" t="s">
        <v>724</v>
      </c>
      <c r="I35" s="31" t="s">
        <v>724</v>
      </c>
      <c r="J35" s="30" t="s">
        <v>4193</v>
      </c>
      <c r="K35" s="30" t="s">
        <v>4194</v>
      </c>
      <c r="L35" s="30"/>
      <c r="M35" s="30"/>
      <c r="N35" s="31" t="str">
        <f>VLOOKUP(I35,'Active Employees'!$B$2:$B$498,1,false)</f>
        <v>alex.hokanson@docker.com</v>
      </c>
      <c r="O35" s="33" t="s">
        <v>1469</v>
      </c>
      <c r="P35" s="31"/>
      <c r="Q35" s="31"/>
      <c r="R35" s="31"/>
      <c r="S35" s="30"/>
      <c r="T35" s="30"/>
      <c r="U35" s="30"/>
      <c r="V35" s="30"/>
      <c r="W35" s="30"/>
      <c r="X35" s="30"/>
      <c r="Y35" s="30"/>
      <c r="Z35" s="30"/>
      <c r="AA35" s="30"/>
    </row>
    <row r="36">
      <c r="A36" s="30"/>
      <c r="B36" s="31" t="s">
        <v>4228</v>
      </c>
      <c r="C36" s="31" t="b">
        <v>0</v>
      </c>
      <c r="D36" s="31" t="s">
        <v>4196</v>
      </c>
      <c r="E36" s="31" t="s">
        <v>4192</v>
      </c>
      <c r="F36" s="31" t="b">
        <v>0</v>
      </c>
      <c r="G36" s="31" t="s">
        <v>1744</v>
      </c>
      <c r="H36" s="31" t="s">
        <v>724</v>
      </c>
      <c r="I36" s="31" t="s">
        <v>724</v>
      </c>
      <c r="J36" s="30" t="s">
        <v>4193</v>
      </c>
      <c r="K36" s="30" t="s">
        <v>4194</v>
      </c>
      <c r="L36" s="30"/>
      <c r="M36" s="30"/>
      <c r="N36" s="31" t="str">
        <f>VLOOKUP(I36,'Active Employees'!$B$2:$B$498,1,false)</f>
        <v>alex.hokanson@docker.com</v>
      </c>
      <c r="O36" s="33" t="s">
        <v>1469</v>
      </c>
      <c r="P36" s="31"/>
      <c r="Q36" s="31"/>
      <c r="R36" s="31"/>
      <c r="S36" s="30"/>
      <c r="T36" s="30"/>
      <c r="U36" s="30"/>
      <c r="V36" s="30"/>
      <c r="W36" s="30"/>
      <c r="X36" s="30"/>
      <c r="Y36" s="30"/>
      <c r="Z36" s="30"/>
      <c r="AA36" s="30"/>
    </row>
    <row r="37">
      <c r="A37" s="30"/>
      <c r="B37" s="31" t="s">
        <v>4229</v>
      </c>
      <c r="C37" s="31" t="b">
        <v>0</v>
      </c>
      <c r="D37" s="31" t="s">
        <v>4196</v>
      </c>
      <c r="E37" s="31" t="s">
        <v>4192</v>
      </c>
      <c r="F37" s="31" t="b">
        <v>0</v>
      </c>
      <c r="G37" s="31" t="s">
        <v>1744</v>
      </c>
      <c r="H37" s="31" t="s">
        <v>724</v>
      </c>
      <c r="I37" s="31" t="s">
        <v>724</v>
      </c>
      <c r="J37" s="30" t="s">
        <v>4193</v>
      </c>
      <c r="K37" s="30" t="s">
        <v>4194</v>
      </c>
      <c r="L37" s="30"/>
      <c r="M37" s="30"/>
      <c r="N37" s="31" t="str">
        <f>VLOOKUP(I37,'Active Employees'!$B$2:$B$498,1,false)</f>
        <v>alex.hokanson@docker.com</v>
      </c>
      <c r="O37" s="33" t="s">
        <v>1469</v>
      </c>
      <c r="P37" s="31"/>
      <c r="Q37" s="31"/>
      <c r="R37" s="31"/>
      <c r="S37" s="30"/>
      <c r="T37" s="30"/>
      <c r="U37" s="30"/>
      <c r="V37" s="30"/>
      <c r="W37" s="30"/>
      <c r="X37" s="30"/>
      <c r="Y37" s="30"/>
      <c r="Z37" s="30"/>
      <c r="AA37" s="30"/>
    </row>
    <row r="38">
      <c r="A38" s="30"/>
      <c r="B38" s="31" t="s">
        <v>4230</v>
      </c>
      <c r="C38" s="31" t="b">
        <v>0</v>
      </c>
      <c r="D38" s="31" t="s">
        <v>4231</v>
      </c>
      <c r="E38" s="31" t="s">
        <v>4192</v>
      </c>
      <c r="F38" s="31" t="b">
        <v>0</v>
      </c>
      <c r="G38" s="31" t="s">
        <v>1744</v>
      </c>
      <c r="H38" s="31" t="s">
        <v>724</v>
      </c>
      <c r="I38" s="31" t="s">
        <v>724</v>
      </c>
      <c r="J38" s="30" t="s">
        <v>4193</v>
      </c>
      <c r="K38" s="30" t="s">
        <v>4232</v>
      </c>
      <c r="L38" s="30"/>
      <c r="M38" s="30"/>
      <c r="N38" s="31" t="str">
        <f>VLOOKUP(I38,'Active Employees'!$B$2:$B$498,1,false)</f>
        <v>alex.hokanson@docker.com</v>
      </c>
      <c r="O38" s="33" t="s">
        <v>1469</v>
      </c>
      <c r="P38" s="31"/>
      <c r="Q38" s="31"/>
      <c r="R38" s="31"/>
      <c r="S38" s="30"/>
      <c r="T38" s="30"/>
      <c r="U38" s="30"/>
      <c r="V38" s="30"/>
      <c r="W38" s="30"/>
      <c r="X38" s="30"/>
      <c r="Y38" s="30"/>
      <c r="Z38" s="30"/>
      <c r="AA38" s="30"/>
    </row>
    <row r="39">
      <c r="A39" s="30"/>
      <c r="B39" s="31" t="s">
        <v>4230</v>
      </c>
      <c r="C39" s="31" t="b">
        <v>0</v>
      </c>
      <c r="D39" s="31" t="s">
        <v>4233</v>
      </c>
      <c r="E39" s="31" t="s">
        <v>4192</v>
      </c>
      <c r="F39" s="31" t="b">
        <v>0</v>
      </c>
      <c r="G39" s="31" t="s">
        <v>1515</v>
      </c>
      <c r="H39" s="31" t="s">
        <v>1397</v>
      </c>
      <c r="I39" s="31" t="s">
        <v>1397</v>
      </c>
      <c r="J39" s="30" t="s">
        <v>4234</v>
      </c>
      <c r="K39" s="30" t="s">
        <v>4232</v>
      </c>
      <c r="L39" s="30"/>
      <c r="M39" s="30"/>
      <c r="N39" s="31" t="str">
        <f>VLOOKUP(I39,'Active Employees'!$B$2:$B$498,1,false)</f>
        <v>alexandre.valliereslagace@docker.com</v>
      </c>
      <c r="O39" s="33" t="s">
        <v>1469</v>
      </c>
      <c r="P39" s="31"/>
      <c r="Q39" s="31"/>
      <c r="R39" s="31"/>
      <c r="S39" s="30"/>
      <c r="T39" s="30"/>
      <c r="U39" s="30"/>
      <c r="V39" s="30"/>
      <c r="W39" s="30"/>
      <c r="X39" s="30"/>
      <c r="Y39" s="30"/>
      <c r="Z39" s="30"/>
      <c r="AA39" s="30"/>
    </row>
    <row r="40">
      <c r="A40" s="30"/>
      <c r="B40" s="31" t="s">
        <v>4230</v>
      </c>
      <c r="C40" s="31" t="b">
        <v>0</v>
      </c>
      <c r="D40" s="31" t="s">
        <v>4196</v>
      </c>
      <c r="E40" s="31" t="s">
        <v>4192</v>
      </c>
      <c r="F40" s="31" t="b">
        <v>0</v>
      </c>
      <c r="G40" s="31" t="s">
        <v>1515</v>
      </c>
      <c r="H40" s="31" t="s">
        <v>1397</v>
      </c>
      <c r="I40" s="31" t="s">
        <v>1397</v>
      </c>
      <c r="J40" s="30" t="s">
        <v>4234</v>
      </c>
      <c r="K40" s="30" t="s">
        <v>4232</v>
      </c>
      <c r="L40" s="30"/>
      <c r="M40" s="30"/>
      <c r="N40" s="31" t="str">
        <f>VLOOKUP(I40,'Active Employees'!$B$2:$B$498,1,false)</f>
        <v>alexandre.valliereslagace@docker.com</v>
      </c>
      <c r="O40" s="33" t="s">
        <v>1469</v>
      </c>
      <c r="P40" s="31"/>
      <c r="Q40" s="31"/>
      <c r="R40" s="31"/>
      <c r="S40" s="30"/>
      <c r="T40" s="30"/>
      <c r="U40" s="30"/>
      <c r="V40" s="30"/>
      <c r="W40" s="30"/>
      <c r="X40" s="30"/>
      <c r="Y40" s="30"/>
      <c r="Z40" s="30"/>
      <c r="AA40" s="30"/>
    </row>
    <row r="41">
      <c r="A41" s="30"/>
      <c r="B41" s="31" t="s">
        <v>4230</v>
      </c>
      <c r="C41" s="31" t="b">
        <v>0</v>
      </c>
      <c r="D41" s="31" t="s">
        <v>4231</v>
      </c>
      <c r="E41" s="31" t="s">
        <v>4192</v>
      </c>
      <c r="F41" s="31" t="b">
        <v>0</v>
      </c>
      <c r="G41" s="31" t="s">
        <v>3889</v>
      </c>
      <c r="H41" s="31" t="s">
        <v>3890</v>
      </c>
      <c r="I41" s="31" t="s">
        <v>3890</v>
      </c>
      <c r="J41" s="30" t="s">
        <v>4235</v>
      </c>
      <c r="K41" s="30" t="s">
        <v>4232</v>
      </c>
      <c r="L41" s="30"/>
      <c r="M41" s="30"/>
      <c r="N41" s="31" t="str">
        <f>VLOOKUP(I41,'Active Employees'!$B$2:$B$498,1,false)</f>
        <v>#N/A</v>
      </c>
      <c r="O41" s="33" t="s">
        <v>1469</v>
      </c>
      <c r="P41" s="31"/>
      <c r="Q41" s="31"/>
      <c r="R41" s="31"/>
      <c r="S41" s="30"/>
      <c r="T41" s="30"/>
      <c r="U41" s="30"/>
      <c r="V41" s="30"/>
      <c r="W41" s="30"/>
      <c r="X41" s="30"/>
      <c r="Y41" s="30"/>
      <c r="Z41" s="30"/>
      <c r="AA41" s="30"/>
    </row>
    <row r="42">
      <c r="A42" s="30"/>
      <c r="B42" s="31" t="s">
        <v>4230</v>
      </c>
      <c r="C42" s="31" t="b">
        <v>0</v>
      </c>
      <c r="D42" s="31" t="s">
        <v>4231</v>
      </c>
      <c r="E42" s="31" t="s">
        <v>4192</v>
      </c>
      <c r="F42" s="31" t="b">
        <v>0</v>
      </c>
      <c r="G42" s="31" t="s">
        <v>1488</v>
      </c>
      <c r="H42" s="31" t="s">
        <v>1232</v>
      </c>
      <c r="I42" s="31" t="s">
        <v>1232</v>
      </c>
      <c r="J42" s="30" t="s">
        <v>4236</v>
      </c>
      <c r="K42" s="30" t="s">
        <v>4232</v>
      </c>
      <c r="L42" s="30"/>
      <c r="M42" s="30"/>
      <c r="N42" s="31" t="str">
        <f>VLOOKUP(I42,'Active Employees'!$B$2:$B$498,1,false)</f>
        <v>daniel.schultz@docker.com</v>
      </c>
      <c r="O42" s="33" t="s">
        <v>1469</v>
      </c>
      <c r="P42" s="31"/>
      <c r="Q42" s="31"/>
      <c r="R42" s="31"/>
      <c r="S42" s="30"/>
      <c r="T42" s="30"/>
      <c r="U42" s="30"/>
      <c r="V42" s="30"/>
      <c r="W42" s="30"/>
      <c r="X42" s="30"/>
      <c r="Y42" s="30"/>
      <c r="Z42" s="30"/>
      <c r="AA42" s="30"/>
    </row>
    <row r="43">
      <c r="A43" s="30"/>
      <c r="B43" s="31" t="s">
        <v>4237</v>
      </c>
      <c r="C43" s="31" t="b">
        <v>0</v>
      </c>
      <c r="D43" s="31" t="s">
        <v>4238</v>
      </c>
      <c r="E43" s="31" t="s">
        <v>4192</v>
      </c>
      <c r="F43" s="31" t="b">
        <v>0</v>
      </c>
      <c r="G43" s="31" t="s">
        <v>3025</v>
      </c>
      <c r="H43" s="31" t="s">
        <v>608</v>
      </c>
      <c r="I43" s="31" t="s">
        <v>608</v>
      </c>
      <c r="J43" s="30" t="s">
        <v>4239</v>
      </c>
      <c r="K43" s="30" t="s">
        <v>4232</v>
      </c>
      <c r="L43" s="30"/>
      <c r="M43" s="30"/>
      <c r="N43" s="31" t="str">
        <f>VLOOKUP(I43,'Active Employees'!$B$2:$B$498,1,false)</f>
        <v>david.gageot@docker.com</v>
      </c>
      <c r="O43" s="33" t="s">
        <v>1469</v>
      </c>
      <c r="P43" s="31"/>
      <c r="Q43" s="31"/>
      <c r="R43" s="31"/>
      <c r="S43" s="30"/>
      <c r="T43" s="30"/>
      <c r="U43" s="30"/>
      <c r="V43" s="30"/>
      <c r="W43" s="30"/>
      <c r="X43" s="30"/>
      <c r="Y43" s="30"/>
      <c r="Z43" s="30"/>
      <c r="AA43" s="30"/>
    </row>
    <row r="44">
      <c r="A44" s="30"/>
      <c r="B44" s="31" t="s">
        <v>4237</v>
      </c>
      <c r="C44" s="31" t="b">
        <v>0</v>
      </c>
      <c r="D44" s="31" t="s">
        <v>4196</v>
      </c>
      <c r="E44" s="31" t="s">
        <v>4192</v>
      </c>
      <c r="F44" s="31" t="b">
        <v>0</v>
      </c>
      <c r="G44" s="31" t="s">
        <v>3025</v>
      </c>
      <c r="H44" s="31" t="s">
        <v>608</v>
      </c>
      <c r="I44" s="31" t="s">
        <v>608</v>
      </c>
      <c r="J44" s="30" t="s">
        <v>4239</v>
      </c>
      <c r="K44" s="30" t="s">
        <v>4232</v>
      </c>
      <c r="L44" s="30"/>
      <c r="M44" s="30"/>
      <c r="N44" s="31" t="str">
        <f>VLOOKUP(I44,'Active Employees'!$B$2:$B$498,1,false)</f>
        <v>david.gageot@docker.com</v>
      </c>
      <c r="O44" s="33" t="s">
        <v>1469</v>
      </c>
      <c r="P44" s="31"/>
      <c r="Q44" s="31"/>
      <c r="R44" s="31"/>
      <c r="S44" s="30"/>
      <c r="T44" s="30"/>
      <c r="U44" s="30"/>
      <c r="V44" s="30"/>
      <c r="W44" s="30"/>
      <c r="X44" s="30"/>
      <c r="Y44" s="30"/>
      <c r="Z44" s="30"/>
      <c r="AA44" s="30"/>
    </row>
    <row r="45">
      <c r="A45" s="30"/>
      <c r="B45" s="31" t="s">
        <v>4230</v>
      </c>
      <c r="C45" s="31" t="b">
        <v>0</v>
      </c>
      <c r="D45" s="31" t="s">
        <v>4231</v>
      </c>
      <c r="E45" s="31" t="s">
        <v>4192</v>
      </c>
      <c r="F45" s="31" t="b">
        <v>0</v>
      </c>
      <c r="G45" s="31" t="s">
        <v>1490</v>
      </c>
      <c r="H45" s="31" t="s">
        <v>967</v>
      </c>
      <c r="I45" s="31" t="s">
        <v>967</v>
      </c>
      <c r="J45" s="30" t="s">
        <v>4240</v>
      </c>
      <c r="K45" s="30" t="s">
        <v>4232</v>
      </c>
      <c r="L45" s="30"/>
      <c r="M45" s="30"/>
      <c r="N45" s="31" t="str">
        <f>VLOOKUP(I45,'Active Employees'!$B$2:$B$498,1,false)</f>
        <v>fiona.mcshane@docker.com</v>
      </c>
      <c r="O45" s="33" t="s">
        <v>1469</v>
      </c>
      <c r="P45" s="31"/>
      <c r="Q45" s="31"/>
      <c r="R45" s="31"/>
      <c r="S45" s="30"/>
      <c r="T45" s="30"/>
      <c r="U45" s="30"/>
      <c r="V45" s="30"/>
      <c r="W45" s="30"/>
      <c r="X45" s="30"/>
      <c r="Y45" s="30"/>
      <c r="Z45" s="30"/>
      <c r="AA45" s="30"/>
    </row>
    <row r="46">
      <c r="A46" s="30"/>
      <c r="B46" s="31" t="s">
        <v>4230</v>
      </c>
      <c r="C46" s="31" t="b">
        <v>0</v>
      </c>
      <c r="D46" s="31" t="s">
        <v>4191</v>
      </c>
      <c r="E46" s="31" t="s">
        <v>4192</v>
      </c>
      <c r="F46" s="31" t="b">
        <v>0</v>
      </c>
      <c r="G46" s="31" t="s">
        <v>3999</v>
      </c>
      <c r="H46" s="31" t="s">
        <v>895</v>
      </c>
      <c r="I46" s="31" t="s">
        <v>895</v>
      </c>
      <c r="J46" s="30" t="s">
        <v>4241</v>
      </c>
      <c r="K46" s="30" t="s">
        <v>4232</v>
      </c>
      <c r="L46" s="30"/>
      <c r="M46" s="30"/>
      <c r="N46" s="31" t="str">
        <f>VLOOKUP(I46,'Active Employees'!$B$2:$B$498,1,false)</f>
        <v>forrest.loomis@docker.com</v>
      </c>
      <c r="O46" s="33" t="s">
        <v>1469</v>
      </c>
      <c r="P46" s="31"/>
      <c r="Q46" s="31"/>
      <c r="R46" s="31"/>
      <c r="S46" s="30"/>
      <c r="T46" s="30"/>
      <c r="U46" s="30"/>
      <c r="V46" s="30"/>
      <c r="W46" s="30"/>
      <c r="X46" s="30"/>
      <c r="Y46" s="30"/>
      <c r="Z46" s="30"/>
      <c r="AA46" s="30"/>
    </row>
    <row r="47">
      <c r="A47" s="30"/>
      <c r="B47" s="31" t="s">
        <v>4230</v>
      </c>
      <c r="C47" s="31" t="b">
        <v>0</v>
      </c>
      <c r="D47" s="31" t="s">
        <v>4196</v>
      </c>
      <c r="E47" s="31" t="s">
        <v>4192</v>
      </c>
      <c r="F47" s="31" t="b">
        <v>0</v>
      </c>
      <c r="G47" s="31" t="s">
        <v>3999</v>
      </c>
      <c r="H47" s="31" t="s">
        <v>895</v>
      </c>
      <c r="I47" s="31" t="s">
        <v>895</v>
      </c>
      <c r="J47" s="30" t="s">
        <v>4241</v>
      </c>
      <c r="K47" s="30" t="s">
        <v>4232</v>
      </c>
      <c r="L47" s="30"/>
      <c r="M47" s="30"/>
      <c r="N47" s="31" t="str">
        <f>VLOOKUP(I47,'Active Employees'!$B$2:$B$498,1,false)</f>
        <v>forrest.loomis@docker.com</v>
      </c>
      <c r="O47" s="33" t="s">
        <v>1469</v>
      </c>
      <c r="P47" s="31"/>
      <c r="Q47" s="31"/>
      <c r="R47" s="31"/>
      <c r="S47" s="30"/>
      <c r="T47" s="30"/>
      <c r="U47" s="30"/>
      <c r="V47" s="30"/>
      <c r="W47" s="30"/>
      <c r="X47" s="30"/>
      <c r="Y47" s="30"/>
      <c r="Z47" s="30"/>
      <c r="AA47" s="30"/>
    </row>
    <row r="48">
      <c r="A48" s="30"/>
      <c r="B48" s="31" t="s">
        <v>4190</v>
      </c>
      <c r="C48" s="31" t="b">
        <v>0</v>
      </c>
      <c r="D48" s="31" t="s">
        <v>4191</v>
      </c>
      <c r="E48" s="31" t="s">
        <v>4192</v>
      </c>
      <c r="F48" s="31" t="b">
        <v>0</v>
      </c>
      <c r="G48" s="31" t="s">
        <v>1856</v>
      </c>
      <c r="H48" s="31" t="s">
        <v>619</v>
      </c>
      <c r="I48" s="31" t="s">
        <v>619</v>
      </c>
      <c r="J48" s="30" t="s">
        <v>4242</v>
      </c>
      <c r="K48" s="30" t="s">
        <v>4194</v>
      </c>
      <c r="L48" s="30"/>
      <c r="M48" s="30"/>
      <c r="N48" s="31" t="str">
        <f>VLOOKUP(I48,'Active Employees'!$B$2:$B$498,1,false)</f>
        <v>javier.garcia@docker.com</v>
      </c>
      <c r="O48" s="33" t="s">
        <v>1469</v>
      </c>
      <c r="P48" s="31"/>
      <c r="Q48" s="31"/>
      <c r="R48" s="31"/>
      <c r="S48" s="30"/>
      <c r="T48" s="30"/>
      <c r="U48" s="30"/>
      <c r="V48" s="30"/>
      <c r="W48" s="30"/>
      <c r="X48" s="30"/>
      <c r="Y48" s="30"/>
      <c r="Z48" s="30"/>
      <c r="AA48" s="30"/>
    </row>
    <row r="49">
      <c r="A49" s="30"/>
      <c r="B49" s="31" t="s">
        <v>4195</v>
      </c>
      <c r="C49" s="31" t="b">
        <v>0</v>
      </c>
      <c r="D49" s="31" t="s">
        <v>4196</v>
      </c>
      <c r="E49" s="31" t="s">
        <v>4192</v>
      </c>
      <c r="F49" s="31" t="b">
        <v>0</v>
      </c>
      <c r="G49" s="31" t="s">
        <v>1856</v>
      </c>
      <c r="H49" s="31" t="s">
        <v>619</v>
      </c>
      <c r="I49" s="31" t="s">
        <v>619</v>
      </c>
      <c r="J49" s="30" t="s">
        <v>4242</v>
      </c>
      <c r="K49" s="30" t="s">
        <v>4194</v>
      </c>
      <c r="L49" s="30"/>
      <c r="M49" s="30"/>
      <c r="N49" s="31" t="str">
        <f>VLOOKUP(I49,'Active Employees'!$B$2:$B$498,1,false)</f>
        <v>javier.garcia@docker.com</v>
      </c>
      <c r="O49" s="33" t="s">
        <v>1469</v>
      </c>
      <c r="P49" s="31"/>
      <c r="Q49" s="31"/>
      <c r="R49" s="31"/>
      <c r="S49" s="30"/>
      <c r="T49" s="30"/>
      <c r="U49" s="30"/>
      <c r="V49" s="30"/>
      <c r="W49" s="30"/>
      <c r="X49" s="30"/>
      <c r="Y49" s="30"/>
      <c r="Z49" s="30"/>
      <c r="AA49" s="30"/>
    </row>
    <row r="50">
      <c r="A50" s="30"/>
      <c r="B50" s="31" t="s">
        <v>4197</v>
      </c>
      <c r="C50" s="31" t="b">
        <v>0</v>
      </c>
      <c r="D50" s="31" t="s">
        <v>4196</v>
      </c>
      <c r="E50" s="31" t="s">
        <v>4192</v>
      </c>
      <c r="F50" s="31" t="b">
        <v>0</v>
      </c>
      <c r="G50" s="31" t="s">
        <v>1856</v>
      </c>
      <c r="H50" s="31" t="s">
        <v>619</v>
      </c>
      <c r="I50" s="31" t="s">
        <v>619</v>
      </c>
      <c r="J50" s="30" t="s">
        <v>4242</v>
      </c>
      <c r="K50" s="30" t="s">
        <v>4194</v>
      </c>
      <c r="L50" s="30"/>
      <c r="M50" s="30"/>
      <c r="N50" s="31" t="str">
        <f>VLOOKUP(I50,'Active Employees'!$B$2:$B$498,1,false)</f>
        <v>javier.garcia@docker.com</v>
      </c>
      <c r="O50" s="33" t="s">
        <v>1469</v>
      </c>
      <c r="P50" s="31"/>
      <c r="Q50" s="31"/>
      <c r="R50" s="31"/>
      <c r="S50" s="30"/>
      <c r="T50" s="30"/>
      <c r="U50" s="30"/>
      <c r="V50" s="30"/>
      <c r="W50" s="30"/>
      <c r="X50" s="30"/>
      <c r="Y50" s="30"/>
      <c r="Z50" s="30"/>
      <c r="AA50" s="30"/>
    </row>
    <row r="51">
      <c r="A51" s="30"/>
      <c r="B51" s="31" t="s">
        <v>4198</v>
      </c>
      <c r="C51" s="31" t="b">
        <v>0</v>
      </c>
      <c r="D51" s="31" t="s">
        <v>4196</v>
      </c>
      <c r="E51" s="31" t="s">
        <v>4192</v>
      </c>
      <c r="F51" s="31" t="b">
        <v>0</v>
      </c>
      <c r="G51" s="31" t="s">
        <v>1856</v>
      </c>
      <c r="H51" s="31" t="s">
        <v>619</v>
      </c>
      <c r="I51" s="31" t="s">
        <v>619</v>
      </c>
      <c r="J51" s="30" t="s">
        <v>4242</v>
      </c>
      <c r="K51" s="30" t="s">
        <v>4194</v>
      </c>
      <c r="L51" s="30"/>
      <c r="M51" s="30"/>
      <c r="N51" s="31" t="str">
        <f>VLOOKUP(I51,'Active Employees'!$B$2:$B$498,1,false)</f>
        <v>javier.garcia@docker.com</v>
      </c>
      <c r="O51" s="33" t="s">
        <v>1469</v>
      </c>
      <c r="P51" s="31"/>
      <c r="Q51" s="31"/>
      <c r="R51" s="31"/>
      <c r="S51" s="30"/>
      <c r="T51" s="30"/>
      <c r="U51" s="30"/>
      <c r="V51" s="30"/>
      <c r="W51" s="30"/>
      <c r="X51" s="30"/>
      <c r="Y51" s="30"/>
      <c r="Z51" s="30"/>
      <c r="AA51" s="30"/>
    </row>
    <row r="52">
      <c r="A52" s="30"/>
      <c r="B52" s="31" t="s">
        <v>4199</v>
      </c>
      <c r="C52" s="31" t="b">
        <v>0</v>
      </c>
      <c r="D52" s="31" t="s">
        <v>4196</v>
      </c>
      <c r="E52" s="31" t="s">
        <v>4192</v>
      </c>
      <c r="F52" s="31" t="b">
        <v>0</v>
      </c>
      <c r="G52" s="31" t="s">
        <v>1856</v>
      </c>
      <c r="H52" s="31" t="s">
        <v>619</v>
      </c>
      <c r="I52" s="31" t="s">
        <v>619</v>
      </c>
      <c r="J52" s="30" t="s">
        <v>4242</v>
      </c>
      <c r="K52" s="30" t="s">
        <v>4194</v>
      </c>
      <c r="L52" s="30"/>
      <c r="M52" s="30"/>
      <c r="N52" s="31" t="str">
        <f>VLOOKUP(I52,'Active Employees'!$B$2:$B$498,1,false)</f>
        <v>javier.garcia@docker.com</v>
      </c>
      <c r="O52" s="33" t="s">
        <v>1469</v>
      </c>
      <c r="P52" s="31"/>
      <c r="Q52" s="31"/>
      <c r="R52" s="31"/>
      <c r="S52" s="30"/>
      <c r="T52" s="30"/>
      <c r="U52" s="30"/>
      <c r="V52" s="30"/>
      <c r="W52" s="30"/>
      <c r="X52" s="30"/>
      <c r="Y52" s="30"/>
      <c r="Z52" s="30"/>
      <c r="AA52" s="30"/>
    </row>
    <row r="53">
      <c r="A53" s="30"/>
      <c r="B53" s="31" t="s">
        <v>4200</v>
      </c>
      <c r="C53" s="31" t="b">
        <v>0</v>
      </c>
      <c r="D53" s="31" t="s">
        <v>4196</v>
      </c>
      <c r="E53" s="31" t="s">
        <v>4192</v>
      </c>
      <c r="F53" s="31" t="b">
        <v>0</v>
      </c>
      <c r="G53" s="31" t="s">
        <v>1856</v>
      </c>
      <c r="H53" s="31" t="s">
        <v>619</v>
      </c>
      <c r="I53" s="31" t="s">
        <v>619</v>
      </c>
      <c r="J53" s="30" t="s">
        <v>4242</v>
      </c>
      <c r="K53" s="30" t="s">
        <v>4194</v>
      </c>
      <c r="L53" s="30"/>
      <c r="M53" s="30"/>
      <c r="N53" s="31" t="str">
        <f>VLOOKUP(I53,'Active Employees'!$B$2:$B$498,1,false)</f>
        <v>javier.garcia@docker.com</v>
      </c>
      <c r="O53" s="33" t="s">
        <v>1469</v>
      </c>
      <c r="P53" s="31"/>
      <c r="Q53" s="31"/>
      <c r="R53" s="31"/>
      <c r="S53" s="30"/>
      <c r="T53" s="30"/>
      <c r="U53" s="30"/>
      <c r="V53" s="30"/>
      <c r="W53" s="30"/>
      <c r="X53" s="30"/>
      <c r="Y53" s="30"/>
      <c r="Z53" s="30"/>
      <c r="AA53" s="30"/>
    </row>
    <row r="54">
      <c r="A54" s="30"/>
      <c r="B54" s="31" t="s">
        <v>4201</v>
      </c>
      <c r="C54" s="31" t="b">
        <v>0</v>
      </c>
      <c r="D54" s="31" t="s">
        <v>4196</v>
      </c>
      <c r="E54" s="31" t="s">
        <v>4192</v>
      </c>
      <c r="F54" s="31" t="b">
        <v>0</v>
      </c>
      <c r="G54" s="31" t="s">
        <v>1856</v>
      </c>
      <c r="H54" s="31" t="s">
        <v>619</v>
      </c>
      <c r="I54" s="31" t="s">
        <v>619</v>
      </c>
      <c r="J54" s="30" t="s">
        <v>4242</v>
      </c>
      <c r="K54" s="30" t="s">
        <v>4194</v>
      </c>
      <c r="L54" s="30"/>
      <c r="M54" s="30"/>
      <c r="N54" s="31" t="str">
        <f>VLOOKUP(I54,'Active Employees'!$B$2:$B$498,1,false)</f>
        <v>javier.garcia@docker.com</v>
      </c>
      <c r="O54" s="33" t="s">
        <v>1469</v>
      </c>
      <c r="P54" s="31"/>
      <c r="Q54" s="31"/>
      <c r="R54" s="31"/>
      <c r="S54" s="30"/>
      <c r="T54" s="30"/>
      <c r="U54" s="30"/>
      <c r="V54" s="30"/>
      <c r="W54" s="30"/>
      <c r="X54" s="30"/>
      <c r="Y54" s="30"/>
      <c r="Z54" s="30"/>
      <c r="AA54" s="30"/>
    </row>
    <row r="55">
      <c r="A55" s="30"/>
      <c r="B55" s="31" t="s">
        <v>4202</v>
      </c>
      <c r="C55" s="31" t="b">
        <v>0</v>
      </c>
      <c r="D55" s="31" t="s">
        <v>4196</v>
      </c>
      <c r="E55" s="31" t="s">
        <v>4192</v>
      </c>
      <c r="F55" s="31" t="b">
        <v>0</v>
      </c>
      <c r="G55" s="31" t="s">
        <v>1856</v>
      </c>
      <c r="H55" s="31" t="s">
        <v>619</v>
      </c>
      <c r="I55" s="31" t="s">
        <v>619</v>
      </c>
      <c r="J55" s="30" t="s">
        <v>4242</v>
      </c>
      <c r="K55" s="30" t="s">
        <v>4194</v>
      </c>
      <c r="L55" s="30"/>
      <c r="M55" s="30"/>
      <c r="N55" s="31" t="str">
        <f>VLOOKUP(I55,'Active Employees'!$B$2:$B$498,1,false)</f>
        <v>javier.garcia@docker.com</v>
      </c>
      <c r="O55" s="33" t="s">
        <v>1469</v>
      </c>
      <c r="P55" s="31"/>
      <c r="Q55" s="31"/>
      <c r="R55" s="31"/>
      <c r="S55" s="30"/>
      <c r="T55" s="30"/>
      <c r="U55" s="30"/>
      <c r="V55" s="30"/>
      <c r="W55" s="30"/>
      <c r="X55" s="30"/>
      <c r="Y55" s="30"/>
      <c r="Z55" s="30"/>
      <c r="AA55" s="30"/>
    </row>
    <row r="56">
      <c r="A56" s="30"/>
      <c r="B56" s="31" t="s">
        <v>4203</v>
      </c>
      <c r="C56" s="31" t="b">
        <v>0</v>
      </c>
      <c r="D56" s="31" t="s">
        <v>4196</v>
      </c>
      <c r="E56" s="31" t="s">
        <v>4192</v>
      </c>
      <c r="F56" s="31" t="b">
        <v>0</v>
      </c>
      <c r="G56" s="31" t="s">
        <v>1856</v>
      </c>
      <c r="H56" s="31" t="s">
        <v>619</v>
      </c>
      <c r="I56" s="31" t="s">
        <v>619</v>
      </c>
      <c r="J56" s="30" t="s">
        <v>4242</v>
      </c>
      <c r="K56" s="30" t="s">
        <v>4194</v>
      </c>
      <c r="L56" s="30"/>
      <c r="M56" s="30"/>
      <c r="N56" s="31" t="str">
        <f>VLOOKUP(I56,'Active Employees'!$B$2:$B$498,1,false)</f>
        <v>javier.garcia@docker.com</v>
      </c>
      <c r="O56" s="33" t="s">
        <v>1469</v>
      </c>
      <c r="P56" s="31"/>
      <c r="Q56" s="31"/>
      <c r="R56" s="31"/>
      <c r="S56" s="30"/>
      <c r="T56" s="30"/>
      <c r="U56" s="30"/>
      <c r="V56" s="30"/>
      <c r="W56" s="30"/>
      <c r="X56" s="30"/>
      <c r="Y56" s="30"/>
      <c r="Z56" s="30"/>
      <c r="AA56" s="30"/>
    </row>
    <row r="57">
      <c r="A57" s="30"/>
      <c r="B57" s="31" t="s">
        <v>4204</v>
      </c>
      <c r="C57" s="31" t="b">
        <v>0</v>
      </c>
      <c r="D57" s="31" t="s">
        <v>4196</v>
      </c>
      <c r="E57" s="31" t="s">
        <v>4192</v>
      </c>
      <c r="F57" s="31" t="b">
        <v>0</v>
      </c>
      <c r="G57" s="31" t="s">
        <v>1856</v>
      </c>
      <c r="H57" s="31" t="s">
        <v>619</v>
      </c>
      <c r="I57" s="31" t="s">
        <v>619</v>
      </c>
      <c r="J57" s="30" t="s">
        <v>4242</v>
      </c>
      <c r="K57" s="30" t="s">
        <v>4194</v>
      </c>
      <c r="L57" s="30"/>
      <c r="M57" s="30"/>
      <c r="N57" s="31" t="str">
        <f>VLOOKUP(I57,'Active Employees'!$B$2:$B$498,1,false)</f>
        <v>javier.garcia@docker.com</v>
      </c>
      <c r="O57" s="33" t="s">
        <v>1469</v>
      </c>
      <c r="P57" s="31"/>
      <c r="Q57" s="31"/>
      <c r="R57" s="31"/>
      <c r="S57" s="30"/>
      <c r="T57" s="30"/>
      <c r="U57" s="30"/>
      <c r="V57" s="30"/>
      <c r="W57" s="30"/>
      <c r="X57" s="30"/>
      <c r="Y57" s="30"/>
      <c r="Z57" s="30"/>
      <c r="AA57" s="30"/>
    </row>
    <row r="58">
      <c r="A58" s="30"/>
      <c r="B58" s="31" t="s">
        <v>4205</v>
      </c>
      <c r="C58" s="31" t="b">
        <v>0</v>
      </c>
      <c r="D58" s="31" t="s">
        <v>4196</v>
      </c>
      <c r="E58" s="31" t="s">
        <v>4192</v>
      </c>
      <c r="F58" s="31" t="b">
        <v>0</v>
      </c>
      <c r="G58" s="31" t="s">
        <v>1856</v>
      </c>
      <c r="H58" s="31" t="s">
        <v>619</v>
      </c>
      <c r="I58" s="31" t="s">
        <v>619</v>
      </c>
      <c r="J58" s="30" t="s">
        <v>4242</v>
      </c>
      <c r="K58" s="30" t="s">
        <v>4194</v>
      </c>
      <c r="L58" s="30"/>
      <c r="M58" s="30"/>
      <c r="N58" s="31" t="str">
        <f>VLOOKUP(I58,'Active Employees'!$B$2:$B$498,1,false)</f>
        <v>javier.garcia@docker.com</v>
      </c>
      <c r="O58" s="33" t="s">
        <v>1469</v>
      </c>
      <c r="P58" s="31"/>
      <c r="Q58" s="31"/>
      <c r="R58" s="31"/>
      <c r="S58" s="30"/>
      <c r="T58" s="30"/>
      <c r="U58" s="30"/>
      <c r="V58" s="30"/>
      <c r="W58" s="30"/>
      <c r="X58" s="30"/>
      <c r="Y58" s="30"/>
      <c r="Z58" s="30"/>
      <c r="AA58" s="30"/>
    </row>
    <row r="59">
      <c r="A59" s="30"/>
      <c r="B59" s="31" t="s">
        <v>4206</v>
      </c>
      <c r="C59" s="31" t="b">
        <v>0</v>
      </c>
      <c r="D59" s="31" t="s">
        <v>4196</v>
      </c>
      <c r="E59" s="31" t="s">
        <v>4192</v>
      </c>
      <c r="F59" s="31" t="b">
        <v>0</v>
      </c>
      <c r="G59" s="31" t="s">
        <v>1856</v>
      </c>
      <c r="H59" s="31" t="s">
        <v>619</v>
      </c>
      <c r="I59" s="31" t="s">
        <v>619</v>
      </c>
      <c r="J59" s="30" t="s">
        <v>4242</v>
      </c>
      <c r="K59" s="30" t="s">
        <v>4194</v>
      </c>
      <c r="L59" s="30"/>
      <c r="M59" s="30"/>
      <c r="N59" s="31" t="str">
        <f>VLOOKUP(I59,'Active Employees'!$B$2:$B$498,1,false)</f>
        <v>javier.garcia@docker.com</v>
      </c>
      <c r="O59" s="33" t="s">
        <v>1469</v>
      </c>
      <c r="P59" s="31"/>
      <c r="Q59" s="31"/>
      <c r="R59" s="31"/>
      <c r="S59" s="30"/>
      <c r="T59" s="30"/>
      <c r="U59" s="30"/>
      <c r="V59" s="30"/>
      <c r="W59" s="30"/>
      <c r="X59" s="30"/>
      <c r="Y59" s="30"/>
      <c r="Z59" s="30"/>
      <c r="AA59" s="30"/>
    </row>
    <row r="60">
      <c r="A60" s="30"/>
      <c r="B60" s="31" t="s">
        <v>4207</v>
      </c>
      <c r="C60" s="31" t="b">
        <v>0</v>
      </c>
      <c r="D60" s="31" t="s">
        <v>4196</v>
      </c>
      <c r="E60" s="31" t="s">
        <v>4192</v>
      </c>
      <c r="F60" s="31" t="b">
        <v>0</v>
      </c>
      <c r="G60" s="31" t="s">
        <v>1856</v>
      </c>
      <c r="H60" s="31" t="s">
        <v>619</v>
      </c>
      <c r="I60" s="31" t="s">
        <v>619</v>
      </c>
      <c r="J60" s="30" t="s">
        <v>4242</v>
      </c>
      <c r="K60" s="30" t="s">
        <v>4194</v>
      </c>
      <c r="L60" s="30"/>
      <c r="M60" s="30"/>
      <c r="N60" s="31" t="str">
        <f>VLOOKUP(I60,'Active Employees'!$B$2:$B$498,1,false)</f>
        <v>javier.garcia@docker.com</v>
      </c>
      <c r="O60" s="33" t="s">
        <v>1469</v>
      </c>
      <c r="P60" s="31"/>
      <c r="Q60" s="31"/>
      <c r="R60" s="31"/>
      <c r="S60" s="30"/>
      <c r="T60" s="30"/>
      <c r="U60" s="30"/>
      <c r="V60" s="30"/>
      <c r="W60" s="30"/>
      <c r="X60" s="30"/>
      <c r="Y60" s="30"/>
      <c r="Z60" s="30"/>
      <c r="AA60" s="30"/>
    </row>
    <row r="61">
      <c r="A61" s="30"/>
      <c r="B61" s="31" t="s">
        <v>4208</v>
      </c>
      <c r="C61" s="31" t="b">
        <v>0</v>
      </c>
      <c r="D61" s="31" t="s">
        <v>4196</v>
      </c>
      <c r="E61" s="31" t="s">
        <v>4192</v>
      </c>
      <c r="F61" s="31" t="b">
        <v>0</v>
      </c>
      <c r="G61" s="31" t="s">
        <v>1856</v>
      </c>
      <c r="H61" s="31" t="s">
        <v>619</v>
      </c>
      <c r="I61" s="31" t="s">
        <v>619</v>
      </c>
      <c r="J61" s="30" t="s">
        <v>4242</v>
      </c>
      <c r="K61" s="30" t="s">
        <v>4194</v>
      </c>
      <c r="L61" s="30"/>
      <c r="M61" s="30"/>
      <c r="N61" s="31" t="str">
        <f>VLOOKUP(I61,'Active Employees'!$B$2:$B$498,1,false)</f>
        <v>javier.garcia@docker.com</v>
      </c>
      <c r="O61" s="33" t="s">
        <v>1469</v>
      </c>
      <c r="P61" s="31"/>
      <c r="Q61" s="31"/>
      <c r="R61" s="31"/>
      <c r="S61" s="30"/>
      <c r="T61" s="30"/>
      <c r="U61" s="30"/>
      <c r="V61" s="30"/>
      <c r="W61" s="30"/>
      <c r="X61" s="30"/>
      <c r="Y61" s="30"/>
      <c r="Z61" s="30"/>
      <c r="AA61" s="30"/>
    </row>
    <row r="62">
      <c r="A62" s="30"/>
      <c r="B62" s="31" t="s">
        <v>4209</v>
      </c>
      <c r="C62" s="31" t="b">
        <v>0</v>
      </c>
      <c r="D62" s="31" t="s">
        <v>4196</v>
      </c>
      <c r="E62" s="31" t="s">
        <v>4192</v>
      </c>
      <c r="F62" s="31" t="b">
        <v>0</v>
      </c>
      <c r="G62" s="31" t="s">
        <v>1856</v>
      </c>
      <c r="H62" s="31" t="s">
        <v>619</v>
      </c>
      <c r="I62" s="31" t="s">
        <v>619</v>
      </c>
      <c r="J62" s="30" t="s">
        <v>4242</v>
      </c>
      <c r="K62" s="30" t="s">
        <v>4194</v>
      </c>
      <c r="L62" s="30"/>
      <c r="M62" s="30"/>
      <c r="N62" s="31" t="str">
        <f>VLOOKUP(I62,'Active Employees'!$B$2:$B$498,1,false)</f>
        <v>javier.garcia@docker.com</v>
      </c>
      <c r="O62" s="33" t="s">
        <v>1469</v>
      </c>
      <c r="P62" s="31"/>
      <c r="Q62" s="31"/>
      <c r="R62" s="31"/>
      <c r="S62" s="30"/>
      <c r="T62" s="30"/>
      <c r="U62" s="30"/>
      <c r="V62" s="30"/>
      <c r="W62" s="30"/>
      <c r="X62" s="30"/>
      <c r="Y62" s="30"/>
      <c r="Z62" s="30"/>
      <c r="AA62" s="30"/>
    </row>
    <row r="63">
      <c r="A63" s="30"/>
      <c r="B63" s="31" t="s">
        <v>1974</v>
      </c>
      <c r="C63" s="31" t="b">
        <v>0</v>
      </c>
      <c r="D63" s="31" t="s">
        <v>4196</v>
      </c>
      <c r="E63" s="31" t="s">
        <v>4192</v>
      </c>
      <c r="F63" s="31" t="b">
        <v>0</v>
      </c>
      <c r="G63" s="31" t="s">
        <v>1856</v>
      </c>
      <c r="H63" s="31" t="s">
        <v>619</v>
      </c>
      <c r="I63" s="31" t="s">
        <v>619</v>
      </c>
      <c r="J63" s="30" t="s">
        <v>4242</v>
      </c>
      <c r="K63" s="30" t="s">
        <v>4194</v>
      </c>
      <c r="L63" s="30"/>
      <c r="M63" s="30"/>
      <c r="N63" s="31" t="str">
        <f>VLOOKUP(I63,'Active Employees'!$B$2:$B$498,1,false)</f>
        <v>javier.garcia@docker.com</v>
      </c>
      <c r="O63" s="33" t="s">
        <v>1469</v>
      </c>
      <c r="P63" s="31"/>
      <c r="Q63" s="31"/>
      <c r="R63" s="31"/>
      <c r="S63" s="30"/>
      <c r="T63" s="30"/>
      <c r="U63" s="30"/>
      <c r="V63" s="30"/>
      <c r="W63" s="30"/>
      <c r="X63" s="30"/>
      <c r="Y63" s="30"/>
      <c r="Z63" s="30"/>
      <c r="AA63" s="30"/>
    </row>
    <row r="64">
      <c r="A64" s="30"/>
      <c r="B64" s="31" t="s">
        <v>4210</v>
      </c>
      <c r="C64" s="31" t="b">
        <v>0</v>
      </c>
      <c r="D64" s="31" t="s">
        <v>4196</v>
      </c>
      <c r="E64" s="31" t="s">
        <v>4192</v>
      </c>
      <c r="F64" s="31" t="b">
        <v>0</v>
      </c>
      <c r="G64" s="31" t="s">
        <v>1856</v>
      </c>
      <c r="H64" s="31" t="s">
        <v>619</v>
      </c>
      <c r="I64" s="31" t="s">
        <v>619</v>
      </c>
      <c r="J64" s="30" t="s">
        <v>4242</v>
      </c>
      <c r="K64" s="30" t="s">
        <v>4194</v>
      </c>
      <c r="L64" s="30"/>
      <c r="M64" s="30"/>
      <c r="N64" s="31" t="str">
        <f>VLOOKUP(I64,'Active Employees'!$B$2:$B$498,1,false)</f>
        <v>javier.garcia@docker.com</v>
      </c>
      <c r="O64" s="33" t="s">
        <v>1469</v>
      </c>
      <c r="P64" s="31"/>
      <c r="Q64" s="31"/>
      <c r="R64" s="31"/>
      <c r="S64" s="30"/>
      <c r="T64" s="30"/>
      <c r="U64" s="30"/>
      <c r="V64" s="30"/>
      <c r="W64" s="30"/>
      <c r="X64" s="30"/>
      <c r="Y64" s="30"/>
      <c r="Z64" s="30"/>
      <c r="AA64" s="30"/>
    </row>
    <row r="65">
      <c r="A65" s="30"/>
      <c r="B65" s="31" t="s">
        <v>4211</v>
      </c>
      <c r="C65" s="31" t="b">
        <v>0</v>
      </c>
      <c r="D65" s="31" t="s">
        <v>4196</v>
      </c>
      <c r="E65" s="31" t="s">
        <v>4192</v>
      </c>
      <c r="F65" s="31" t="b">
        <v>0</v>
      </c>
      <c r="G65" s="31" t="s">
        <v>1856</v>
      </c>
      <c r="H65" s="31" t="s">
        <v>619</v>
      </c>
      <c r="I65" s="31" t="s">
        <v>619</v>
      </c>
      <c r="J65" s="30" t="s">
        <v>4242</v>
      </c>
      <c r="K65" s="30" t="s">
        <v>4194</v>
      </c>
      <c r="L65" s="30"/>
      <c r="M65" s="30"/>
      <c r="N65" s="31" t="str">
        <f>VLOOKUP(I65,'Active Employees'!$B$2:$B$498,1,false)</f>
        <v>javier.garcia@docker.com</v>
      </c>
      <c r="O65" s="33" t="s">
        <v>1469</v>
      </c>
      <c r="P65" s="31"/>
      <c r="Q65" s="31"/>
      <c r="R65" s="31"/>
      <c r="S65" s="30"/>
      <c r="T65" s="30"/>
      <c r="U65" s="30"/>
      <c r="V65" s="30"/>
      <c r="W65" s="30"/>
      <c r="X65" s="30"/>
      <c r="Y65" s="30"/>
      <c r="Z65" s="30"/>
      <c r="AA65" s="30"/>
    </row>
    <row r="66">
      <c r="A66" s="30"/>
      <c r="B66" s="31" t="s">
        <v>4212</v>
      </c>
      <c r="C66" s="31" t="b">
        <v>0</v>
      </c>
      <c r="D66" s="31" t="s">
        <v>4196</v>
      </c>
      <c r="E66" s="31" t="s">
        <v>4192</v>
      </c>
      <c r="F66" s="31" t="b">
        <v>0</v>
      </c>
      <c r="G66" s="31" t="s">
        <v>1856</v>
      </c>
      <c r="H66" s="31" t="s">
        <v>619</v>
      </c>
      <c r="I66" s="31" t="s">
        <v>619</v>
      </c>
      <c r="J66" s="30" t="s">
        <v>4242</v>
      </c>
      <c r="K66" s="30" t="s">
        <v>4194</v>
      </c>
      <c r="L66" s="30"/>
      <c r="M66" s="30"/>
      <c r="N66" s="31" t="str">
        <f>VLOOKUP(I66,'Active Employees'!$B$2:$B$498,1,false)</f>
        <v>javier.garcia@docker.com</v>
      </c>
      <c r="O66" s="33" t="s">
        <v>1469</v>
      </c>
      <c r="P66" s="31"/>
      <c r="Q66" s="31"/>
      <c r="R66" s="31"/>
      <c r="S66" s="30"/>
      <c r="T66" s="30"/>
      <c r="U66" s="30"/>
      <c r="V66" s="30"/>
      <c r="W66" s="30"/>
      <c r="X66" s="30"/>
      <c r="Y66" s="30"/>
      <c r="Z66" s="30"/>
      <c r="AA66" s="30"/>
    </row>
    <row r="67">
      <c r="A67" s="30"/>
      <c r="B67" s="31" t="s">
        <v>4213</v>
      </c>
      <c r="C67" s="31" t="b">
        <v>0</v>
      </c>
      <c r="D67" s="31" t="s">
        <v>4196</v>
      </c>
      <c r="E67" s="31" t="s">
        <v>4192</v>
      </c>
      <c r="F67" s="31" t="b">
        <v>0</v>
      </c>
      <c r="G67" s="31" t="s">
        <v>1856</v>
      </c>
      <c r="H67" s="31" t="s">
        <v>619</v>
      </c>
      <c r="I67" s="31" t="s">
        <v>619</v>
      </c>
      <c r="J67" s="30" t="s">
        <v>4242</v>
      </c>
      <c r="K67" s="30" t="s">
        <v>4194</v>
      </c>
      <c r="L67" s="30"/>
      <c r="M67" s="30"/>
      <c r="N67" s="31" t="str">
        <f>VLOOKUP(I67,'Active Employees'!$B$2:$B$498,1,false)</f>
        <v>javier.garcia@docker.com</v>
      </c>
      <c r="O67" s="33" t="s">
        <v>1469</v>
      </c>
      <c r="P67" s="31"/>
      <c r="Q67" s="31"/>
      <c r="R67" s="31"/>
      <c r="S67" s="30"/>
      <c r="T67" s="30"/>
      <c r="U67" s="30"/>
      <c r="V67" s="30"/>
      <c r="W67" s="30"/>
      <c r="X67" s="30"/>
      <c r="Y67" s="30"/>
      <c r="Z67" s="30"/>
      <c r="AA67" s="30"/>
    </row>
    <row r="68">
      <c r="A68" s="30"/>
      <c r="B68" s="31" t="s">
        <v>4214</v>
      </c>
      <c r="C68" s="31" t="b">
        <v>0</v>
      </c>
      <c r="D68" s="31" t="s">
        <v>4196</v>
      </c>
      <c r="E68" s="31" t="s">
        <v>4192</v>
      </c>
      <c r="F68" s="31" t="b">
        <v>0</v>
      </c>
      <c r="G68" s="31" t="s">
        <v>1856</v>
      </c>
      <c r="H68" s="31" t="s">
        <v>619</v>
      </c>
      <c r="I68" s="31" t="s">
        <v>619</v>
      </c>
      <c r="J68" s="30" t="s">
        <v>4242</v>
      </c>
      <c r="K68" s="30" t="s">
        <v>4194</v>
      </c>
      <c r="L68" s="30"/>
      <c r="M68" s="30"/>
      <c r="N68" s="31" t="str">
        <f>VLOOKUP(I68,'Active Employees'!$B$2:$B$498,1,false)</f>
        <v>javier.garcia@docker.com</v>
      </c>
      <c r="O68" s="33" t="s">
        <v>1469</v>
      </c>
      <c r="P68" s="31"/>
      <c r="Q68" s="31"/>
      <c r="R68" s="31"/>
      <c r="S68" s="30"/>
      <c r="T68" s="30"/>
      <c r="U68" s="30"/>
      <c r="V68" s="30"/>
      <c r="W68" s="30"/>
      <c r="X68" s="30"/>
      <c r="Y68" s="30"/>
      <c r="Z68" s="30"/>
      <c r="AA68" s="30"/>
    </row>
    <row r="69">
      <c r="A69" s="30"/>
      <c r="B69" s="31" t="s">
        <v>4215</v>
      </c>
      <c r="C69" s="31" t="b">
        <v>0</v>
      </c>
      <c r="D69" s="31" t="s">
        <v>4196</v>
      </c>
      <c r="E69" s="31" t="s">
        <v>4192</v>
      </c>
      <c r="F69" s="31" t="b">
        <v>0</v>
      </c>
      <c r="G69" s="31" t="s">
        <v>1856</v>
      </c>
      <c r="H69" s="31" t="s">
        <v>619</v>
      </c>
      <c r="I69" s="31" t="s">
        <v>619</v>
      </c>
      <c r="J69" s="30" t="s">
        <v>4242</v>
      </c>
      <c r="K69" s="30" t="s">
        <v>4194</v>
      </c>
      <c r="L69" s="30"/>
      <c r="M69" s="30"/>
      <c r="N69" s="31" t="str">
        <f>VLOOKUP(I69,'Active Employees'!$B$2:$B$498,1,false)</f>
        <v>javier.garcia@docker.com</v>
      </c>
      <c r="O69" s="33" t="s">
        <v>1469</v>
      </c>
      <c r="P69" s="31"/>
      <c r="Q69" s="31"/>
      <c r="R69" s="31"/>
      <c r="S69" s="30"/>
      <c r="T69" s="30"/>
      <c r="U69" s="30"/>
      <c r="V69" s="30"/>
      <c r="W69" s="30"/>
      <c r="X69" s="30"/>
      <c r="Y69" s="30"/>
      <c r="Z69" s="30"/>
      <c r="AA69" s="30"/>
    </row>
    <row r="70">
      <c r="A70" s="30"/>
      <c r="B70" s="31" t="s">
        <v>4216</v>
      </c>
      <c r="C70" s="31" t="b">
        <v>0</v>
      </c>
      <c r="D70" s="31" t="s">
        <v>4196</v>
      </c>
      <c r="E70" s="31" t="s">
        <v>4192</v>
      </c>
      <c r="F70" s="31" t="b">
        <v>0</v>
      </c>
      <c r="G70" s="31" t="s">
        <v>1856</v>
      </c>
      <c r="H70" s="31" t="s">
        <v>619</v>
      </c>
      <c r="I70" s="31" t="s">
        <v>619</v>
      </c>
      <c r="J70" s="30" t="s">
        <v>4242</v>
      </c>
      <c r="K70" s="30" t="s">
        <v>4194</v>
      </c>
      <c r="L70" s="30"/>
      <c r="M70" s="30"/>
      <c r="N70" s="31" t="str">
        <f>VLOOKUP(I70,'Active Employees'!$B$2:$B$498,1,false)</f>
        <v>javier.garcia@docker.com</v>
      </c>
      <c r="O70" s="33" t="s">
        <v>1469</v>
      </c>
      <c r="P70" s="31"/>
      <c r="Q70" s="31"/>
      <c r="R70" s="31"/>
      <c r="S70" s="30"/>
      <c r="T70" s="30"/>
      <c r="U70" s="30"/>
      <c r="V70" s="30"/>
      <c r="W70" s="30"/>
      <c r="X70" s="30"/>
      <c r="Y70" s="30"/>
      <c r="Z70" s="30"/>
      <c r="AA70" s="30"/>
    </row>
    <row r="71">
      <c r="A71" s="30"/>
      <c r="B71" s="31" t="s">
        <v>4217</v>
      </c>
      <c r="C71" s="31" t="b">
        <v>0</v>
      </c>
      <c r="D71" s="31" t="s">
        <v>4196</v>
      </c>
      <c r="E71" s="31" t="s">
        <v>4192</v>
      </c>
      <c r="F71" s="31" t="b">
        <v>0</v>
      </c>
      <c r="G71" s="31" t="s">
        <v>1856</v>
      </c>
      <c r="H71" s="31" t="s">
        <v>619</v>
      </c>
      <c r="I71" s="31" t="s">
        <v>619</v>
      </c>
      <c r="J71" s="30" t="s">
        <v>4242</v>
      </c>
      <c r="K71" s="30" t="s">
        <v>4194</v>
      </c>
      <c r="L71" s="30"/>
      <c r="M71" s="30"/>
      <c r="N71" s="31" t="str">
        <f>VLOOKUP(I71,'Active Employees'!$B$2:$B$498,1,false)</f>
        <v>javier.garcia@docker.com</v>
      </c>
      <c r="O71" s="33" t="s">
        <v>1469</v>
      </c>
      <c r="P71" s="31"/>
      <c r="Q71" s="31"/>
      <c r="R71" s="31"/>
      <c r="S71" s="30"/>
      <c r="T71" s="30"/>
      <c r="U71" s="30"/>
      <c r="V71" s="30"/>
      <c r="W71" s="30"/>
      <c r="X71" s="30"/>
      <c r="Y71" s="30"/>
      <c r="Z71" s="30"/>
      <c r="AA71" s="30"/>
    </row>
    <row r="72">
      <c r="A72" s="30"/>
      <c r="B72" s="31" t="s">
        <v>4218</v>
      </c>
      <c r="C72" s="31" t="b">
        <v>0</v>
      </c>
      <c r="D72" s="31" t="s">
        <v>4196</v>
      </c>
      <c r="E72" s="31" t="s">
        <v>4192</v>
      </c>
      <c r="F72" s="31" t="b">
        <v>0</v>
      </c>
      <c r="G72" s="31" t="s">
        <v>1856</v>
      </c>
      <c r="H72" s="31" t="s">
        <v>619</v>
      </c>
      <c r="I72" s="31" t="s">
        <v>619</v>
      </c>
      <c r="J72" s="30" t="s">
        <v>4242</v>
      </c>
      <c r="K72" s="30" t="s">
        <v>4194</v>
      </c>
      <c r="L72" s="30"/>
      <c r="M72" s="30"/>
      <c r="N72" s="31" t="str">
        <f>VLOOKUP(I72,'Active Employees'!$B$2:$B$498,1,false)</f>
        <v>javier.garcia@docker.com</v>
      </c>
      <c r="O72" s="33" t="s">
        <v>1469</v>
      </c>
      <c r="P72" s="31"/>
      <c r="Q72" s="31"/>
      <c r="R72" s="31"/>
      <c r="S72" s="30"/>
      <c r="T72" s="30"/>
      <c r="U72" s="30"/>
      <c r="V72" s="30"/>
      <c r="W72" s="30"/>
      <c r="X72" s="30"/>
      <c r="Y72" s="30"/>
      <c r="Z72" s="30"/>
      <c r="AA72" s="30"/>
    </row>
    <row r="73">
      <c r="A73" s="30"/>
      <c r="B73" s="31" t="s">
        <v>4219</v>
      </c>
      <c r="C73" s="31" t="b">
        <v>0</v>
      </c>
      <c r="D73" s="31" t="s">
        <v>4196</v>
      </c>
      <c r="E73" s="31" t="s">
        <v>4192</v>
      </c>
      <c r="F73" s="31" t="b">
        <v>0</v>
      </c>
      <c r="G73" s="31" t="s">
        <v>1856</v>
      </c>
      <c r="H73" s="31" t="s">
        <v>619</v>
      </c>
      <c r="I73" s="31" t="s">
        <v>619</v>
      </c>
      <c r="J73" s="30" t="s">
        <v>4242</v>
      </c>
      <c r="K73" s="30" t="s">
        <v>4194</v>
      </c>
      <c r="L73" s="30"/>
      <c r="M73" s="30"/>
      <c r="N73" s="31" t="str">
        <f>VLOOKUP(I73,'Active Employees'!$B$2:$B$498,1,false)</f>
        <v>javier.garcia@docker.com</v>
      </c>
      <c r="O73" s="33" t="s">
        <v>1469</v>
      </c>
      <c r="P73" s="31"/>
      <c r="Q73" s="31"/>
      <c r="R73" s="31"/>
      <c r="S73" s="30"/>
      <c r="T73" s="30"/>
      <c r="U73" s="30"/>
      <c r="V73" s="30"/>
      <c r="W73" s="30"/>
      <c r="X73" s="30"/>
      <c r="Y73" s="30"/>
      <c r="Z73" s="30"/>
      <c r="AA73" s="30"/>
    </row>
    <row r="74">
      <c r="A74" s="30"/>
      <c r="B74" s="31" t="s">
        <v>4220</v>
      </c>
      <c r="C74" s="31" t="b">
        <v>0</v>
      </c>
      <c r="D74" s="31" t="s">
        <v>4196</v>
      </c>
      <c r="E74" s="31" t="s">
        <v>4192</v>
      </c>
      <c r="F74" s="31" t="b">
        <v>0</v>
      </c>
      <c r="G74" s="31" t="s">
        <v>1856</v>
      </c>
      <c r="H74" s="31" t="s">
        <v>619</v>
      </c>
      <c r="I74" s="31" t="s">
        <v>619</v>
      </c>
      <c r="J74" s="30" t="s">
        <v>4242</v>
      </c>
      <c r="K74" s="30" t="s">
        <v>4194</v>
      </c>
      <c r="L74" s="30"/>
      <c r="M74" s="30"/>
      <c r="N74" s="31" t="str">
        <f>VLOOKUP(I74,'Active Employees'!$B$2:$B$498,1,false)</f>
        <v>javier.garcia@docker.com</v>
      </c>
      <c r="O74" s="33" t="s">
        <v>1469</v>
      </c>
      <c r="P74" s="31"/>
      <c r="Q74" s="31"/>
      <c r="R74" s="31"/>
      <c r="S74" s="30"/>
      <c r="T74" s="30"/>
      <c r="U74" s="30"/>
      <c r="V74" s="30"/>
      <c r="W74" s="30"/>
      <c r="X74" s="30"/>
      <c r="Y74" s="30"/>
      <c r="Z74" s="30"/>
      <c r="AA74" s="30"/>
    </row>
    <row r="75">
      <c r="A75" s="30"/>
      <c r="B75" s="31" t="s">
        <v>4221</v>
      </c>
      <c r="C75" s="31" t="b">
        <v>0</v>
      </c>
      <c r="D75" s="31" t="s">
        <v>4196</v>
      </c>
      <c r="E75" s="31" t="s">
        <v>4192</v>
      </c>
      <c r="F75" s="31" t="b">
        <v>0</v>
      </c>
      <c r="G75" s="31" t="s">
        <v>1856</v>
      </c>
      <c r="H75" s="31" t="s">
        <v>619</v>
      </c>
      <c r="I75" s="31" t="s">
        <v>619</v>
      </c>
      <c r="J75" s="30" t="s">
        <v>4242</v>
      </c>
      <c r="K75" s="30" t="s">
        <v>4194</v>
      </c>
      <c r="L75" s="30"/>
      <c r="M75" s="30"/>
      <c r="N75" s="31" t="str">
        <f>VLOOKUP(I75,'Active Employees'!$B$2:$B$498,1,false)</f>
        <v>javier.garcia@docker.com</v>
      </c>
      <c r="O75" s="33" t="s">
        <v>1469</v>
      </c>
      <c r="P75" s="31"/>
      <c r="Q75" s="31"/>
      <c r="R75" s="31"/>
      <c r="S75" s="30"/>
      <c r="T75" s="30"/>
      <c r="U75" s="30"/>
      <c r="V75" s="30"/>
      <c r="W75" s="30"/>
      <c r="X75" s="30"/>
      <c r="Y75" s="30"/>
      <c r="Z75" s="30"/>
      <c r="AA75" s="30"/>
    </row>
    <row r="76">
      <c r="A76" s="30"/>
      <c r="B76" s="31" t="s">
        <v>4222</v>
      </c>
      <c r="C76" s="31" t="b">
        <v>0</v>
      </c>
      <c r="D76" s="31" t="s">
        <v>4196</v>
      </c>
      <c r="E76" s="31" t="s">
        <v>4192</v>
      </c>
      <c r="F76" s="31" t="b">
        <v>0</v>
      </c>
      <c r="G76" s="31" t="s">
        <v>1856</v>
      </c>
      <c r="H76" s="31" t="s">
        <v>619</v>
      </c>
      <c r="I76" s="31" t="s">
        <v>619</v>
      </c>
      <c r="J76" s="30" t="s">
        <v>4242</v>
      </c>
      <c r="K76" s="30" t="s">
        <v>4194</v>
      </c>
      <c r="L76" s="30"/>
      <c r="M76" s="30"/>
      <c r="N76" s="31" t="str">
        <f>VLOOKUP(I76,'Active Employees'!$B$2:$B$498,1,false)</f>
        <v>javier.garcia@docker.com</v>
      </c>
      <c r="O76" s="33" t="s">
        <v>1469</v>
      </c>
      <c r="P76" s="31"/>
      <c r="Q76" s="31"/>
      <c r="R76" s="31"/>
      <c r="S76" s="30"/>
      <c r="T76" s="30"/>
      <c r="U76" s="30"/>
      <c r="V76" s="30"/>
      <c r="W76" s="30"/>
      <c r="X76" s="30"/>
      <c r="Y76" s="30"/>
      <c r="Z76" s="30"/>
      <c r="AA76" s="30"/>
    </row>
    <row r="77">
      <c r="A77" s="30"/>
      <c r="B77" s="31" t="s">
        <v>4223</v>
      </c>
      <c r="C77" s="31" t="b">
        <v>0</v>
      </c>
      <c r="D77" s="31" t="s">
        <v>4196</v>
      </c>
      <c r="E77" s="31" t="s">
        <v>4192</v>
      </c>
      <c r="F77" s="31" t="b">
        <v>0</v>
      </c>
      <c r="G77" s="31" t="s">
        <v>1856</v>
      </c>
      <c r="H77" s="31" t="s">
        <v>619</v>
      </c>
      <c r="I77" s="31" t="s">
        <v>619</v>
      </c>
      <c r="J77" s="30" t="s">
        <v>4242</v>
      </c>
      <c r="K77" s="30" t="s">
        <v>4194</v>
      </c>
      <c r="L77" s="30"/>
      <c r="M77" s="30"/>
      <c r="N77" s="31" t="str">
        <f>VLOOKUP(I77,'Active Employees'!$B$2:$B$498,1,false)</f>
        <v>javier.garcia@docker.com</v>
      </c>
      <c r="O77" s="33" t="s">
        <v>1469</v>
      </c>
      <c r="P77" s="31"/>
      <c r="Q77" s="31"/>
      <c r="R77" s="31"/>
      <c r="S77" s="30"/>
      <c r="T77" s="30"/>
      <c r="U77" s="30"/>
      <c r="V77" s="30"/>
      <c r="W77" s="30"/>
      <c r="X77" s="30"/>
      <c r="Y77" s="30"/>
      <c r="Z77" s="30"/>
      <c r="AA77" s="30"/>
    </row>
    <row r="78">
      <c r="A78" s="30"/>
      <c r="B78" s="31" t="s">
        <v>4224</v>
      </c>
      <c r="C78" s="31" t="b">
        <v>0</v>
      </c>
      <c r="D78" s="31" t="s">
        <v>4196</v>
      </c>
      <c r="E78" s="31" t="s">
        <v>4192</v>
      </c>
      <c r="F78" s="31" t="b">
        <v>0</v>
      </c>
      <c r="G78" s="31" t="s">
        <v>1856</v>
      </c>
      <c r="H78" s="31" t="s">
        <v>619</v>
      </c>
      <c r="I78" s="31" t="s">
        <v>619</v>
      </c>
      <c r="J78" s="30" t="s">
        <v>4242</v>
      </c>
      <c r="K78" s="30" t="s">
        <v>4194</v>
      </c>
      <c r="L78" s="30"/>
      <c r="M78" s="30"/>
      <c r="N78" s="31" t="str">
        <f>VLOOKUP(I78,'Active Employees'!$B$2:$B$498,1,false)</f>
        <v>javier.garcia@docker.com</v>
      </c>
      <c r="O78" s="33" t="s">
        <v>1469</v>
      </c>
      <c r="P78" s="31"/>
      <c r="Q78" s="31"/>
      <c r="R78" s="31"/>
      <c r="S78" s="30"/>
      <c r="T78" s="30"/>
      <c r="U78" s="30"/>
      <c r="V78" s="30"/>
      <c r="W78" s="30"/>
      <c r="X78" s="30"/>
      <c r="Y78" s="30"/>
      <c r="Z78" s="30"/>
      <c r="AA78" s="30"/>
    </row>
    <row r="79">
      <c r="A79" s="30"/>
      <c r="B79" s="31" t="s">
        <v>4225</v>
      </c>
      <c r="C79" s="31" t="b">
        <v>0</v>
      </c>
      <c r="D79" s="31" t="s">
        <v>4196</v>
      </c>
      <c r="E79" s="31" t="s">
        <v>4192</v>
      </c>
      <c r="F79" s="31" t="b">
        <v>0</v>
      </c>
      <c r="G79" s="31" t="s">
        <v>1856</v>
      </c>
      <c r="H79" s="31" t="s">
        <v>619</v>
      </c>
      <c r="I79" s="31" t="s">
        <v>619</v>
      </c>
      <c r="J79" s="30" t="s">
        <v>4242</v>
      </c>
      <c r="K79" s="30" t="s">
        <v>4194</v>
      </c>
      <c r="L79" s="30"/>
      <c r="M79" s="30"/>
      <c r="N79" s="31" t="str">
        <f>VLOOKUP(I79,'Active Employees'!$B$2:$B$498,1,false)</f>
        <v>javier.garcia@docker.com</v>
      </c>
      <c r="O79" s="33" t="s">
        <v>1469</v>
      </c>
      <c r="P79" s="31"/>
      <c r="Q79" s="31"/>
      <c r="R79" s="31"/>
      <c r="S79" s="30"/>
      <c r="T79" s="30"/>
      <c r="U79" s="30"/>
      <c r="V79" s="30"/>
      <c r="W79" s="30"/>
      <c r="X79" s="30"/>
      <c r="Y79" s="30"/>
      <c r="Z79" s="30"/>
      <c r="AA79" s="30"/>
    </row>
    <row r="80">
      <c r="A80" s="30"/>
      <c r="B80" s="31" t="s">
        <v>4226</v>
      </c>
      <c r="C80" s="31" t="b">
        <v>0</v>
      </c>
      <c r="D80" s="31" t="s">
        <v>4196</v>
      </c>
      <c r="E80" s="31" t="s">
        <v>4192</v>
      </c>
      <c r="F80" s="31" t="b">
        <v>0</v>
      </c>
      <c r="G80" s="31" t="s">
        <v>1856</v>
      </c>
      <c r="H80" s="31" t="s">
        <v>619</v>
      </c>
      <c r="I80" s="31" t="s">
        <v>619</v>
      </c>
      <c r="J80" s="30" t="s">
        <v>4242</v>
      </c>
      <c r="K80" s="30" t="s">
        <v>4194</v>
      </c>
      <c r="L80" s="30"/>
      <c r="M80" s="30"/>
      <c r="N80" s="31" t="str">
        <f>VLOOKUP(I80,'Active Employees'!$B$2:$B$498,1,false)</f>
        <v>javier.garcia@docker.com</v>
      </c>
      <c r="O80" s="33" t="s">
        <v>1469</v>
      </c>
      <c r="P80" s="31"/>
      <c r="Q80" s="31"/>
      <c r="R80" s="31"/>
      <c r="S80" s="30"/>
      <c r="T80" s="30"/>
      <c r="U80" s="30"/>
      <c r="V80" s="30"/>
      <c r="W80" s="30"/>
      <c r="X80" s="30"/>
      <c r="Y80" s="30"/>
      <c r="Z80" s="30"/>
      <c r="AA80" s="30"/>
    </row>
    <row r="81">
      <c r="A81" s="30"/>
      <c r="B81" s="31" t="s">
        <v>4227</v>
      </c>
      <c r="C81" s="31" t="b">
        <v>0</v>
      </c>
      <c r="D81" s="31" t="s">
        <v>4196</v>
      </c>
      <c r="E81" s="31" t="s">
        <v>4192</v>
      </c>
      <c r="F81" s="31" t="b">
        <v>0</v>
      </c>
      <c r="G81" s="31" t="s">
        <v>1856</v>
      </c>
      <c r="H81" s="31" t="s">
        <v>619</v>
      </c>
      <c r="I81" s="31" t="s">
        <v>619</v>
      </c>
      <c r="J81" s="30" t="s">
        <v>4242</v>
      </c>
      <c r="K81" s="30" t="s">
        <v>4194</v>
      </c>
      <c r="L81" s="30"/>
      <c r="M81" s="30"/>
      <c r="N81" s="31" t="str">
        <f>VLOOKUP(I81,'Active Employees'!$B$2:$B$498,1,false)</f>
        <v>javier.garcia@docker.com</v>
      </c>
      <c r="O81" s="33" t="s">
        <v>1469</v>
      </c>
      <c r="P81" s="31"/>
      <c r="Q81" s="31"/>
      <c r="R81" s="31"/>
      <c r="S81" s="30"/>
      <c r="T81" s="30"/>
      <c r="U81" s="30"/>
      <c r="V81" s="30"/>
      <c r="W81" s="30"/>
      <c r="X81" s="30"/>
      <c r="Y81" s="30"/>
      <c r="Z81" s="30"/>
      <c r="AA81" s="30"/>
    </row>
    <row r="82">
      <c r="A82" s="30"/>
      <c r="B82" s="31" t="s">
        <v>4228</v>
      </c>
      <c r="C82" s="31" t="b">
        <v>0</v>
      </c>
      <c r="D82" s="31" t="s">
        <v>4196</v>
      </c>
      <c r="E82" s="31" t="s">
        <v>4192</v>
      </c>
      <c r="F82" s="31" t="b">
        <v>0</v>
      </c>
      <c r="G82" s="31" t="s">
        <v>1856</v>
      </c>
      <c r="H82" s="31" t="s">
        <v>619</v>
      </c>
      <c r="I82" s="31" t="s">
        <v>619</v>
      </c>
      <c r="J82" s="30" t="s">
        <v>4242</v>
      </c>
      <c r="K82" s="30" t="s">
        <v>4194</v>
      </c>
      <c r="L82" s="30"/>
      <c r="M82" s="30"/>
      <c r="N82" s="31" t="str">
        <f>VLOOKUP(I82,'Active Employees'!$B$2:$B$498,1,false)</f>
        <v>javier.garcia@docker.com</v>
      </c>
      <c r="O82" s="33" t="s">
        <v>1469</v>
      </c>
      <c r="P82" s="31"/>
      <c r="Q82" s="31"/>
      <c r="R82" s="31"/>
      <c r="S82" s="30"/>
      <c r="T82" s="30"/>
      <c r="U82" s="30"/>
      <c r="V82" s="30"/>
      <c r="W82" s="30"/>
      <c r="X82" s="30"/>
      <c r="Y82" s="30"/>
      <c r="Z82" s="30"/>
      <c r="AA82" s="30"/>
    </row>
    <row r="83">
      <c r="A83" s="30"/>
      <c r="B83" s="31" t="s">
        <v>4229</v>
      </c>
      <c r="C83" s="31" t="b">
        <v>0</v>
      </c>
      <c r="D83" s="31" t="s">
        <v>4196</v>
      </c>
      <c r="E83" s="31" t="s">
        <v>4192</v>
      </c>
      <c r="F83" s="31" t="b">
        <v>0</v>
      </c>
      <c r="G83" s="31" t="s">
        <v>1856</v>
      </c>
      <c r="H83" s="31" t="s">
        <v>619</v>
      </c>
      <c r="I83" s="31" t="s">
        <v>619</v>
      </c>
      <c r="J83" s="30" t="s">
        <v>4242</v>
      </c>
      <c r="K83" s="30" t="s">
        <v>4194</v>
      </c>
      <c r="L83" s="30"/>
      <c r="M83" s="30"/>
      <c r="N83" s="31" t="str">
        <f>VLOOKUP(I83,'Active Employees'!$B$2:$B$498,1,false)</f>
        <v>javier.garcia@docker.com</v>
      </c>
      <c r="O83" s="33" t="s">
        <v>1469</v>
      </c>
      <c r="P83" s="31"/>
      <c r="Q83" s="31"/>
      <c r="R83" s="31"/>
      <c r="S83" s="30"/>
      <c r="T83" s="30"/>
      <c r="U83" s="30"/>
      <c r="V83" s="30"/>
      <c r="W83" s="30"/>
      <c r="X83" s="30"/>
      <c r="Y83" s="30"/>
      <c r="Z83" s="30"/>
      <c r="AA83" s="30"/>
    </row>
    <row r="84">
      <c r="A84" s="30"/>
      <c r="B84" s="31" t="s">
        <v>4230</v>
      </c>
      <c r="C84" s="31" t="b">
        <v>0</v>
      </c>
      <c r="D84" s="31" t="s">
        <v>4231</v>
      </c>
      <c r="E84" s="31" t="s">
        <v>4192</v>
      </c>
      <c r="F84" s="31" t="b">
        <v>0</v>
      </c>
      <c r="G84" s="31" t="s">
        <v>238</v>
      </c>
      <c r="H84" s="31" t="s">
        <v>1317</v>
      </c>
      <c r="I84" s="31" t="s">
        <v>1317</v>
      </c>
      <c r="J84" s="30" t="s">
        <v>4243</v>
      </c>
      <c r="K84" s="30" t="s">
        <v>4232</v>
      </c>
      <c r="L84" s="30"/>
      <c r="M84" s="30"/>
      <c r="N84" s="31" t="str">
        <f>VLOOKUP(I84,'Active Employees'!$B$2:$B$498,1,false)</f>
        <v>jeffrey.strauss@docker.com</v>
      </c>
      <c r="O84" s="33" t="s">
        <v>1469</v>
      </c>
      <c r="P84" s="31"/>
      <c r="Q84" s="31"/>
      <c r="R84" s="31"/>
      <c r="S84" s="30"/>
      <c r="T84" s="30"/>
      <c r="U84" s="30"/>
      <c r="V84" s="30"/>
      <c r="W84" s="30"/>
      <c r="X84" s="30"/>
      <c r="Y84" s="30"/>
      <c r="Z84" s="30"/>
      <c r="AA84" s="30"/>
    </row>
    <row r="85">
      <c r="A85" s="30"/>
      <c r="B85" s="31" t="s">
        <v>4230</v>
      </c>
      <c r="C85" s="31" t="b">
        <v>0</v>
      </c>
      <c r="D85" s="31" t="s">
        <v>4231</v>
      </c>
      <c r="E85" s="31" t="s">
        <v>4192</v>
      </c>
      <c r="F85" s="31" t="b">
        <v>0</v>
      </c>
      <c r="G85" s="31" t="s">
        <v>410</v>
      </c>
      <c r="H85" s="31" t="s">
        <v>460</v>
      </c>
      <c r="I85" s="31" t="s">
        <v>460</v>
      </c>
      <c r="J85" s="30" t="s">
        <v>4244</v>
      </c>
      <c r="K85" s="30" t="s">
        <v>4232</v>
      </c>
      <c r="L85" s="30"/>
      <c r="M85" s="30"/>
      <c r="N85" s="31" t="str">
        <f>VLOOKUP(I85,'Active Employees'!$B$2:$B$498,1,false)</f>
        <v>jeanlaurent@docker.com</v>
      </c>
      <c r="O85" s="33" t="s">
        <v>1469</v>
      </c>
      <c r="P85" s="31"/>
      <c r="Q85" s="31"/>
      <c r="R85" s="31"/>
      <c r="S85" s="30"/>
      <c r="T85" s="30"/>
      <c r="U85" s="30"/>
      <c r="V85" s="30"/>
      <c r="W85" s="30"/>
      <c r="X85" s="30"/>
      <c r="Y85" s="30"/>
      <c r="Z85" s="30"/>
      <c r="AA85" s="30"/>
    </row>
    <row r="86">
      <c r="A86" s="30"/>
      <c r="B86" s="31" t="s">
        <v>4190</v>
      </c>
      <c r="C86" s="31" t="b">
        <v>0</v>
      </c>
      <c r="D86" s="31" t="s">
        <v>4191</v>
      </c>
      <c r="E86" s="31" t="s">
        <v>4192</v>
      </c>
      <c r="F86" s="31" t="b">
        <v>0</v>
      </c>
      <c r="G86" s="31" t="s">
        <v>2973</v>
      </c>
      <c r="H86" s="31" t="s">
        <v>495</v>
      </c>
      <c r="I86" s="31" t="s">
        <v>495</v>
      </c>
      <c r="J86" s="30" t="s">
        <v>4245</v>
      </c>
      <c r="K86" s="30" t="s">
        <v>4194</v>
      </c>
      <c r="L86" s="30"/>
      <c r="M86" s="30"/>
      <c r="N86" s="31" t="str">
        <f>VLOOKUP(I86,'Active Employees'!$B$2:$B$498,1,false)</f>
        <v>jonathan.dieu@docker.com</v>
      </c>
      <c r="O86" s="33" t="s">
        <v>1469</v>
      </c>
      <c r="P86" s="31"/>
      <c r="Q86" s="31"/>
      <c r="R86" s="31"/>
      <c r="S86" s="30"/>
      <c r="T86" s="30"/>
      <c r="U86" s="30"/>
      <c r="V86" s="30"/>
      <c r="W86" s="30"/>
      <c r="X86" s="30"/>
      <c r="Y86" s="30"/>
      <c r="Z86" s="30"/>
      <c r="AA86" s="30"/>
    </row>
    <row r="87">
      <c r="A87" s="30"/>
      <c r="B87" s="31" t="s">
        <v>4195</v>
      </c>
      <c r="C87" s="31" t="b">
        <v>0</v>
      </c>
      <c r="D87" s="31" t="s">
        <v>4196</v>
      </c>
      <c r="E87" s="31" t="s">
        <v>4192</v>
      </c>
      <c r="F87" s="31" t="b">
        <v>0</v>
      </c>
      <c r="G87" s="31" t="s">
        <v>2973</v>
      </c>
      <c r="H87" s="31" t="s">
        <v>495</v>
      </c>
      <c r="I87" s="31" t="s">
        <v>495</v>
      </c>
      <c r="J87" s="30" t="s">
        <v>4245</v>
      </c>
      <c r="K87" s="30" t="s">
        <v>4194</v>
      </c>
      <c r="L87" s="30"/>
      <c r="M87" s="30"/>
      <c r="N87" s="31" t="str">
        <f>VLOOKUP(I87,'Active Employees'!$B$2:$B$498,1,false)</f>
        <v>jonathan.dieu@docker.com</v>
      </c>
      <c r="O87" s="33" t="s">
        <v>1469</v>
      </c>
      <c r="P87" s="31"/>
      <c r="Q87" s="31"/>
      <c r="R87" s="31"/>
      <c r="S87" s="30"/>
      <c r="T87" s="30"/>
      <c r="U87" s="30"/>
      <c r="V87" s="30"/>
      <c r="W87" s="30"/>
      <c r="X87" s="30"/>
      <c r="Y87" s="30"/>
      <c r="Z87" s="30"/>
      <c r="AA87" s="30"/>
    </row>
    <row r="88">
      <c r="A88" s="30"/>
      <c r="B88" s="31" t="s">
        <v>4197</v>
      </c>
      <c r="C88" s="31" t="b">
        <v>0</v>
      </c>
      <c r="D88" s="31" t="s">
        <v>4196</v>
      </c>
      <c r="E88" s="31" t="s">
        <v>4192</v>
      </c>
      <c r="F88" s="31" t="b">
        <v>0</v>
      </c>
      <c r="G88" s="31" t="s">
        <v>2973</v>
      </c>
      <c r="H88" s="31" t="s">
        <v>495</v>
      </c>
      <c r="I88" s="31" t="s">
        <v>495</v>
      </c>
      <c r="J88" s="30" t="s">
        <v>4245</v>
      </c>
      <c r="K88" s="30" t="s">
        <v>4194</v>
      </c>
      <c r="L88" s="30"/>
      <c r="M88" s="30"/>
      <c r="N88" s="31" t="str">
        <f>VLOOKUP(I88,'Active Employees'!$B$2:$B$498,1,false)</f>
        <v>jonathan.dieu@docker.com</v>
      </c>
      <c r="O88" s="33" t="s">
        <v>1469</v>
      </c>
      <c r="P88" s="31"/>
      <c r="Q88" s="31"/>
      <c r="R88" s="31"/>
      <c r="S88" s="30"/>
      <c r="T88" s="30"/>
      <c r="U88" s="30"/>
      <c r="V88" s="30"/>
      <c r="W88" s="30"/>
      <c r="X88" s="30"/>
      <c r="Y88" s="30"/>
      <c r="Z88" s="30"/>
      <c r="AA88" s="30"/>
    </row>
    <row r="89">
      <c r="A89" s="30"/>
      <c r="B89" s="31" t="s">
        <v>4198</v>
      </c>
      <c r="C89" s="31" t="b">
        <v>0</v>
      </c>
      <c r="D89" s="31" t="s">
        <v>4196</v>
      </c>
      <c r="E89" s="31" t="s">
        <v>4192</v>
      </c>
      <c r="F89" s="31" t="b">
        <v>0</v>
      </c>
      <c r="G89" s="31" t="s">
        <v>2973</v>
      </c>
      <c r="H89" s="31" t="s">
        <v>495</v>
      </c>
      <c r="I89" s="31" t="s">
        <v>495</v>
      </c>
      <c r="J89" s="30" t="s">
        <v>4245</v>
      </c>
      <c r="K89" s="30" t="s">
        <v>4194</v>
      </c>
      <c r="L89" s="30"/>
      <c r="M89" s="30"/>
      <c r="N89" s="31" t="str">
        <f>VLOOKUP(I89,'Active Employees'!$B$2:$B$498,1,false)</f>
        <v>jonathan.dieu@docker.com</v>
      </c>
      <c r="O89" s="33" t="s">
        <v>1469</v>
      </c>
      <c r="P89" s="31"/>
      <c r="Q89" s="31"/>
      <c r="R89" s="31"/>
      <c r="S89" s="30"/>
      <c r="T89" s="30"/>
      <c r="U89" s="30"/>
      <c r="V89" s="30"/>
      <c r="W89" s="30"/>
      <c r="X89" s="30"/>
      <c r="Y89" s="30"/>
      <c r="Z89" s="30"/>
      <c r="AA89" s="30"/>
    </row>
    <row r="90">
      <c r="A90" s="30"/>
      <c r="B90" s="31" t="s">
        <v>4199</v>
      </c>
      <c r="C90" s="31" t="b">
        <v>0</v>
      </c>
      <c r="D90" s="31" t="s">
        <v>4196</v>
      </c>
      <c r="E90" s="31" t="s">
        <v>4192</v>
      </c>
      <c r="F90" s="31" t="b">
        <v>0</v>
      </c>
      <c r="G90" s="31" t="s">
        <v>2973</v>
      </c>
      <c r="H90" s="31" t="s">
        <v>495</v>
      </c>
      <c r="I90" s="31" t="s">
        <v>495</v>
      </c>
      <c r="J90" s="30" t="s">
        <v>4245</v>
      </c>
      <c r="K90" s="30" t="s">
        <v>4194</v>
      </c>
      <c r="L90" s="30"/>
      <c r="M90" s="30"/>
      <c r="N90" s="31" t="str">
        <f>VLOOKUP(I90,'Active Employees'!$B$2:$B$498,1,false)</f>
        <v>jonathan.dieu@docker.com</v>
      </c>
      <c r="O90" s="33" t="s">
        <v>1469</v>
      </c>
      <c r="P90" s="31"/>
      <c r="Q90" s="31"/>
      <c r="R90" s="31"/>
      <c r="S90" s="30"/>
      <c r="T90" s="30"/>
      <c r="U90" s="30"/>
      <c r="V90" s="30"/>
      <c r="W90" s="30"/>
      <c r="X90" s="30"/>
      <c r="Y90" s="30"/>
      <c r="Z90" s="30"/>
      <c r="AA90" s="30"/>
    </row>
    <row r="91">
      <c r="A91" s="30"/>
      <c r="B91" s="31" t="s">
        <v>4200</v>
      </c>
      <c r="C91" s="31" t="b">
        <v>0</v>
      </c>
      <c r="D91" s="31" t="s">
        <v>4196</v>
      </c>
      <c r="E91" s="31" t="s">
        <v>4192</v>
      </c>
      <c r="F91" s="31" t="b">
        <v>0</v>
      </c>
      <c r="G91" s="31" t="s">
        <v>2973</v>
      </c>
      <c r="H91" s="31" t="s">
        <v>495</v>
      </c>
      <c r="I91" s="31" t="s">
        <v>495</v>
      </c>
      <c r="J91" s="30" t="s">
        <v>4245</v>
      </c>
      <c r="K91" s="30" t="s">
        <v>4194</v>
      </c>
      <c r="L91" s="30"/>
      <c r="M91" s="30"/>
      <c r="N91" s="31" t="str">
        <f>VLOOKUP(I91,'Active Employees'!$B$2:$B$498,1,false)</f>
        <v>jonathan.dieu@docker.com</v>
      </c>
      <c r="O91" s="33" t="s">
        <v>1469</v>
      </c>
      <c r="P91" s="31"/>
      <c r="Q91" s="31"/>
      <c r="R91" s="31"/>
      <c r="S91" s="30"/>
      <c r="T91" s="30"/>
      <c r="U91" s="30"/>
      <c r="V91" s="30"/>
      <c r="W91" s="30"/>
      <c r="X91" s="30"/>
      <c r="Y91" s="30"/>
      <c r="Z91" s="30"/>
      <c r="AA91" s="30"/>
    </row>
    <row r="92">
      <c r="A92" s="30"/>
      <c r="B92" s="31" t="s">
        <v>4201</v>
      </c>
      <c r="C92" s="31" t="b">
        <v>0</v>
      </c>
      <c r="D92" s="31" t="s">
        <v>4196</v>
      </c>
      <c r="E92" s="31" t="s">
        <v>4192</v>
      </c>
      <c r="F92" s="31" t="b">
        <v>0</v>
      </c>
      <c r="G92" s="31" t="s">
        <v>2973</v>
      </c>
      <c r="H92" s="31" t="s">
        <v>495</v>
      </c>
      <c r="I92" s="31" t="s">
        <v>495</v>
      </c>
      <c r="J92" s="30" t="s">
        <v>4245</v>
      </c>
      <c r="K92" s="30" t="s">
        <v>4194</v>
      </c>
      <c r="L92" s="30"/>
      <c r="M92" s="30"/>
      <c r="N92" s="31" t="str">
        <f>VLOOKUP(I92,'Active Employees'!$B$2:$B$498,1,false)</f>
        <v>jonathan.dieu@docker.com</v>
      </c>
      <c r="O92" s="33" t="s">
        <v>1469</v>
      </c>
      <c r="P92" s="31"/>
      <c r="Q92" s="31"/>
      <c r="R92" s="31"/>
      <c r="S92" s="30"/>
      <c r="T92" s="30"/>
      <c r="U92" s="30"/>
      <c r="V92" s="30"/>
      <c r="W92" s="30"/>
      <c r="X92" s="30"/>
      <c r="Y92" s="30"/>
      <c r="Z92" s="30"/>
      <c r="AA92" s="30"/>
    </row>
    <row r="93">
      <c r="A93" s="30"/>
      <c r="B93" s="31" t="s">
        <v>4202</v>
      </c>
      <c r="C93" s="31" t="b">
        <v>0</v>
      </c>
      <c r="D93" s="31" t="s">
        <v>4196</v>
      </c>
      <c r="E93" s="31" t="s">
        <v>4192</v>
      </c>
      <c r="F93" s="31" t="b">
        <v>0</v>
      </c>
      <c r="G93" s="31" t="s">
        <v>2973</v>
      </c>
      <c r="H93" s="31" t="s">
        <v>495</v>
      </c>
      <c r="I93" s="31" t="s">
        <v>495</v>
      </c>
      <c r="J93" s="30" t="s">
        <v>4245</v>
      </c>
      <c r="K93" s="30" t="s">
        <v>4194</v>
      </c>
      <c r="L93" s="30"/>
      <c r="M93" s="30"/>
      <c r="N93" s="31" t="str">
        <f>VLOOKUP(I93,'Active Employees'!$B$2:$B$498,1,false)</f>
        <v>jonathan.dieu@docker.com</v>
      </c>
      <c r="O93" s="33" t="s">
        <v>1469</v>
      </c>
      <c r="P93" s="31"/>
      <c r="Q93" s="31"/>
      <c r="R93" s="31"/>
      <c r="S93" s="30"/>
      <c r="T93" s="30"/>
      <c r="U93" s="30"/>
      <c r="V93" s="30"/>
      <c r="W93" s="30"/>
      <c r="X93" s="30"/>
      <c r="Y93" s="30"/>
      <c r="Z93" s="30"/>
      <c r="AA93" s="30"/>
    </row>
    <row r="94">
      <c r="A94" s="30"/>
      <c r="B94" s="31" t="s">
        <v>4203</v>
      </c>
      <c r="C94" s="31" t="b">
        <v>0</v>
      </c>
      <c r="D94" s="31" t="s">
        <v>4196</v>
      </c>
      <c r="E94" s="31" t="s">
        <v>4192</v>
      </c>
      <c r="F94" s="31" t="b">
        <v>0</v>
      </c>
      <c r="G94" s="31" t="s">
        <v>2973</v>
      </c>
      <c r="H94" s="31" t="s">
        <v>495</v>
      </c>
      <c r="I94" s="31" t="s">
        <v>495</v>
      </c>
      <c r="J94" s="30" t="s">
        <v>4245</v>
      </c>
      <c r="K94" s="30" t="s">
        <v>4194</v>
      </c>
      <c r="L94" s="30"/>
      <c r="M94" s="30"/>
      <c r="N94" s="31" t="str">
        <f>VLOOKUP(I94,'Active Employees'!$B$2:$B$498,1,false)</f>
        <v>jonathan.dieu@docker.com</v>
      </c>
      <c r="O94" s="33" t="s">
        <v>1469</v>
      </c>
      <c r="P94" s="31"/>
      <c r="Q94" s="31"/>
      <c r="R94" s="31"/>
      <c r="S94" s="30"/>
      <c r="T94" s="30"/>
      <c r="U94" s="30"/>
      <c r="V94" s="30"/>
      <c r="W94" s="30"/>
      <c r="X94" s="30"/>
      <c r="Y94" s="30"/>
      <c r="Z94" s="30"/>
      <c r="AA94" s="30"/>
    </row>
    <row r="95">
      <c r="A95" s="30"/>
      <c r="B95" s="31" t="s">
        <v>4204</v>
      </c>
      <c r="C95" s="31" t="b">
        <v>0</v>
      </c>
      <c r="D95" s="31" t="s">
        <v>4196</v>
      </c>
      <c r="E95" s="31" t="s">
        <v>4192</v>
      </c>
      <c r="F95" s="31" t="b">
        <v>0</v>
      </c>
      <c r="G95" s="31" t="s">
        <v>2973</v>
      </c>
      <c r="H95" s="31" t="s">
        <v>495</v>
      </c>
      <c r="I95" s="31" t="s">
        <v>495</v>
      </c>
      <c r="J95" s="30" t="s">
        <v>4245</v>
      </c>
      <c r="K95" s="30" t="s">
        <v>4194</v>
      </c>
      <c r="L95" s="30"/>
      <c r="M95" s="30"/>
      <c r="N95" s="31" t="str">
        <f>VLOOKUP(I95,'Active Employees'!$B$2:$B$498,1,false)</f>
        <v>jonathan.dieu@docker.com</v>
      </c>
      <c r="O95" s="33" t="s">
        <v>1469</v>
      </c>
      <c r="P95" s="31"/>
      <c r="Q95" s="31"/>
      <c r="R95" s="31"/>
      <c r="S95" s="30"/>
      <c r="T95" s="30"/>
      <c r="U95" s="30"/>
      <c r="V95" s="30"/>
      <c r="W95" s="30"/>
      <c r="X95" s="30"/>
      <c r="Y95" s="30"/>
      <c r="Z95" s="30"/>
      <c r="AA95" s="30"/>
    </row>
    <row r="96">
      <c r="A96" s="30"/>
      <c r="B96" s="31" t="s">
        <v>4205</v>
      </c>
      <c r="C96" s="31" t="b">
        <v>0</v>
      </c>
      <c r="D96" s="31" t="s">
        <v>4196</v>
      </c>
      <c r="E96" s="31" t="s">
        <v>4192</v>
      </c>
      <c r="F96" s="31" t="b">
        <v>0</v>
      </c>
      <c r="G96" s="31" t="s">
        <v>2973</v>
      </c>
      <c r="H96" s="31" t="s">
        <v>495</v>
      </c>
      <c r="I96" s="31" t="s">
        <v>495</v>
      </c>
      <c r="J96" s="30" t="s">
        <v>4245</v>
      </c>
      <c r="K96" s="30" t="s">
        <v>4194</v>
      </c>
      <c r="L96" s="30"/>
      <c r="M96" s="30"/>
      <c r="N96" s="31" t="str">
        <f>VLOOKUP(I96,'Active Employees'!$B$2:$B$498,1,false)</f>
        <v>jonathan.dieu@docker.com</v>
      </c>
      <c r="O96" s="33" t="s">
        <v>1469</v>
      </c>
      <c r="P96" s="31"/>
      <c r="Q96" s="31"/>
      <c r="R96" s="31"/>
      <c r="S96" s="30"/>
      <c r="T96" s="30"/>
      <c r="U96" s="30"/>
      <c r="V96" s="30"/>
      <c r="W96" s="30"/>
      <c r="X96" s="30"/>
      <c r="Y96" s="30"/>
      <c r="Z96" s="30"/>
      <c r="AA96" s="30"/>
    </row>
    <row r="97">
      <c r="A97" s="30"/>
      <c r="B97" s="31" t="s">
        <v>4206</v>
      </c>
      <c r="C97" s="31" t="b">
        <v>0</v>
      </c>
      <c r="D97" s="31" t="s">
        <v>4196</v>
      </c>
      <c r="E97" s="31" t="s">
        <v>4192</v>
      </c>
      <c r="F97" s="31" t="b">
        <v>0</v>
      </c>
      <c r="G97" s="31" t="s">
        <v>2973</v>
      </c>
      <c r="H97" s="31" t="s">
        <v>495</v>
      </c>
      <c r="I97" s="31" t="s">
        <v>495</v>
      </c>
      <c r="J97" s="30" t="s">
        <v>4245</v>
      </c>
      <c r="K97" s="30" t="s">
        <v>4194</v>
      </c>
      <c r="L97" s="30"/>
      <c r="M97" s="30"/>
      <c r="N97" s="31" t="str">
        <f>VLOOKUP(I97,'Active Employees'!$B$2:$B$498,1,false)</f>
        <v>jonathan.dieu@docker.com</v>
      </c>
      <c r="O97" s="33" t="s">
        <v>1469</v>
      </c>
      <c r="P97" s="31"/>
      <c r="Q97" s="31"/>
      <c r="R97" s="31"/>
      <c r="S97" s="30"/>
      <c r="T97" s="30"/>
      <c r="U97" s="30"/>
      <c r="V97" s="30"/>
      <c r="W97" s="30"/>
      <c r="X97" s="30"/>
      <c r="Y97" s="30"/>
      <c r="Z97" s="30"/>
      <c r="AA97" s="30"/>
    </row>
    <row r="98">
      <c r="A98" s="30"/>
      <c r="B98" s="31" t="s">
        <v>4207</v>
      </c>
      <c r="C98" s="31" t="b">
        <v>0</v>
      </c>
      <c r="D98" s="31" t="s">
        <v>4196</v>
      </c>
      <c r="E98" s="31" t="s">
        <v>4192</v>
      </c>
      <c r="F98" s="31" t="b">
        <v>0</v>
      </c>
      <c r="G98" s="31" t="s">
        <v>2973</v>
      </c>
      <c r="H98" s="31" t="s">
        <v>495</v>
      </c>
      <c r="I98" s="31" t="s">
        <v>495</v>
      </c>
      <c r="J98" s="30" t="s">
        <v>4245</v>
      </c>
      <c r="K98" s="30" t="s">
        <v>4194</v>
      </c>
      <c r="L98" s="30"/>
      <c r="M98" s="30"/>
      <c r="N98" s="31" t="str">
        <f>VLOOKUP(I98,'Active Employees'!$B$2:$B$498,1,false)</f>
        <v>jonathan.dieu@docker.com</v>
      </c>
      <c r="O98" s="33" t="s">
        <v>1469</v>
      </c>
      <c r="P98" s="31"/>
      <c r="Q98" s="31"/>
      <c r="R98" s="31"/>
      <c r="S98" s="30"/>
      <c r="T98" s="30"/>
      <c r="U98" s="30"/>
      <c r="V98" s="30"/>
      <c r="W98" s="30"/>
      <c r="X98" s="30"/>
      <c r="Y98" s="30"/>
      <c r="Z98" s="30"/>
      <c r="AA98" s="30"/>
    </row>
    <row r="99">
      <c r="A99" s="30"/>
      <c r="B99" s="31" t="s">
        <v>4208</v>
      </c>
      <c r="C99" s="31" t="b">
        <v>0</v>
      </c>
      <c r="D99" s="31" t="s">
        <v>4196</v>
      </c>
      <c r="E99" s="31" t="s">
        <v>4192</v>
      </c>
      <c r="F99" s="31" t="b">
        <v>0</v>
      </c>
      <c r="G99" s="31" t="s">
        <v>2973</v>
      </c>
      <c r="H99" s="31" t="s">
        <v>495</v>
      </c>
      <c r="I99" s="31" t="s">
        <v>495</v>
      </c>
      <c r="J99" s="30" t="s">
        <v>4245</v>
      </c>
      <c r="K99" s="30" t="s">
        <v>4194</v>
      </c>
      <c r="L99" s="30"/>
      <c r="M99" s="30"/>
      <c r="N99" s="31" t="str">
        <f>VLOOKUP(I99,'Active Employees'!$B$2:$B$498,1,false)</f>
        <v>jonathan.dieu@docker.com</v>
      </c>
      <c r="O99" s="33" t="s">
        <v>1469</v>
      </c>
      <c r="P99" s="31"/>
      <c r="Q99" s="31"/>
      <c r="R99" s="31"/>
      <c r="S99" s="30"/>
      <c r="T99" s="30"/>
      <c r="U99" s="30"/>
      <c r="V99" s="30"/>
      <c r="W99" s="30"/>
      <c r="X99" s="30"/>
      <c r="Y99" s="30"/>
      <c r="Z99" s="30"/>
      <c r="AA99" s="30"/>
    </row>
    <row r="100">
      <c r="A100" s="30"/>
      <c r="B100" s="31" t="s">
        <v>4209</v>
      </c>
      <c r="C100" s="31" t="b">
        <v>0</v>
      </c>
      <c r="D100" s="31" t="s">
        <v>4196</v>
      </c>
      <c r="E100" s="31" t="s">
        <v>4192</v>
      </c>
      <c r="F100" s="31" t="b">
        <v>0</v>
      </c>
      <c r="G100" s="31" t="s">
        <v>2973</v>
      </c>
      <c r="H100" s="31" t="s">
        <v>495</v>
      </c>
      <c r="I100" s="31" t="s">
        <v>495</v>
      </c>
      <c r="J100" s="30" t="s">
        <v>4245</v>
      </c>
      <c r="K100" s="30" t="s">
        <v>4194</v>
      </c>
      <c r="L100" s="30"/>
      <c r="M100" s="30"/>
      <c r="N100" s="31" t="str">
        <f>VLOOKUP(I100,'Active Employees'!$B$2:$B$498,1,false)</f>
        <v>jonathan.dieu@docker.com</v>
      </c>
      <c r="O100" s="33" t="s">
        <v>1469</v>
      </c>
      <c r="P100" s="31"/>
      <c r="Q100" s="31"/>
      <c r="R100" s="31"/>
      <c r="S100" s="30"/>
      <c r="T100" s="30"/>
      <c r="U100" s="30"/>
      <c r="V100" s="30"/>
      <c r="W100" s="30"/>
      <c r="X100" s="30"/>
      <c r="Y100" s="30"/>
      <c r="Z100" s="30"/>
      <c r="AA100" s="30"/>
    </row>
    <row r="101">
      <c r="A101" s="30"/>
      <c r="B101" s="31" t="s">
        <v>1974</v>
      </c>
      <c r="C101" s="31" t="b">
        <v>0</v>
      </c>
      <c r="D101" s="31" t="s">
        <v>4196</v>
      </c>
      <c r="E101" s="31" t="s">
        <v>4192</v>
      </c>
      <c r="F101" s="31" t="b">
        <v>0</v>
      </c>
      <c r="G101" s="31" t="s">
        <v>2973</v>
      </c>
      <c r="H101" s="31" t="s">
        <v>495</v>
      </c>
      <c r="I101" s="31" t="s">
        <v>495</v>
      </c>
      <c r="J101" s="30" t="s">
        <v>4245</v>
      </c>
      <c r="K101" s="30" t="s">
        <v>4194</v>
      </c>
      <c r="L101" s="30"/>
      <c r="M101" s="30"/>
      <c r="N101" s="31" t="str">
        <f>VLOOKUP(I101,'Active Employees'!$B$2:$B$498,1,false)</f>
        <v>jonathan.dieu@docker.com</v>
      </c>
      <c r="O101" s="33" t="s">
        <v>1469</v>
      </c>
      <c r="P101" s="31"/>
      <c r="Q101" s="31"/>
      <c r="R101" s="31"/>
      <c r="S101" s="30"/>
      <c r="T101" s="30"/>
      <c r="U101" s="30"/>
      <c r="V101" s="30"/>
      <c r="W101" s="30"/>
      <c r="X101" s="30"/>
      <c r="Y101" s="30"/>
      <c r="Z101" s="30"/>
      <c r="AA101" s="30"/>
    </row>
    <row r="102">
      <c r="A102" s="30"/>
      <c r="B102" s="31" t="s">
        <v>4210</v>
      </c>
      <c r="C102" s="31" t="b">
        <v>0</v>
      </c>
      <c r="D102" s="31" t="s">
        <v>4196</v>
      </c>
      <c r="E102" s="31" t="s">
        <v>4192</v>
      </c>
      <c r="F102" s="31" t="b">
        <v>0</v>
      </c>
      <c r="G102" s="31" t="s">
        <v>2973</v>
      </c>
      <c r="H102" s="31" t="s">
        <v>495</v>
      </c>
      <c r="I102" s="31" t="s">
        <v>495</v>
      </c>
      <c r="J102" s="30" t="s">
        <v>4245</v>
      </c>
      <c r="K102" s="30" t="s">
        <v>4194</v>
      </c>
      <c r="L102" s="30"/>
      <c r="M102" s="30"/>
      <c r="N102" s="31" t="str">
        <f>VLOOKUP(I102,'Active Employees'!$B$2:$B$498,1,false)</f>
        <v>jonathan.dieu@docker.com</v>
      </c>
      <c r="O102" s="33" t="s">
        <v>1469</v>
      </c>
      <c r="P102" s="31"/>
      <c r="Q102" s="31"/>
      <c r="R102" s="31"/>
      <c r="S102" s="30"/>
      <c r="T102" s="30"/>
      <c r="U102" s="30"/>
      <c r="V102" s="30"/>
      <c r="W102" s="30"/>
      <c r="X102" s="30"/>
      <c r="Y102" s="30"/>
      <c r="Z102" s="30"/>
      <c r="AA102" s="30"/>
    </row>
    <row r="103">
      <c r="A103" s="30"/>
      <c r="B103" s="31" t="s">
        <v>4211</v>
      </c>
      <c r="C103" s="31" t="b">
        <v>0</v>
      </c>
      <c r="D103" s="31" t="s">
        <v>4196</v>
      </c>
      <c r="E103" s="31" t="s">
        <v>4192</v>
      </c>
      <c r="F103" s="31" t="b">
        <v>0</v>
      </c>
      <c r="G103" s="31" t="s">
        <v>2973</v>
      </c>
      <c r="H103" s="31" t="s">
        <v>495</v>
      </c>
      <c r="I103" s="31" t="s">
        <v>495</v>
      </c>
      <c r="J103" s="30" t="s">
        <v>4245</v>
      </c>
      <c r="K103" s="30" t="s">
        <v>4194</v>
      </c>
      <c r="L103" s="30"/>
      <c r="M103" s="30"/>
      <c r="N103" s="31" t="str">
        <f>VLOOKUP(I103,'Active Employees'!$B$2:$B$498,1,false)</f>
        <v>jonathan.dieu@docker.com</v>
      </c>
      <c r="O103" s="33" t="s">
        <v>1469</v>
      </c>
      <c r="P103" s="31"/>
      <c r="Q103" s="31"/>
      <c r="R103" s="31"/>
      <c r="S103" s="30"/>
      <c r="T103" s="30"/>
      <c r="U103" s="30"/>
      <c r="V103" s="30"/>
      <c r="W103" s="30"/>
      <c r="X103" s="30"/>
      <c r="Y103" s="30"/>
      <c r="Z103" s="30"/>
      <c r="AA103" s="30"/>
    </row>
    <row r="104">
      <c r="A104" s="30"/>
      <c r="B104" s="31" t="s">
        <v>4212</v>
      </c>
      <c r="C104" s="31" t="b">
        <v>0</v>
      </c>
      <c r="D104" s="31" t="s">
        <v>4196</v>
      </c>
      <c r="E104" s="31" t="s">
        <v>4192</v>
      </c>
      <c r="F104" s="31" t="b">
        <v>0</v>
      </c>
      <c r="G104" s="31" t="s">
        <v>2973</v>
      </c>
      <c r="H104" s="31" t="s">
        <v>495</v>
      </c>
      <c r="I104" s="31" t="s">
        <v>495</v>
      </c>
      <c r="J104" s="30" t="s">
        <v>4245</v>
      </c>
      <c r="K104" s="30" t="s">
        <v>4194</v>
      </c>
      <c r="L104" s="30"/>
      <c r="M104" s="30"/>
      <c r="N104" s="31" t="str">
        <f>VLOOKUP(I104,'Active Employees'!$B$2:$B$498,1,false)</f>
        <v>jonathan.dieu@docker.com</v>
      </c>
      <c r="O104" s="33" t="s">
        <v>1469</v>
      </c>
      <c r="P104" s="31"/>
      <c r="Q104" s="31"/>
      <c r="R104" s="31"/>
      <c r="S104" s="30"/>
      <c r="T104" s="30"/>
      <c r="U104" s="30"/>
      <c r="V104" s="30"/>
      <c r="W104" s="30"/>
      <c r="X104" s="30"/>
      <c r="Y104" s="30"/>
      <c r="Z104" s="30"/>
      <c r="AA104" s="30"/>
    </row>
    <row r="105">
      <c r="A105" s="30"/>
      <c r="B105" s="31" t="s">
        <v>4213</v>
      </c>
      <c r="C105" s="31" t="b">
        <v>0</v>
      </c>
      <c r="D105" s="31" t="s">
        <v>4196</v>
      </c>
      <c r="E105" s="31" t="s">
        <v>4192</v>
      </c>
      <c r="F105" s="31" t="b">
        <v>0</v>
      </c>
      <c r="G105" s="31" t="s">
        <v>2973</v>
      </c>
      <c r="H105" s="31" t="s">
        <v>495</v>
      </c>
      <c r="I105" s="31" t="s">
        <v>495</v>
      </c>
      <c r="J105" s="30" t="s">
        <v>4245</v>
      </c>
      <c r="K105" s="30" t="s">
        <v>4194</v>
      </c>
      <c r="L105" s="30"/>
      <c r="M105" s="30"/>
      <c r="N105" s="31" t="str">
        <f>VLOOKUP(I105,'Active Employees'!$B$2:$B$498,1,false)</f>
        <v>jonathan.dieu@docker.com</v>
      </c>
      <c r="O105" s="33" t="s">
        <v>1469</v>
      </c>
      <c r="P105" s="31"/>
      <c r="Q105" s="31"/>
      <c r="R105" s="31"/>
      <c r="S105" s="30"/>
      <c r="T105" s="30"/>
      <c r="U105" s="30"/>
      <c r="V105" s="30"/>
      <c r="W105" s="30"/>
      <c r="X105" s="30"/>
      <c r="Y105" s="30"/>
      <c r="Z105" s="30"/>
      <c r="AA105" s="30"/>
    </row>
    <row r="106">
      <c r="A106" s="30"/>
      <c r="B106" s="31" t="s">
        <v>4214</v>
      </c>
      <c r="C106" s="31" t="b">
        <v>0</v>
      </c>
      <c r="D106" s="31" t="s">
        <v>4196</v>
      </c>
      <c r="E106" s="31" t="s">
        <v>4192</v>
      </c>
      <c r="F106" s="31" t="b">
        <v>0</v>
      </c>
      <c r="G106" s="31" t="s">
        <v>2973</v>
      </c>
      <c r="H106" s="31" t="s">
        <v>495</v>
      </c>
      <c r="I106" s="31" t="s">
        <v>495</v>
      </c>
      <c r="J106" s="30" t="s">
        <v>4245</v>
      </c>
      <c r="K106" s="30" t="s">
        <v>4194</v>
      </c>
      <c r="L106" s="30"/>
      <c r="M106" s="30"/>
      <c r="N106" s="31" t="str">
        <f>VLOOKUP(I106,'Active Employees'!$B$2:$B$498,1,false)</f>
        <v>jonathan.dieu@docker.com</v>
      </c>
      <c r="O106" s="33" t="s">
        <v>1469</v>
      </c>
      <c r="P106" s="31"/>
      <c r="Q106" s="31"/>
      <c r="R106" s="31"/>
      <c r="S106" s="30"/>
      <c r="T106" s="30"/>
      <c r="U106" s="30"/>
      <c r="V106" s="30"/>
      <c r="W106" s="30"/>
      <c r="X106" s="30"/>
      <c r="Y106" s="30"/>
      <c r="Z106" s="30"/>
      <c r="AA106" s="30"/>
    </row>
    <row r="107">
      <c r="A107" s="30"/>
      <c r="B107" s="31" t="s">
        <v>4215</v>
      </c>
      <c r="C107" s="31" t="b">
        <v>0</v>
      </c>
      <c r="D107" s="31" t="s">
        <v>4196</v>
      </c>
      <c r="E107" s="31" t="s">
        <v>4192</v>
      </c>
      <c r="F107" s="31" t="b">
        <v>0</v>
      </c>
      <c r="G107" s="31" t="s">
        <v>2973</v>
      </c>
      <c r="H107" s="31" t="s">
        <v>495</v>
      </c>
      <c r="I107" s="31" t="s">
        <v>495</v>
      </c>
      <c r="J107" s="30" t="s">
        <v>4245</v>
      </c>
      <c r="K107" s="30" t="s">
        <v>4194</v>
      </c>
      <c r="L107" s="30"/>
      <c r="M107" s="30"/>
      <c r="N107" s="31" t="str">
        <f>VLOOKUP(I107,'Active Employees'!$B$2:$B$498,1,false)</f>
        <v>jonathan.dieu@docker.com</v>
      </c>
      <c r="O107" s="33" t="s">
        <v>1469</v>
      </c>
      <c r="P107" s="31"/>
      <c r="Q107" s="31"/>
      <c r="R107" s="31"/>
      <c r="S107" s="30"/>
      <c r="T107" s="30"/>
      <c r="U107" s="30"/>
      <c r="V107" s="30"/>
      <c r="W107" s="30"/>
      <c r="X107" s="30"/>
      <c r="Y107" s="30"/>
      <c r="Z107" s="30"/>
      <c r="AA107" s="30"/>
    </row>
    <row r="108">
      <c r="A108" s="30"/>
      <c r="B108" s="31" t="s">
        <v>4216</v>
      </c>
      <c r="C108" s="31" t="b">
        <v>0</v>
      </c>
      <c r="D108" s="31" t="s">
        <v>4196</v>
      </c>
      <c r="E108" s="31" t="s">
        <v>4192</v>
      </c>
      <c r="F108" s="31" t="b">
        <v>0</v>
      </c>
      <c r="G108" s="31" t="s">
        <v>2973</v>
      </c>
      <c r="H108" s="31" t="s">
        <v>495</v>
      </c>
      <c r="I108" s="31" t="s">
        <v>495</v>
      </c>
      <c r="J108" s="30" t="s">
        <v>4245</v>
      </c>
      <c r="K108" s="30" t="s">
        <v>4194</v>
      </c>
      <c r="L108" s="30"/>
      <c r="M108" s="30"/>
      <c r="N108" s="31" t="str">
        <f>VLOOKUP(I108,'Active Employees'!$B$2:$B$498,1,false)</f>
        <v>jonathan.dieu@docker.com</v>
      </c>
      <c r="O108" s="33" t="s">
        <v>1469</v>
      </c>
      <c r="P108" s="31"/>
      <c r="Q108" s="31"/>
      <c r="R108" s="31"/>
      <c r="S108" s="30"/>
      <c r="T108" s="30"/>
      <c r="U108" s="30"/>
      <c r="V108" s="30"/>
      <c r="W108" s="30"/>
      <c r="X108" s="30"/>
      <c r="Y108" s="30"/>
      <c r="Z108" s="30"/>
      <c r="AA108" s="30"/>
    </row>
    <row r="109">
      <c r="A109" s="30"/>
      <c r="B109" s="31" t="s">
        <v>4217</v>
      </c>
      <c r="C109" s="31" t="b">
        <v>0</v>
      </c>
      <c r="D109" s="31" t="s">
        <v>4196</v>
      </c>
      <c r="E109" s="31" t="s">
        <v>4192</v>
      </c>
      <c r="F109" s="31" t="b">
        <v>0</v>
      </c>
      <c r="G109" s="31" t="s">
        <v>2973</v>
      </c>
      <c r="H109" s="31" t="s">
        <v>495</v>
      </c>
      <c r="I109" s="31" t="s">
        <v>495</v>
      </c>
      <c r="J109" s="30" t="s">
        <v>4245</v>
      </c>
      <c r="K109" s="30" t="s">
        <v>4194</v>
      </c>
      <c r="L109" s="30"/>
      <c r="M109" s="30"/>
      <c r="N109" s="31" t="str">
        <f>VLOOKUP(I109,'Active Employees'!$B$2:$B$498,1,false)</f>
        <v>jonathan.dieu@docker.com</v>
      </c>
      <c r="O109" s="33" t="s">
        <v>1469</v>
      </c>
      <c r="P109" s="31"/>
      <c r="Q109" s="31"/>
      <c r="R109" s="31"/>
      <c r="S109" s="30"/>
      <c r="T109" s="30"/>
      <c r="U109" s="30"/>
      <c r="V109" s="30"/>
      <c r="W109" s="30"/>
      <c r="X109" s="30"/>
      <c r="Y109" s="30"/>
      <c r="Z109" s="30"/>
      <c r="AA109" s="30"/>
    </row>
    <row r="110">
      <c r="A110" s="30"/>
      <c r="B110" s="31" t="s">
        <v>4218</v>
      </c>
      <c r="C110" s="31" t="b">
        <v>0</v>
      </c>
      <c r="D110" s="31" t="s">
        <v>4196</v>
      </c>
      <c r="E110" s="31" t="s">
        <v>4192</v>
      </c>
      <c r="F110" s="31" t="b">
        <v>0</v>
      </c>
      <c r="G110" s="31" t="s">
        <v>2973</v>
      </c>
      <c r="H110" s="31" t="s">
        <v>495</v>
      </c>
      <c r="I110" s="31" t="s">
        <v>495</v>
      </c>
      <c r="J110" s="30" t="s">
        <v>4245</v>
      </c>
      <c r="K110" s="30" t="s">
        <v>4194</v>
      </c>
      <c r="L110" s="30"/>
      <c r="M110" s="30"/>
      <c r="N110" s="31" t="str">
        <f>VLOOKUP(I110,'Active Employees'!$B$2:$B$498,1,false)</f>
        <v>jonathan.dieu@docker.com</v>
      </c>
      <c r="O110" s="33" t="s">
        <v>1469</v>
      </c>
      <c r="P110" s="31"/>
      <c r="Q110" s="31"/>
      <c r="R110" s="31"/>
      <c r="S110" s="30"/>
      <c r="T110" s="30"/>
      <c r="U110" s="30"/>
      <c r="V110" s="30"/>
      <c r="W110" s="30"/>
      <c r="X110" s="30"/>
      <c r="Y110" s="30"/>
      <c r="Z110" s="30"/>
      <c r="AA110" s="30"/>
    </row>
    <row r="111">
      <c r="A111" s="30"/>
      <c r="B111" s="31" t="s">
        <v>4219</v>
      </c>
      <c r="C111" s="31" t="b">
        <v>0</v>
      </c>
      <c r="D111" s="31" t="s">
        <v>4196</v>
      </c>
      <c r="E111" s="31" t="s">
        <v>4192</v>
      </c>
      <c r="F111" s="31" t="b">
        <v>0</v>
      </c>
      <c r="G111" s="31" t="s">
        <v>2973</v>
      </c>
      <c r="H111" s="31" t="s">
        <v>495</v>
      </c>
      <c r="I111" s="31" t="s">
        <v>495</v>
      </c>
      <c r="J111" s="30" t="s">
        <v>4245</v>
      </c>
      <c r="K111" s="30" t="s">
        <v>4194</v>
      </c>
      <c r="L111" s="30"/>
      <c r="M111" s="30"/>
      <c r="N111" s="31" t="str">
        <f>VLOOKUP(I111,'Active Employees'!$B$2:$B$498,1,false)</f>
        <v>jonathan.dieu@docker.com</v>
      </c>
      <c r="O111" s="33" t="s">
        <v>1469</v>
      </c>
      <c r="P111" s="31"/>
      <c r="Q111" s="31"/>
      <c r="R111" s="31"/>
      <c r="S111" s="30"/>
      <c r="T111" s="30"/>
      <c r="U111" s="30"/>
      <c r="V111" s="30"/>
      <c r="W111" s="30"/>
      <c r="X111" s="30"/>
      <c r="Y111" s="30"/>
      <c r="Z111" s="30"/>
      <c r="AA111" s="30"/>
    </row>
    <row r="112">
      <c r="A112" s="30"/>
      <c r="B112" s="31" t="s">
        <v>4220</v>
      </c>
      <c r="C112" s="31" t="b">
        <v>0</v>
      </c>
      <c r="D112" s="31" t="s">
        <v>4196</v>
      </c>
      <c r="E112" s="31" t="s">
        <v>4192</v>
      </c>
      <c r="F112" s="31" t="b">
        <v>0</v>
      </c>
      <c r="G112" s="31" t="s">
        <v>2973</v>
      </c>
      <c r="H112" s="31" t="s">
        <v>495</v>
      </c>
      <c r="I112" s="31" t="s">
        <v>495</v>
      </c>
      <c r="J112" s="30" t="s">
        <v>4245</v>
      </c>
      <c r="K112" s="30" t="s">
        <v>4194</v>
      </c>
      <c r="L112" s="30"/>
      <c r="M112" s="30"/>
      <c r="N112" s="31" t="str">
        <f>VLOOKUP(I112,'Active Employees'!$B$2:$B$498,1,false)</f>
        <v>jonathan.dieu@docker.com</v>
      </c>
      <c r="O112" s="33" t="s">
        <v>1469</v>
      </c>
      <c r="P112" s="31"/>
      <c r="Q112" s="31"/>
      <c r="R112" s="31"/>
      <c r="S112" s="30"/>
      <c r="T112" s="30"/>
      <c r="U112" s="30"/>
      <c r="V112" s="30"/>
      <c r="W112" s="30"/>
      <c r="X112" s="30"/>
      <c r="Y112" s="30"/>
      <c r="Z112" s="30"/>
      <c r="AA112" s="30"/>
    </row>
    <row r="113">
      <c r="A113" s="30"/>
      <c r="B113" s="31" t="s">
        <v>4221</v>
      </c>
      <c r="C113" s="31" t="b">
        <v>0</v>
      </c>
      <c r="D113" s="31" t="s">
        <v>4196</v>
      </c>
      <c r="E113" s="31" t="s">
        <v>4192</v>
      </c>
      <c r="F113" s="31" t="b">
        <v>0</v>
      </c>
      <c r="G113" s="31" t="s">
        <v>2973</v>
      </c>
      <c r="H113" s="31" t="s">
        <v>495</v>
      </c>
      <c r="I113" s="31" t="s">
        <v>495</v>
      </c>
      <c r="J113" s="30" t="s">
        <v>4245</v>
      </c>
      <c r="K113" s="30" t="s">
        <v>4194</v>
      </c>
      <c r="L113" s="30"/>
      <c r="M113" s="30"/>
      <c r="N113" s="31" t="str">
        <f>VLOOKUP(I113,'Active Employees'!$B$2:$B$498,1,false)</f>
        <v>jonathan.dieu@docker.com</v>
      </c>
      <c r="O113" s="33" t="s">
        <v>1469</v>
      </c>
      <c r="P113" s="31"/>
      <c r="Q113" s="31"/>
      <c r="R113" s="31"/>
      <c r="S113" s="30"/>
      <c r="T113" s="30"/>
      <c r="U113" s="30"/>
      <c r="V113" s="30"/>
      <c r="W113" s="30"/>
      <c r="X113" s="30"/>
      <c r="Y113" s="30"/>
      <c r="Z113" s="30"/>
      <c r="AA113" s="30"/>
    </row>
    <row r="114">
      <c r="A114" s="30"/>
      <c r="B114" s="31" t="s">
        <v>4222</v>
      </c>
      <c r="C114" s="31" t="b">
        <v>0</v>
      </c>
      <c r="D114" s="31" t="s">
        <v>4196</v>
      </c>
      <c r="E114" s="31" t="s">
        <v>4192</v>
      </c>
      <c r="F114" s="31" t="b">
        <v>0</v>
      </c>
      <c r="G114" s="31" t="s">
        <v>2973</v>
      </c>
      <c r="H114" s="31" t="s">
        <v>495</v>
      </c>
      <c r="I114" s="31" t="s">
        <v>495</v>
      </c>
      <c r="J114" s="30" t="s">
        <v>4245</v>
      </c>
      <c r="K114" s="30" t="s">
        <v>4194</v>
      </c>
      <c r="L114" s="30"/>
      <c r="M114" s="30"/>
      <c r="N114" s="31" t="str">
        <f>VLOOKUP(I114,'Active Employees'!$B$2:$B$498,1,false)</f>
        <v>jonathan.dieu@docker.com</v>
      </c>
      <c r="O114" s="33" t="s">
        <v>1469</v>
      </c>
      <c r="P114" s="31"/>
      <c r="Q114" s="31"/>
      <c r="R114" s="31"/>
      <c r="S114" s="30"/>
      <c r="T114" s="30"/>
      <c r="U114" s="30"/>
      <c r="V114" s="30"/>
      <c r="W114" s="30"/>
      <c r="X114" s="30"/>
      <c r="Y114" s="30"/>
      <c r="Z114" s="30"/>
      <c r="AA114" s="30"/>
    </row>
    <row r="115">
      <c r="A115" s="30"/>
      <c r="B115" s="31" t="s">
        <v>4223</v>
      </c>
      <c r="C115" s="31" t="b">
        <v>0</v>
      </c>
      <c r="D115" s="31" t="s">
        <v>4196</v>
      </c>
      <c r="E115" s="31" t="s">
        <v>4192</v>
      </c>
      <c r="F115" s="31" t="b">
        <v>0</v>
      </c>
      <c r="G115" s="31" t="s">
        <v>2973</v>
      </c>
      <c r="H115" s="31" t="s">
        <v>495</v>
      </c>
      <c r="I115" s="31" t="s">
        <v>495</v>
      </c>
      <c r="J115" s="30" t="s">
        <v>4245</v>
      </c>
      <c r="K115" s="30" t="s">
        <v>4194</v>
      </c>
      <c r="L115" s="30"/>
      <c r="M115" s="30"/>
      <c r="N115" s="31" t="str">
        <f>VLOOKUP(I115,'Active Employees'!$B$2:$B$498,1,false)</f>
        <v>jonathan.dieu@docker.com</v>
      </c>
      <c r="O115" s="33" t="s">
        <v>1469</v>
      </c>
      <c r="P115" s="31"/>
      <c r="Q115" s="31"/>
      <c r="R115" s="31"/>
      <c r="S115" s="30"/>
      <c r="T115" s="30"/>
      <c r="U115" s="30"/>
      <c r="V115" s="30"/>
      <c r="W115" s="30"/>
      <c r="X115" s="30"/>
      <c r="Y115" s="30"/>
      <c r="Z115" s="30"/>
      <c r="AA115" s="30"/>
    </row>
    <row r="116">
      <c r="A116" s="30"/>
      <c r="B116" s="31" t="s">
        <v>4224</v>
      </c>
      <c r="C116" s="31" t="b">
        <v>0</v>
      </c>
      <c r="D116" s="31" t="s">
        <v>4196</v>
      </c>
      <c r="E116" s="31" t="s">
        <v>4192</v>
      </c>
      <c r="F116" s="31" t="b">
        <v>0</v>
      </c>
      <c r="G116" s="31" t="s">
        <v>2973</v>
      </c>
      <c r="H116" s="31" t="s">
        <v>495</v>
      </c>
      <c r="I116" s="31" t="s">
        <v>495</v>
      </c>
      <c r="J116" s="30" t="s">
        <v>4245</v>
      </c>
      <c r="K116" s="30" t="s">
        <v>4194</v>
      </c>
      <c r="L116" s="30"/>
      <c r="M116" s="30"/>
      <c r="N116" s="31" t="str">
        <f>VLOOKUP(I116,'Active Employees'!$B$2:$B$498,1,false)</f>
        <v>jonathan.dieu@docker.com</v>
      </c>
      <c r="O116" s="33" t="s">
        <v>1469</v>
      </c>
      <c r="P116" s="31"/>
      <c r="Q116" s="31"/>
      <c r="R116" s="31"/>
      <c r="S116" s="30"/>
      <c r="T116" s="30"/>
      <c r="U116" s="30"/>
      <c r="V116" s="30"/>
      <c r="W116" s="30"/>
      <c r="X116" s="30"/>
      <c r="Y116" s="30"/>
      <c r="Z116" s="30"/>
      <c r="AA116" s="30"/>
    </row>
    <row r="117">
      <c r="A117" s="30"/>
      <c r="B117" s="31" t="s">
        <v>4225</v>
      </c>
      <c r="C117" s="31" t="b">
        <v>0</v>
      </c>
      <c r="D117" s="31" t="s">
        <v>4196</v>
      </c>
      <c r="E117" s="31" t="s">
        <v>4192</v>
      </c>
      <c r="F117" s="31" t="b">
        <v>0</v>
      </c>
      <c r="G117" s="31" t="s">
        <v>2973</v>
      </c>
      <c r="H117" s="31" t="s">
        <v>495</v>
      </c>
      <c r="I117" s="31" t="s">
        <v>495</v>
      </c>
      <c r="J117" s="30" t="s">
        <v>4245</v>
      </c>
      <c r="K117" s="30" t="s">
        <v>4194</v>
      </c>
      <c r="L117" s="30"/>
      <c r="M117" s="30"/>
      <c r="N117" s="31" t="str">
        <f>VLOOKUP(I117,'Active Employees'!$B$2:$B$498,1,false)</f>
        <v>jonathan.dieu@docker.com</v>
      </c>
      <c r="O117" s="33" t="s">
        <v>1469</v>
      </c>
      <c r="P117" s="31"/>
      <c r="Q117" s="31"/>
      <c r="R117" s="31"/>
      <c r="S117" s="30"/>
      <c r="T117" s="30"/>
      <c r="U117" s="30"/>
      <c r="V117" s="30"/>
      <c r="W117" s="30"/>
      <c r="X117" s="30"/>
      <c r="Y117" s="30"/>
      <c r="Z117" s="30"/>
      <c r="AA117" s="30"/>
    </row>
    <row r="118">
      <c r="A118" s="30"/>
      <c r="B118" s="31" t="s">
        <v>4226</v>
      </c>
      <c r="C118" s="31" t="b">
        <v>0</v>
      </c>
      <c r="D118" s="31" t="s">
        <v>4196</v>
      </c>
      <c r="E118" s="31" t="s">
        <v>4192</v>
      </c>
      <c r="F118" s="31" t="b">
        <v>0</v>
      </c>
      <c r="G118" s="31" t="s">
        <v>2973</v>
      </c>
      <c r="H118" s="31" t="s">
        <v>495</v>
      </c>
      <c r="I118" s="31" t="s">
        <v>495</v>
      </c>
      <c r="J118" s="30" t="s">
        <v>4245</v>
      </c>
      <c r="K118" s="30" t="s">
        <v>4194</v>
      </c>
      <c r="L118" s="30"/>
      <c r="M118" s="30"/>
      <c r="N118" s="31" t="str">
        <f>VLOOKUP(I118,'Active Employees'!$B$2:$B$498,1,false)</f>
        <v>jonathan.dieu@docker.com</v>
      </c>
      <c r="O118" s="33" t="s">
        <v>1469</v>
      </c>
      <c r="P118" s="31"/>
      <c r="Q118" s="31"/>
      <c r="R118" s="31"/>
      <c r="S118" s="30"/>
      <c r="T118" s="30"/>
      <c r="U118" s="30"/>
      <c r="V118" s="30"/>
      <c r="W118" s="30"/>
      <c r="X118" s="30"/>
      <c r="Y118" s="30"/>
      <c r="Z118" s="30"/>
      <c r="AA118" s="30"/>
    </row>
    <row r="119">
      <c r="A119" s="30"/>
      <c r="B119" s="31" t="s">
        <v>4227</v>
      </c>
      <c r="C119" s="31" t="b">
        <v>0</v>
      </c>
      <c r="D119" s="31" t="s">
        <v>4196</v>
      </c>
      <c r="E119" s="31" t="s">
        <v>4192</v>
      </c>
      <c r="F119" s="31" t="b">
        <v>0</v>
      </c>
      <c r="G119" s="31" t="s">
        <v>2973</v>
      </c>
      <c r="H119" s="31" t="s">
        <v>495</v>
      </c>
      <c r="I119" s="31" t="s">
        <v>495</v>
      </c>
      <c r="J119" s="30" t="s">
        <v>4245</v>
      </c>
      <c r="K119" s="30" t="s">
        <v>4194</v>
      </c>
      <c r="L119" s="30"/>
      <c r="M119" s="30"/>
      <c r="N119" s="31" t="str">
        <f>VLOOKUP(I119,'Active Employees'!$B$2:$B$498,1,false)</f>
        <v>jonathan.dieu@docker.com</v>
      </c>
      <c r="O119" s="33" t="s">
        <v>1469</v>
      </c>
      <c r="P119" s="31"/>
      <c r="Q119" s="31"/>
      <c r="R119" s="31"/>
      <c r="S119" s="30"/>
      <c r="T119" s="30"/>
      <c r="U119" s="30"/>
      <c r="V119" s="30"/>
      <c r="W119" s="30"/>
      <c r="X119" s="30"/>
      <c r="Y119" s="30"/>
      <c r="Z119" s="30"/>
      <c r="AA119" s="30"/>
    </row>
    <row r="120">
      <c r="A120" s="30"/>
      <c r="B120" s="31" t="s">
        <v>4228</v>
      </c>
      <c r="C120" s="31" t="b">
        <v>0</v>
      </c>
      <c r="D120" s="31" t="s">
        <v>4196</v>
      </c>
      <c r="E120" s="31" t="s">
        <v>4192</v>
      </c>
      <c r="F120" s="31" t="b">
        <v>0</v>
      </c>
      <c r="G120" s="31" t="s">
        <v>2973</v>
      </c>
      <c r="H120" s="31" t="s">
        <v>495</v>
      </c>
      <c r="I120" s="31" t="s">
        <v>495</v>
      </c>
      <c r="J120" s="30" t="s">
        <v>4245</v>
      </c>
      <c r="K120" s="30" t="s">
        <v>4194</v>
      </c>
      <c r="L120" s="30"/>
      <c r="M120" s="30"/>
      <c r="N120" s="31" t="str">
        <f>VLOOKUP(I120,'Active Employees'!$B$2:$B$498,1,false)</f>
        <v>jonathan.dieu@docker.com</v>
      </c>
      <c r="O120" s="33" t="s">
        <v>1469</v>
      </c>
      <c r="P120" s="31"/>
      <c r="Q120" s="31"/>
      <c r="R120" s="31"/>
      <c r="S120" s="30"/>
      <c r="T120" s="30"/>
      <c r="U120" s="30"/>
      <c r="V120" s="30"/>
      <c r="W120" s="30"/>
      <c r="X120" s="30"/>
      <c r="Y120" s="30"/>
      <c r="Z120" s="30"/>
      <c r="AA120" s="30"/>
    </row>
    <row r="121">
      <c r="A121" s="30"/>
      <c r="B121" s="31" t="s">
        <v>4229</v>
      </c>
      <c r="C121" s="31" t="b">
        <v>0</v>
      </c>
      <c r="D121" s="31" t="s">
        <v>4196</v>
      </c>
      <c r="E121" s="31" t="s">
        <v>4192</v>
      </c>
      <c r="F121" s="31" t="b">
        <v>0</v>
      </c>
      <c r="G121" s="31" t="s">
        <v>2973</v>
      </c>
      <c r="H121" s="31" t="s">
        <v>495</v>
      </c>
      <c r="I121" s="31" t="s">
        <v>495</v>
      </c>
      <c r="J121" s="30" t="s">
        <v>4245</v>
      </c>
      <c r="K121" s="30" t="s">
        <v>4194</v>
      </c>
      <c r="L121" s="30"/>
      <c r="M121" s="30"/>
      <c r="N121" s="31" t="str">
        <f>VLOOKUP(I121,'Active Employees'!$B$2:$B$498,1,false)</f>
        <v>jonathan.dieu@docker.com</v>
      </c>
      <c r="O121" s="33" t="s">
        <v>1469</v>
      </c>
      <c r="P121" s="31"/>
      <c r="Q121" s="31"/>
      <c r="R121" s="31"/>
      <c r="S121" s="30"/>
      <c r="T121" s="30"/>
      <c r="U121" s="30"/>
      <c r="V121" s="30"/>
      <c r="W121" s="30"/>
      <c r="X121" s="30"/>
      <c r="Y121" s="30"/>
      <c r="Z121" s="30"/>
      <c r="AA121" s="30"/>
    </row>
    <row r="122">
      <c r="A122" s="30" t="s">
        <v>4246</v>
      </c>
      <c r="B122" s="31" t="s">
        <v>4247</v>
      </c>
      <c r="C122" s="31" t="b">
        <v>0</v>
      </c>
      <c r="D122" s="31" t="s">
        <v>4248</v>
      </c>
      <c r="E122" s="31" t="s">
        <v>4249</v>
      </c>
      <c r="F122" s="31" t="b">
        <v>0</v>
      </c>
      <c r="G122" s="31" t="s">
        <v>1875</v>
      </c>
      <c r="H122" s="31" t="s">
        <v>1052</v>
      </c>
      <c r="I122" s="31" t="s">
        <v>1052</v>
      </c>
      <c r="J122" s="30" t="s">
        <v>4250</v>
      </c>
      <c r="K122" s="30" t="s">
        <v>4232</v>
      </c>
      <c r="L122" s="30"/>
      <c r="M122" s="30"/>
      <c r="N122" s="31" t="str">
        <f>VLOOKUP(I122,'Active Employees'!$B$2:$B$498,1,false)</f>
        <v>josh.newman@docker.com</v>
      </c>
      <c r="O122" s="33" t="s">
        <v>1469</v>
      </c>
      <c r="P122" s="31"/>
      <c r="Q122" s="31"/>
      <c r="R122" s="31"/>
      <c r="S122" s="30"/>
      <c r="T122" s="30"/>
      <c r="U122" s="30"/>
      <c r="V122" s="30"/>
      <c r="W122" s="30"/>
      <c r="X122" s="30"/>
      <c r="Y122" s="30"/>
      <c r="Z122" s="30"/>
      <c r="AA122" s="30"/>
    </row>
    <row r="123">
      <c r="A123" s="30"/>
      <c r="B123" s="31" t="s">
        <v>4230</v>
      </c>
      <c r="C123" s="31" t="b">
        <v>0</v>
      </c>
      <c r="D123" s="31" t="s">
        <v>4191</v>
      </c>
      <c r="E123" s="31" t="s">
        <v>4192</v>
      </c>
      <c r="F123" s="31" t="b">
        <v>0</v>
      </c>
      <c r="G123" s="31" t="s">
        <v>1875</v>
      </c>
      <c r="H123" s="31" t="s">
        <v>1052</v>
      </c>
      <c r="I123" s="31" t="s">
        <v>1052</v>
      </c>
      <c r="J123" s="30" t="s">
        <v>4250</v>
      </c>
      <c r="K123" s="30" t="s">
        <v>4232</v>
      </c>
      <c r="L123" s="30"/>
      <c r="M123" s="30"/>
      <c r="N123" s="31" t="str">
        <f>VLOOKUP(I123,'Active Employees'!$B$2:$B$498,1,false)</f>
        <v>josh.newman@docker.com</v>
      </c>
      <c r="O123" s="33" t="s">
        <v>1469</v>
      </c>
      <c r="P123" s="31"/>
      <c r="Q123" s="31"/>
      <c r="R123" s="31"/>
      <c r="S123" s="30"/>
      <c r="T123" s="30"/>
      <c r="U123" s="30"/>
      <c r="V123" s="30"/>
      <c r="W123" s="30"/>
      <c r="X123" s="30"/>
      <c r="Y123" s="30"/>
      <c r="Z123" s="30"/>
      <c r="AA123" s="30"/>
    </row>
    <row r="124">
      <c r="A124" s="30"/>
      <c r="B124" s="31" t="s">
        <v>4251</v>
      </c>
      <c r="C124" s="31" t="b">
        <v>0</v>
      </c>
      <c r="D124" s="31" t="s">
        <v>4252</v>
      </c>
      <c r="E124" s="31" t="s">
        <v>4192</v>
      </c>
      <c r="F124" s="31" t="b">
        <v>0</v>
      </c>
      <c r="G124" s="31" t="s">
        <v>1875</v>
      </c>
      <c r="H124" s="31" t="s">
        <v>1052</v>
      </c>
      <c r="I124" s="31" t="s">
        <v>1052</v>
      </c>
      <c r="J124" s="30" t="s">
        <v>4250</v>
      </c>
      <c r="K124" s="30" t="s">
        <v>4232</v>
      </c>
      <c r="L124" s="30"/>
      <c r="M124" s="30"/>
      <c r="N124" s="31" t="str">
        <f>VLOOKUP(I124,'Active Employees'!$B$2:$B$498,1,false)</f>
        <v>josh.newman@docker.com</v>
      </c>
      <c r="O124" s="33" t="s">
        <v>1469</v>
      </c>
      <c r="P124" s="31"/>
      <c r="Q124" s="31"/>
      <c r="R124" s="31"/>
      <c r="S124" s="30"/>
      <c r="T124" s="30"/>
      <c r="U124" s="30"/>
      <c r="V124" s="30"/>
      <c r="W124" s="30"/>
      <c r="X124" s="30"/>
      <c r="Y124" s="30"/>
      <c r="Z124" s="30"/>
      <c r="AA124" s="30"/>
    </row>
    <row r="125">
      <c r="A125" s="30"/>
      <c r="B125" s="31" t="s">
        <v>4230</v>
      </c>
      <c r="C125" s="31" t="b">
        <v>0</v>
      </c>
      <c r="D125" s="31" t="s">
        <v>4238</v>
      </c>
      <c r="E125" s="31" t="s">
        <v>4192</v>
      </c>
      <c r="F125" s="31" t="b">
        <v>0</v>
      </c>
      <c r="G125" s="31" t="s">
        <v>1875</v>
      </c>
      <c r="H125" s="31" t="s">
        <v>1052</v>
      </c>
      <c r="I125" s="31" t="s">
        <v>1052</v>
      </c>
      <c r="J125" s="30" t="s">
        <v>4250</v>
      </c>
      <c r="K125" s="30" t="s">
        <v>4232</v>
      </c>
      <c r="L125" s="30"/>
      <c r="M125" s="30"/>
      <c r="N125" s="31" t="str">
        <f>VLOOKUP(I125,'Active Employees'!$B$2:$B$498,1,false)</f>
        <v>josh.newman@docker.com</v>
      </c>
      <c r="O125" s="33" t="s">
        <v>1469</v>
      </c>
      <c r="P125" s="31"/>
      <c r="Q125" s="31"/>
      <c r="R125" s="31"/>
      <c r="S125" s="30"/>
      <c r="T125" s="30"/>
      <c r="U125" s="30"/>
      <c r="V125" s="30"/>
      <c r="W125" s="30"/>
      <c r="X125" s="30"/>
      <c r="Y125" s="30"/>
      <c r="Z125" s="30"/>
      <c r="AA125" s="30"/>
    </row>
    <row r="126">
      <c r="A126" s="30"/>
      <c r="B126" s="31" t="s">
        <v>4230</v>
      </c>
      <c r="C126" s="31" t="b">
        <v>0</v>
      </c>
      <c r="D126" s="31" t="s">
        <v>4196</v>
      </c>
      <c r="E126" s="31" t="s">
        <v>4192</v>
      </c>
      <c r="F126" s="31" t="b">
        <v>0</v>
      </c>
      <c r="G126" s="31" t="s">
        <v>1875</v>
      </c>
      <c r="H126" s="31" t="s">
        <v>1052</v>
      </c>
      <c r="I126" s="31" t="s">
        <v>1052</v>
      </c>
      <c r="J126" s="30" t="s">
        <v>4250</v>
      </c>
      <c r="K126" s="30" t="s">
        <v>4232</v>
      </c>
      <c r="L126" s="30"/>
      <c r="M126" s="30"/>
      <c r="N126" s="31" t="str">
        <f>VLOOKUP(I126,'Active Employees'!$B$2:$B$498,1,false)</f>
        <v>josh.newman@docker.com</v>
      </c>
      <c r="O126" s="33" t="s">
        <v>1469</v>
      </c>
      <c r="P126" s="31"/>
      <c r="Q126" s="31"/>
      <c r="R126" s="31"/>
      <c r="S126" s="30"/>
      <c r="T126" s="30"/>
      <c r="U126" s="30"/>
      <c r="V126" s="30"/>
      <c r="W126" s="30"/>
      <c r="X126" s="30"/>
      <c r="Y126" s="30"/>
      <c r="Z126" s="30"/>
      <c r="AA126" s="30"/>
    </row>
    <row r="127">
      <c r="A127" s="30"/>
      <c r="B127" s="31" t="s">
        <v>4230</v>
      </c>
      <c r="C127" s="31" t="b">
        <v>0</v>
      </c>
      <c r="D127" s="31" t="s">
        <v>4253</v>
      </c>
      <c r="E127" s="31" t="s">
        <v>4192</v>
      </c>
      <c r="F127" s="31" t="b">
        <v>0</v>
      </c>
      <c r="G127" s="31" t="s">
        <v>3930</v>
      </c>
      <c r="H127" s="31" t="s">
        <v>3931</v>
      </c>
      <c r="I127" s="31" t="s">
        <v>3931</v>
      </c>
      <c r="J127" s="30" t="s">
        <v>4254</v>
      </c>
      <c r="K127" s="30" t="s">
        <v>4232</v>
      </c>
      <c r="L127" s="30"/>
      <c r="M127" s="30"/>
      <c r="N127" s="31" t="str">
        <f>VLOOKUP(I127,'Active Employees'!$B$2:$B$498,1,false)</f>
        <v>#N/A</v>
      </c>
      <c r="O127" s="33" t="s">
        <v>1469</v>
      </c>
      <c r="P127" s="31"/>
      <c r="Q127" s="31"/>
      <c r="R127" s="31"/>
      <c r="S127" s="30"/>
      <c r="T127" s="30"/>
      <c r="U127" s="30"/>
      <c r="V127" s="30"/>
      <c r="W127" s="30"/>
      <c r="X127" s="30"/>
      <c r="Y127" s="30"/>
      <c r="Z127" s="30"/>
      <c r="AA127" s="30"/>
    </row>
    <row r="128">
      <c r="A128" s="30"/>
      <c r="B128" s="31" t="s">
        <v>4230</v>
      </c>
      <c r="C128" s="31" t="b">
        <v>0</v>
      </c>
      <c r="D128" s="31" t="s">
        <v>4233</v>
      </c>
      <c r="E128" s="31" t="s">
        <v>4192</v>
      </c>
      <c r="F128" s="31" t="b">
        <v>0</v>
      </c>
      <c r="G128" s="31" t="s">
        <v>3930</v>
      </c>
      <c r="H128" s="31" t="s">
        <v>3931</v>
      </c>
      <c r="I128" s="31" t="s">
        <v>3931</v>
      </c>
      <c r="J128" s="30" t="s">
        <v>4254</v>
      </c>
      <c r="K128" s="30" t="s">
        <v>4232</v>
      </c>
      <c r="L128" s="30"/>
      <c r="M128" s="30"/>
      <c r="N128" s="31" t="str">
        <f>VLOOKUP(I128,'Active Employees'!$B$2:$B$498,1,false)</f>
        <v>#N/A</v>
      </c>
      <c r="O128" s="33" t="s">
        <v>1469</v>
      </c>
      <c r="P128" s="31"/>
      <c r="Q128" s="31"/>
      <c r="R128" s="31"/>
      <c r="S128" s="30"/>
      <c r="T128" s="30"/>
      <c r="U128" s="30"/>
      <c r="V128" s="30"/>
      <c r="W128" s="30"/>
      <c r="X128" s="30"/>
      <c r="Y128" s="30"/>
      <c r="Z128" s="30"/>
      <c r="AA128" s="30"/>
    </row>
    <row r="129">
      <c r="A129" s="30"/>
      <c r="B129" s="31" t="s">
        <v>4230</v>
      </c>
      <c r="C129" s="31" t="b">
        <v>0</v>
      </c>
      <c r="D129" s="31" t="s">
        <v>4196</v>
      </c>
      <c r="E129" s="31" t="s">
        <v>4192</v>
      </c>
      <c r="F129" s="31" t="b">
        <v>0</v>
      </c>
      <c r="G129" s="31" t="s">
        <v>3930</v>
      </c>
      <c r="H129" s="31" t="s">
        <v>3931</v>
      </c>
      <c r="I129" s="31" t="s">
        <v>3931</v>
      </c>
      <c r="J129" s="30" t="s">
        <v>4254</v>
      </c>
      <c r="K129" s="30" t="s">
        <v>4232</v>
      </c>
      <c r="L129" s="30"/>
      <c r="M129" s="30"/>
      <c r="N129" s="31" t="str">
        <f>VLOOKUP(I129,'Active Employees'!$B$2:$B$498,1,false)</f>
        <v>#N/A</v>
      </c>
      <c r="O129" s="33" t="s">
        <v>1469</v>
      </c>
      <c r="P129" s="31"/>
      <c r="Q129" s="31"/>
      <c r="R129" s="31"/>
      <c r="S129" s="30"/>
      <c r="T129" s="30"/>
      <c r="U129" s="30"/>
      <c r="V129" s="30"/>
      <c r="W129" s="30"/>
      <c r="X129" s="30"/>
      <c r="Y129" s="30"/>
      <c r="Z129" s="30"/>
      <c r="AA129" s="30"/>
    </row>
    <row r="130">
      <c r="A130" s="30" t="s">
        <v>4255</v>
      </c>
      <c r="B130" s="31"/>
      <c r="C130" s="31" t="b">
        <v>0</v>
      </c>
      <c r="D130" s="31" t="s">
        <v>4256</v>
      </c>
      <c r="E130" s="31" t="s">
        <v>4257</v>
      </c>
      <c r="F130" s="31" t="b">
        <v>0</v>
      </c>
      <c r="G130" s="31" t="s">
        <v>4016</v>
      </c>
      <c r="H130" s="31" t="s">
        <v>1380</v>
      </c>
      <c r="I130" s="31" t="s">
        <v>1380</v>
      </c>
      <c r="J130" s="30" t="s">
        <v>4258</v>
      </c>
      <c r="K130" s="30" t="s">
        <v>4232</v>
      </c>
      <c r="L130" s="30"/>
      <c r="M130" s="30"/>
      <c r="N130" s="31" t="str">
        <f>VLOOKUP(I130,'Active Employees'!$B$2:$B$498,1,false)</f>
        <v>kyle.trantham@docker.com</v>
      </c>
      <c r="O130" s="33" t="s">
        <v>1469</v>
      </c>
      <c r="P130" s="31"/>
      <c r="Q130" s="31"/>
      <c r="R130" s="31"/>
      <c r="S130" s="30"/>
      <c r="T130" s="30"/>
      <c r="U130" s="30"/>
      <c r="V130" s="30"/>
      <c r="W130" s="30"/>
      <c r="X130" s="30"/>
      <c r="Y130" s="30"/>
      <c r="Z130" s="30"/>
      <c r="AA130" s="30"/>
    </row>
    <row r="131">
      <c r="A131" s="30"/>
      <c r="B131" s="31" t="s">
        <v>4230</v>
      </c>
      <c r="C131" s="31" t="b">
        <v>0</v>
      </c>
      <c r="D131" s="31" t="s">
        <v>4233</v>
      </c>
      <c r="E131" s="31" t="s">
        <v>4192</v>
      </c>
      <c r="F131" s="31" t="b">
        <v>0</v>
      </c>
      <c r="G131" s="31" t="s">
        <v>4016</v>
      </c>
      <c r="H131" s="31" t="s">
        <v>1380</v>
      </c>
      <c r="I131" s="31" t="s">
        <v>1380</v>
      </c>
      <c r="J131" s="30" t="s">
        <v>4258</v>
      </c>
      <c r="K131" s="30" t="s">
        <v>4232</v>
      </c>
      <c r="L131" s="30"/>
      <c r="M131" s="30"/>
      <c r="N131" s="31" t="str">
        <f>VLOOKUP(I131,'Active Employees'!$B$2:$B$498,1,false)</f>
        <v>kyle.trantham@docker.com</v>
      </c>
      <c r="O131" s="33" t="s">
        <v>1469</v>
      </c>
      <c r="P131" s="31"/>
      <c r="Q131" s="31"/>
      <c r="R131" s="31"/>
      <c r="S131" s="30"/>
      <c r="T131" s="30"/>
      <c r="U131" s="30"/>
      <c r="V131" s="30"/>
      <c r="W131" s="30"/>
      <c r="X131" s="30"/>
      <c r="Y131" s="30"/>
      <c r="Z131" s="30"/>
      <c r="AA131" s="30"/>
    </row>
    <row r="132">
      <c r="A132" s="30"/>
      <c r="B132" s="31" t="s">
        <v>4230</v>
      </c>
      <c r="C132" s="31" t="b">
        <v>0</v>
      </c>
      <c r="D132" s="31" t="s">
        <v>4253</v>
      </c>
      <c r="E132" s="31" t="s">
        <v>4192</v>
      </c>
      <c r="F132" s="31" t="b">
        <v>0</v>
      </c>
      <c r="G132" s="31" t="s">
        <v>3934</v>
      </c>
      <c r="H132" s="31" t="s">
        <v>3663</v>
      </c>
      <c r="I132" s="31" t="s">
        <v>3663</v>
      </c>
      <c r="J132" s="30" t="s">
        <v>4259</v>
      </c>
      <c r="K132" s="30" t="s">
        <v>4232</v>
      </c>
      <c r="L132" s="30"/>
      <c r="M132" s="30"/>
      <c r="N132" s="31" t="str">
        <f>VLOOKUP(I132,'Active Employees'!$B$2:$B$498,1,false)</f>
        <v>#N/A</v>
      </c>
      <c r="O132" s="33" t="s">
        <v>1469</v>
      </c>
      <c r="P132" s="31"/>
      <c r="Q132" s="31"/>
      <c r="R132" s="31"/>
      <c r="S132" s="30"/>
      <c r="T132" s="30"/>
      <c r="U132" s="30"/>
      <c r="V132" s="30"/>
      <c r="W132" s="30"/>
      <c r="X132" s="30"/>
      <c r="Y132" s="30"/>
      <c r="Z132" s="30"/>
      <c r="AA132" s="30"/>
    </row>
    <row r="133">
      <c r="A133" s="30"/>
      <c r="B133" s="31" t="s">
        <v>4230</v>
      </c>
      <c r="C133" s="31" t="b">
        <v>0</v>
      </c>
      <c r="D133" s="31" t="s">
        <v>4233</v>
      </c>
      <c r="E133" s="31" t="s">
        <v>4192</v>
      </c>
      <c r="F133" s="31" t="b">
        <v>0</v>
      </c>
      <c r="G133" s="31" t="s">
        <v>3934</v>
      </c>
      <c r="H133" s="31" t="s">
        <v>3663</v>
      </c>
      <c r="I133" s="31" t="s">
        <v>3663</v>
      </c>
      <c r="J133" s="30" t="s">
        <v>4259</v>
      </c>
      <c r="K133" s="30" t="s">
        <v>4232</v>
      </c>
      <c r="L133" s="30"/>
      <c r="M133" s="30"/>
      <c r="N133" s="31" t="str">
        <f>VLOOKUP(I133,'Active Employees'!$B$2:$B$498,1,false)</f>
        <v>#N/A</v>
      </c>
      <c r="O133" s="33" t="s">
        <v>1469</v>
      </c>
      <c r="P133" s="31"/>
      <c r="Q133" s="31"/>
      <c r="R133" s="31"/>
      <c r="S133" s="30"/>
      <c r="T133" s="30"/>
      <c r="U133" s="30"/>
      <c r="V133" s="30"/>
      <c r="W133" s="30"/>
      <c r="X133" s="30"/>
      <c r="Y133" s="30"/>
      <c r="Z133" s="30"/>
      <c r="AA133" s="30"/>
    </row>
    <row r="134">
      <c r="A134" s="30"/>
      <c r="B134" s="31" t="s">
        <v>4230</v>
      </c>
      <c r="C134" s="31" t="b">
        <v>0</v>
      </c>
      <c r="D134" s="31" t="s">
        <v>4196</v>
      </c>
      <c r="E134" s="31" t="s">
        <v>4192</v>
      </c>
      <c r="F134" s="31" t="b">
        <v>0</v>
      </c>
      <c r="G134" s="31" t="s">
        <v>3934</v>
      </c>
      <c r="H134" s="31" t="s">
        <v>3663</v>
      </c>
      <c r="I134" s="31" t="s">
        <v>3663</v>
      </c>
      <c r="J134" s="30" t="s">
        <v>4259</v>
      </c>
      <c r="K134" s="30" t="s">
        <v>4232</v>
      </c>
      <c r="L134" s="30"/>
      <c r="M134" s="30"/>
      <c r="N134" s="31" t="str">
        <f>VLOOKUP(I134,'Active Employees'!$B$2:$B$498,1,false)</f>
        <v>#N/A</v>
      </c>
      <c r="O134" s="33" t="s">
        <v>1469</v>
      </c>
      <c r="P134" s="31"/>
      <c r="Q134" s="31"/>
      <c r="R134" s="31"/>
      <c r="S134" s="30"/>
      <c r="T134" s="30"/>
      <c r="U134" s="30"/>
      <c r="V134" s="30"/>
      <c r="W134" s="30"/>
      <c r="X134" s="30"/>
      <c r="Y134" s="30"/>
      <c r="Z134" s="30"/>
      <c r="AA134" s="30"/>
    </row>
    <row r="135">
      <c r="A135" s="30"/>
      <c r="B135" s="31" t="s">
        <v>4260</v>
      </c>
      <c r="C135" s="31" t="b">
        <v>0</v>
      </c>
      <c r="D135" s="31" t="s">
        <v>4238</v>
      </c>
      <c r="E135" s="31" t="s">
        <v>4192</v>
      </c>
      <c r="F135" s="31" t="b">
        <v>0</v>
      </c>
      <c r="G135" s="31" t="s">
        <v>525</v>
      </c>
      <c r="H135" s="31" t="s">
        <v>38</v>
      </c>
      <c r="I135" s="31" t="s">
        <v>38</v>
      </c>
      <c r="J135" s="30" t="s">
        <v>4261</v>
      </c>
      <c r="K135" s="30" t="s">
        <v>4232</v>
      </c>
      <c r="L135" s="30"/>
      <c r="M135" s="30"/>
      <c r="N135" s="31" t="str">
        <f>VLOOKUP(I135,'Active Employees'!$B$2:$B$498,1,false)</f>
        <v>pooja.agrawal@docker.com</v>
      </c>
      <c r="O135" s="33" t="s">
        <v>1469</v>
      </c>
      <c r="P135" s="31"/>
      <c r="Q135" s="31"/>
      <c r="R135" s="31"/>
      <c r="S135" s="30"/>
      <c r="T135" s="30"/>
      <c r="U135" s="30"/>
      <c r="V135" s="30"/>
      <c r="W135" s="30"/>
      <c r="X135" s="30"/>
      <c r="Y135" s="30"/>
      <c r="Z135" s="30"/>
      <c r="AA135" s="30"/>
    </row>
    <row r="136">
      <c r="A136" s="30"/>
      <c r="B136" s="31" t="s">
        <v>4230</v>
      </c>
      <c r="C136" s="31" t="b">
        <v>0</v>
      </c>
      <c r="D136" s="31" t="s">
        <v>4196</v>
      </c>
      <c r="E136" s="31" t="s">
        <v>4192</v>
      </c>
      <c r="F136" s="31" t="b">
        <v>0</v>
      </c>
      <c r="G136" s="31" t="s">
        <v>525</v>
      </c>
      <c r="H136" s="31" t="s">
        <v>38</v>
      </c>
      <c r="I136" s="31" t="s">
        <v>38</v>
      </c>
      <c r="J136" s="30" t="s">
        <v>4261</v>
      </c>
      <c r="K136" s="30" t="s">
        <v>4232</v>
      </c>
      <c r="L136" s="30"/>
      <c r="M136" s="30"/>
      <c r="N136" s="31" t="str">
        <f>VLOOKUP(I136,'Active Employees'!$B$2:$B$498,1,false)</f>
        <v>pooja.agrawal@docker.com</v>
      </c>
      <c r="O136" s="33" t="s">
        <v>1469</v>
      </c>
      <c r="P136" s="31"/>
      <c r="Q136" s="31"/>
      <c r="R136" s="31"/>
      <c r="S136" s="30"/>
      <c r="T136" s="30"/>
      <c r="U136" s="30"/>
      <c r="V136" s="30"/>
      <c r="W136" s="30"/>
      <c r="X136" s="30"/>
      <c r="Y136" s="30"/>
      <c r="Z136" s="30"/>
      <c r="AA136" s="30"/>
    </row>
    <row r="137">
      <c r="A137" s="30"/>
      <c r="B137" s="31" t="s">
        <v>4230</v>
      </c>
      <c r="C137" s="31" t="b">
        <v>0</v>
      </c>
      <c r="D137" s="31" t="s">
        <v>4191</v>
      </c>
      <c r="E137" s="31" t="s">
        <v>4192</v>
      </c>
      <c r="F137" s="31" t="b">
        <v>0</v>
      </c>
      <c r="G137" s="31" t="s">
        <v>4046</v>
      </c>
      <c r="H137" s="31" t="s">
        <v>871</v>
      </c>
      <c r="I137" s="31" t="s">
        <v>871</v>
      </c>
      <c r="J137" s="30" t="s">
        <v>4262</v>
      </c>
      <c r="K137" s="30" t="s">
        <v>4232</v>
      </c>
      <c r="L137" s="30"/>
      <c r="M137" s="30"/>
      <c r="N137" s="31" t="str">
        <f>VLOOKUP(I137,'Active Employees'!$B$2:$B$498,1,false)</f>
        <v>quentin.laplanche@docker.com</v>
      </c>
      <c r="O137" s="33" t="s">
        <v>1469</v>
      </c>
      <c r="P137" s="31"/>
      <c r="Q137" s="31"/>
      <c r="R137" s="31"/>
      <c r="S137" s="30"/>
      <c r="T137" s="30"/>
      <c r="U137" s="30"/>
      <c r="V137" s="30"/>
      <c r="W137" s="30"/>
      <c r="X137" s="30"/>
      <c r="Y137" s="30"/>
      <c r="Z137" s="30"/>
      <c r="AA137" s="30"/>
    </row>
    <row r="138">
      <c r="A138" s="30"/>
      <c r="B138" s="31" t="s">
        <v>4230</v>
      </c>
      <c r="C138" s="31" t="b">
        <v>0</v>
      </c>
      <c r="D138" s="31" t="s">
        <v>4233</v>
      </c>
      <c r="E138" s="31" t="s">
        <v>4192</v>
      </c>
      <c r="F138" s="31" t="b">
        <v>0</v>
      </c>
      <c r="G138" s="31" t="s">
        <v>4046</v>
      </c>
      <c r="H138" s="31" t="s">
        <v>871</v>
      </c>
      <c r="I138" s="31" t="s">
        <v>871</v>
      </c>
      <c r="J138" s="30" t="s">
        <v>4262</v>
      </c>
      <c r="K138" s="30" t="s">
        <v>4232</v>
      </c>
      <c r="L138" s="30"/>
      <c r="M138" s="30"/>
      <c r="N138" s="31" t="str">
        <f>VLOOKUP(I138,'Active Employees'!$B$2:$B$498,1,false)</f>
        <v>quentin.laplanche@docker.com</v>
      </c>
      <c r="O138" s="33" t="s">
        <v>1469</v>
      </c>
      <c r="P138" s="31"/>
      <c r="Q138" s="31"/>
      <c r="R138" s="31"/>
      <c r="S138" s="30"/>
      <c r="T138" s="30"/>
      <c r="U138" s="30"/>
      <c r="V138" s="30"/>
      <c r="W138" s="30"/>
      <c r="X138" s="30"/>
      <c r="Y138" s="30"/>
      <c r="Z138" s="30"/>
      <c r="AA138" s="30"/>
    </row>
    <row r="139">
      <c r="A139" s="30"/>
      <c r="B139" s="31" t="s">
        <v>4190</v>
      </c>
      <c r="C139" s="31" t="b">
        <v>0</v>
      </c>
      <c r="D139" s="31" t="s">
        <v>4191</v>
      </c>
      <c r="E139" s="31" t="s">
        <v>4192</v>
      </c>
      <c r="F139" s="31" t="b">
        <v>0</v>
      </c>
      <c r="G139" s="31" t="s">
        <v>207</v>
      </c>
      <c r="H139" s="31" t="s">
        <v>267</v>
      </c>
      <c r="I139" s="31" t="s">
        <v>267</v>
      </c>
      <c r="J139" s="30" t="s">
        <v>4263</v>
      </c>
      <c r="K139" s="30" t="s">
        <v>4194</v>
      </c>
      <c r="L139" s="30"/>
      <c r="M139" s="30"/>
      <c r="N139" s="31" t="str">
        <f>VLOOKUP(I139,'Active Employees'!$B$2:$B$498,1,false)</f>
        <v>james.braden@docker.com</v>
      </c>
      <c r="O139" s="33" t="s">
        <v>1469</v>
      </c>
      <c r="P139" s="31"/>
      <c r="Q139" s="31"/>
      <c r="R139" s="31"/>
      <c r="S139" s="30"/>
      <c r="T139" s="30"/>
      <c r="U139" s="30"/>
      <c r="V139" s="30"/>
      <c r="W139" s="30"/>
      <c r="X139" s="30"/>
      <c r="Y139" s="30"/>
      <c r="Z139" s="30"/>
      <c r="AA139" s="30"/>
    </row>
    <row r="140">
      <c r="A140" s="30"/>
      <c r="B140" s="31" t="s">
        <v>4195</v>
      </c>
      <c r="C140" s="31" t="b">
        <v>0</v>
      </c>
      <c r="D140" s="31" t="s">
        <v>4196</v>
      </c>
      <c r="E140" s="31" t="s">
        <v>4192</v>
      </c>
      <c r="F140" s="31" t="b">
        <v>0</v>
      </c>
      <c r="G140" s="31" t="s">
        <v>207</v>
      </c>
      <c r="H140" s="31" t="s">
        <v>267</v>
      </c>
      <c r="I140" s="31" t="s">
        <v>267</v>
      </c>
      <c r="J140" s="30" t="s">
        <v>4263</v>
      </c>
      <c r="K140" s="30" t="s">
        <v>4194</v>
      </c>
      <c r="L140" s="30"/>
      <c r="M140" s="30"/>
      <c r="N140" s="31" t="str">
        <f>VLOOKUP(I140,'Active Employees'!$B$2:$B$498,1,false)</f>
        <v>james.braden@docker.com</v>
      </c>
      <c r="O140" s="33" t="s">
        <v>1469</v>
      </c>
      <c r="P140" s="31"/>
      <c r="Q140" s="31"/>
      <c r="R140" s="31"/>
      <c r="S140" s="30"/>
      <c r="T140" s="30"/>
      <c r="U140" s="30"/>
      <c r="V140" s="30"/>
      <c r="W140" s="30"/>
      <c r="X140" s="30"/>
      <c r="Y140" s="30"/>
      <c r="Z140" s="30"/>
      <c r="AA140" s="30"/>
    </row>
    <row r="141">
      <c r="A141" s="30"/>
      <c r="B141" s="31" t="s">
        <v>4197</v>
      </c>
      <c r="C141" s="31" t="b">
        <v>0</v>
      </c>
      <c r="D141" s="31" t="s">
        <v>4196</v>
      </c>
      <c r="E141" s="31" t="s">
        <v>4192</v>
      </c>
      <c r="F141" s="31" t="b">
        <v>0</v>
      </c>
      <c r="G141" s="31" t="s">
        <v>207</v>
      </c>
      <c r="H141" s="31" t="s">
        <v>267</v>
      </c>
      <c r="I141" s="31" t="s">
        <v>267</v>
      </c>
      <c r="J141" s="30" t="s">
        <v>4263</v>
      </c>
      <c r="K141" s="30" t="s">
        <v>4194</v>
      </c>
      <c r="L141" s="30"/>
      <c r="M141" s="30"/>
      <c r="N141" s="31" t="str">
        <f>VLOOKUP(I141,'Active Employees'!$B$2:$B$498,1,false)</f>
        <v>james.braden@docker.com</v>
      </c>
      <c r="O141" s="33" t="s">
        <v>1469</v>
      </c>
      <c r="P141" s="31"/>
      <c r="Q141" s="31"/>
      <c r="R141" s="31"/>
      <c r="S141" s="30"/>
      <c r="T141" s="30"/>
      <c r="U141" s="30"/>
      <c r="V141" s="30"/>
      <c r="W141" s="30"/>
      <c r="X141" s="30"/>
      <c r="Y141" s="30"/>
      <c r="Z141" s="30"/>
      <c r="AA141" s="30"/>
    </row>
    <row r="142">
      <c r="A142" s="30"/>
      <c r="B142" s="31" t="s">
        <v>4198</v>
      </c>
      <c r="C142" s="31" t="b">
        <v>0</v>
      </c>
      <c r="D142" s="31" t="s">
        <v>4196</v>
      </c>
      <c r="E142" s="31" t="s">
        <v>4192</v>
      </c>
      <c r="F142" s="31" t="b">
        <v>0</v>
      </c>
      <c r="G142" s="31" t="s">
        <v>207</v>
      </c>
      <c r="H142" s="31" t="s">
        <v>267</v>
      </c>
      <c r="I142" s="31" t="s">
        <v>267</v>
      </c>
      <c r="J142" s="30" t="s">
        <v>4263</v>
      </c>
      <c r="K142" s="30" t="s">
        <v>4194</v>
      </c>
      <c r="L142" s="30"/>
      <c r="M142" s="30"/>
      <c r="N142" s="31" t="str">
        <f>VLOOKUP(I142,'Active Employees'!$B$2:$B$498,1,false)</f>
        <v>james.braden@docker.com</v>
      </c>
      <c r="O142" s="33" t="s">
        <v>1469</v>
      </c>
      <c r="P142" s="31"/>
      <c r="Q142" s="31"/>
      <c r="R142" s="31"/>
      <c r="S142" s="30"/>
      <c r="T142" s="30"/>
      <c r="U142" s="30"/>
      <c r="V142" s="30"/>
      <c r="W142" s="30"/>
      <c r="X142" s="30"/>
      <c r="Y142" s="30"/>
      <c r="Z142" s="30"/>
      <c r="AA142" s="30"/>
    </row>
    <row r="143">
      <c r="A143" s="30"/>
      <c r="B143" s="31" t="s">
        <v>4199</v>
      </c>
      <c r="C143" s="31" t="b">
        <v>0</v>
      </c>
      <c r="D143" s="31" t="s">
        <v>4196</v>
      </c>
      <c r="E143" s="31" t="s">
        <v>4192</v>
      </c>
      <c r="F143" s="31" t="b">
        <v>0</v>
      </c>
      <c r="G143" s="31" t="s">
        <v>207</v>
      </c>
      <c r="H143" s="31" t="s">
        <v>267</v>
      </c>
      <c r="I143" s="31" t="s">
        <v>267</v>
      </c>
      <c r="J143" s="30" t="s">
        <v>4263</v>
      </c>
      <c r="K143" s="30" t="s">
        <v>4194</v>
      </c>
      <c r="L143" s="30"/>
      <c r="M143" s="30"/>
      <c r="N143" s="31" t="str">
        <f>VLOOKUP(I143,'Active Employees'!$B$2:$B$498,1,false)</f>
        <v>james.braden@docker.com</v>
      </c>
      <c r="O143" s="33" t="s">
        <v>1469</v>
      </c>
      <c r="P143" s="31"/>
      <c r="Q143" s="31"/>
      <c r="R143" s="31"/>
      <c r="S143" s="30"/>
      <c r="T143" s="30"/>
      <c r="U143" s="30"/>
      <c r="V143" s="30"/>
      <c r="W143" s="30"/>
      <c r="X143" s="30"/>
      <c r="Y143" s="30"/>
      <c r="Z143" s="30"/>
      <c r="AA143" s="30"/>
    </row>
    <row r="144">
      <c r="A144" s="30"/>
      <c r="B144" s="31" t="s">
        <v>4200</v>
      </c>
      <c r="C144" s="31" t="b">
        <v>0</v>
      </c>
      <c r="D144" s="31" t="s">
        <v>4196</v>
      </c>
      <c r="E144" s="31" t="s">
        <v>4192</v>
      </c>
      <c r="F144" s="31" t="b">
        <v>0</v>
      </c>
      <c r="G144" s="31" t="s">
        <v>207</v>
      </c>
      <c r="H144" s="31" t="s">
        <v>267</v>
      </c>
      <c r="I144" s="31" t="s">
        <v>267</v>
      </c>
      <c r="J144" s="30" t="s">
        <v>4263</v>
      </c>
      <c r="K144" s="30" t="s">
        <v>4194</v>
      </c>
      <c r="L144" s="30"/>
      <c r="M144" s="30"/>
      <c r="N144" s="31" t="str">
        <f>VLOOKUP(I144,'Active Employees'!$B$2:$B$498,1,false)</f>
        <v>james.braden@docker.com</v>
      </c>
      <c r="O144" s="33" t="s">
        <v>1469</v>
      </c>
      <c r="P144" s="31"/>
      <c r="Q144" s="31"/>
      <c r="R144" s="31"/>
      <c r="S144" s="30"/>
      <c r="T144" s="30"/>
      <c r="U144" s="30"/>
      <c r="V144" s="30"/>
      <c r="W144" s="30"/>
      <c r="X144" s="30"/>
      <c r="Y144" s="30"/>
      <c r="Z144" s="30"/>
      <c r="AA144" s="30"/>
    </row>
    <row r="145">
      <c r="A145" s="30"/>
      <c r="B145" s="31" t="s">
        <v>4201</v>
      </c>
      <c r="C145" s="31" t="b">
        <v>0</v>
      </c>
      <c r="D145" s="31" t="s">
        <v>4196</v>
      </c>
      <c r="E145" s="31" t="s">
        <v>4192</v>
      </c>
      <c r="F145" s="31" t="b">
        <v>0</v>
      </c>
      <c r="G145" s="31" t="s">
        <v>207</v>
      </c>
      <c r="H145" s="31" t="s">
        <v>267</v>
      </c>
      <c r="I145" s="31" t="s">
        <v>267</v>
      </c>
      <c r="J145" s="30" t="s">
        <v>4263</v>
      </c>
      <c r="K145" s="30" t="s">
        <v>4194</v>
      </c>
      <c r="L145" s="30"/>
      <c r="M145" s="30"/>
      <c r="N145" s="31" t="str">
        <f>VLOOKUP(I145,'Active Employees'!$B$2:$B$498,1,false)</f>
        <v>james.braden@docker.com</v>
      </c>
      <c r="O145" s="33" t="s">
        <v>1469</v>
      </c>
      <c r="P145" s="31"/>
      <c r="Q145" s="31"/>
      <c r="R145" s="31"/>
      <c r="S145" s="30"/>
      <c r="T145" s="30"/>
      <c r="U145" s="30"/>
      <c r="V145" s="30"/>
      <c r="W145" s="30"/>
      <c r="X145" s="30"/>
      <c r="Y145" s="30"/>
      <c r="Z145" s="30"/>
      <c r="AA145" s="30"/>
    </row>
    <row r="146">
      <c r="A146" s="30"/>
      <c r="B146" s="31" t="s">
        <v>4202</v>
      </c>
      <c r="C146" s="31" t="b">
        <v>0</v>
      </c>
      <c r="D146" s="31" t="s">
        <v>4196</v>
      </c>
      <c r="E146" s="31" t="s">
        <v>4192</v>
      </c>
      <c r="F146" s="31" t="b">
        <v>0</v>
      </c>
      <c r="G146" s="31" t="s">
        <v>207</v>
      </c>
      <c r="H146" s="31" t="s">
        <v>267</v>
      </c>
      <c r="I146" s="31" t="s">
        <v>267</v>
      </c>
      <c r="J146" s="30" t="s">
        <v>4263</v>
      </c>
      <c r="K146" s="30" t="s">
        <v>4194</v>
      </c>
      <c r="L146" s="30"/>
      <c r="M146" s="30"/>
      <c r="N146" s="31" t="str">
        <f>VLOOKUP(I146,'Active Employees'!$B$2:$B$498,1,false)</f>
        <v>james.braden@docker.com</v>
      </c>
      <c r="O146" s="33" t="s">
        <v>1469</v>
      </c>
      <c r="P146" s="31"/>
      <c r="Q146" s="31"/>
      <c r="R146" s="31"/>
      <c r="S146" s="30"/>
      <c r="T146" s="30"/>
      <c r="U146" s="30"/>
      <c r="V146" s="30"/>
      <c r="W146" s="30"/>
      <c r="X146" s="30"/>
      <c r="Y146" s="30"/>
      <c r="Z146" s="30"/>
      <c r="AA146" s="30"/>
    </row>
    <row r="147">
      <c r="A147" s="30"/>
      <c r="B147" s="31" t="s">
        <v>4203</v>
      </c>
      <c r="C147" s="31" t="b">
        <v>0</v>
      </c>
      <c r="D147" s="31" t="s">
        <v>4196</v>
      </c>
      <c r="E147" s="31" t="s">
        <v>4192</v>
      </c>
      <c r="F147" s="31" t="b">
        <v>0</v>
      </c>
      <c r="G147" s="31" t="s">
        <v>207</v>
      </c>
      <c r="H147" s="31" t="s">
        <v>267</v>
      </c>
      <c r="I147" s="31" t="s">
        <v>267</v>
      </c>
      <c r="J147" s="30" t="s">
        <v>4263</v>
      </c>
      <c r="K147" s="30" t="s">
        <v>4194</v>
      </c>
      <c r="L147" s="30"/>
      <c r="M147" s="30"/>
      <c r="N147" s="31" t="str">
        <f>VLOOKUP(I147,'Active Employees'!$B$2:$B$498,1,false)</f>
        <v>james.braden@docker.com</v>
      </c>
      <c r="O147" s="33" t="s">
        <v>1469</v>
      </c>
      <c r="P147" s="31"/>
      <c r="Q147" s="31"/>
      <c r="R147" s="31"/>
      <c r="S147" s="30"/>
      <c r="T147" s="30"/>
      <c r="U147" s="30"/>
      <c r="V147" s="30"/>
      <c r="W147" s="30"/>
      <c r="X147" s="30"/>
      <c r="Y147" s="30"/>
      <c r="Z147" s="30"/>
      <c r="AA147" s="30"/>
    </row>
    <row r="148">
      <c r="A148" s="30"/>
      <c r="B148" s="31" t="s">
        <v>4204</v>
      </c>
      <c r="C148" s="31" t="b">
        <v>0</v>
      </c>
      <c r="D148" s="31" t="s">
        <v>4196</v>
      </c>
      <c r="E148" s="31" t="s">
        <v>4192</v>
      </c>
      <c r="F148" s="31" t="b">
        <v>0</v>
      </c>
      <c r="G148" s="31" t="s">
        <v>207</v>
      </c>
      <c r="H148" s="31" t="s">
        <v>267</v>
      </c>
      <c r="I148" s="31" t="s">
        <v>267</v>
      </c>
      <c r="J148" s="30" t="s">
        <v>4263</v>
      </c>
      <c r="K148" s="30" t="s">
        <v>4194</v>
      </c>
      <c r="L148" s="30"/>
      <c r="M148" s="30"/>
      <c r="N148" s="31" t="str">
        <f>VLOOKUP(I148,'Active Employees'!$B$2:$B$498,1,false)</f>
        <v>james.braden@docker.com</v>
      </c>
      <c r="O148" s="33" t="s">
        <v>1469</v>
      </c>
      <c r="P148" s="31"/>
      <c r="Q148" s="31"/>
      <c r="R148" s="31"/>
      <c r="S148" s="30"/>
      <c r="T148" s="30"/>
      <c r="U148" s="30"/>
      <c r="V148" s="30"/>
      <c r="W148" s="30"/>
      <c r="X148" s="30"/>
      <c r="Y148" s="30"/>
      <c r="Z148" s="30"/>
      <c r="AA148" s="30"/>
    </row>
    <row r="149">
      <c r="A149" s="30"/>
      <c r="B149" s="31" t="s">
        <v>4205</v>
      </c>
      <c r="C149" s="31" t="b">
        <v>0</v>
      </c>
      <c r="D149" s="31" t="s">
        <v>4196</v>
      </c>
      <c r="E149" s="31" t="s">
        <v>4192</v>
      </c>
      <c r="F149" s="31" t="b">
        <v>0</v>
      </c>
      <c r="G149" s="31" t="s">
        <v>207</v>
      </c>
      <c r="H149" s="31" t="s">
        <v>267</v>
      </c>
      <c r="I149" s="31" t="s">
        <v>267</v>
      </c>
      <c r="J149" s="30" t="s">
        <v>4263</v>
      </c>
      <c r="K149" s="30" t="s">
        <v>4194</v>
      </c>
      <c r="L149" s="30"/>
      <c r="M149" s="30"/>
      <c r="N149" s="31" t="str">
        <f>VLOOKUP(I149,'Active Employees'!$B$2:$B$498,1,false)</f>
        <v>james.braden@docker.com</v>
      </c>
      <c r="O149" s="33" t="s">
        <v>1469</v>
      </c>
      <c r="P149" s="31"/>
      <c r="Q149" s="31"/>
      <c r="R149" s="31"/>
      <c r="S149" s="30"/>
      <c r="T149" s="30"/>
      <c r="U149" s="30"/>
      <c r="V149" s="30"/>
      <c r="W149" s="30"/>
      <c r="X149" s="30"/>
      <c r="Y149" s="30"/>
      <c r="Z149" s="30"/>
      <c r="AA149" s="30"/>
    </row>
    <row r="150">
      <c r="A150" s="30"/>
      <c r="B150" s="31" t="s">
        <v>4206</v>
      </c>
      <c r="C150" s="31" t="b">
        <v>0</v>
      </c>
      <c r="D150" s="31" t="s">
        <v>4196</v>
      </c>
      <c r="E150" s="31" t="s">
        <v>4192</v>
      </c>
      <c r="F150" s="31" t="b">
        <v>0</v>
      </c>
      <c r="G150" s="31" t="s">
        <v>207</v>
      </c>
      <c r="H150" s="31" t="s">
        <v>267</v>
      </c>
      <c r="I150" s="31" t="s">
        <v>267</v>
      </c>
      <c r="J150" s="30" t="s">
        <v>4263</v>
      </c>
      <c r="K150" s="30" t="s">
        <v>4194</v>
      </c>
      <c r="L150" s="30"/>
      <c r="M150" s="30"/>
      <c r="N150" s="31" t="str">
        <f>VLOOKUP(I150,'Active Employees'!$B$2:$B$498,1,false)</f>
        <v>james.braden@docker.com</v>
      </c>
      <c r="O150" s="33" t="s">
        <v>1469</v>
      </c>
      <c r="P150" s="31"/>
      <c r="Q150" s="31"/>
      <c r="R150" s="31"/>
      <c r="S150" s="30"/>
      <c r="T150" s="30"/>
      <c r="U150" s="30"/>
      <c r="V150" s="30"/>
      <c r="W150" s="30"/>
      <c r="X150" s="30"/>
      <c r="Y150" s="30"/>
      <c r="Z150" s="30"/>
      <c r="AA150" s="30"/>
    </row>
    <row r="151">
      <c r="A151" s="30"/>
      <c r="B151" s="31" t="s">
        <v>4207</v>
      </c>
      <c r="C151" s="31" t="b">
        <v>0</v>
      </c>
      <c r="D151" s="31" t="s">
        <v>4196</v>
      </c>
      <c r="E151" s="31" t="s">
        <v>4192</v>
      </c>
      <c r="F151" s="31" t="b">
        <v>0</v>
      </c>
      <c r="G151" s="31" t="s">
        <v>207</v>
      </c>
      <c r="H151" s="31" t="s">
        <v>267</v>
      </c>
      <c r="I151" s="31" t="s">
        <v>267</v>
      </c>
      <c r="J151" s="30" t="s">
        <v>4263</v>
      </c>
      <c r="K151" s="30" t="s">
        <v>4194</v>
      </c>
      <c r="L151" s="30"/>
      <c r="M151" s="30"/>
      <c r="N151" s="31" t="str">
        <f>VLOOKUP(I151,'Active Employees'!$B$2:$B$498,1,false)</f>
        <v>james.braden@docker.com</v>
      </c>
      <c r="O151" s="33" t="s">
        <v>1469</v>
      </c>
      <c r="P151" s="31"/>
      <c r="Q151" s="31"/>
      <c r="R151" s="31"/>
      <c r="S151" s="30"/>
      <c r="T151" s="30"/>
      <c r="U151" s="30"/>
      <c r="V151" s="30"/>
      <c r="W151" s="30"/>
      <c r="X151" s="30"/>
      <c r="Y151" s="30"/>
      <c r="Z151" s="30"/>
      <c r="AA151" s="30"/>
    </row>
    <row r="152">
      <c r="A152" s="30"/>
      <c r="B152" s="31" t="s">
        <v>4208</v>
      </c>
      <c r="C152" s="31" t="b">
        <v>0</v>
      </c>
      <c r="D152" s="31" t="s">
        <v>4196</v>
      </c>
      <c r="E152" s="31" t="s">
        <v>4192</v>
      </c>
      <c r="F152" s="31" t="b">
        <v>0</v>
      </c>
      <c r="G152" s="31" t="s">
        <v>207</v>
      </c>
      <c r="H152" s="31" t="s">
        <v>267</v>
      </c>
      <c r="I152" s="31" t="s">
        <v>267</v>
      </c>
      <c r="J152" s="30" t="s">
        <v>4263</v>
      </c>
      <c r="K152" s="30" t="s">
        <v>4194</v>
      </c>
      <c r="L152" s="30"/>
      <c r="M152" s="30"/>
      <c r="N152" s="31" t="str">
        <f>VLOOKUP(I152,'Active Employees'!$B$2:$B$498,1,false)</f>
        <v>james.braden@docker.com</v>
      </c>
      <c r="O152" s="33" t="s">
        <v>1469</v>
      </c>
      <c r="P152" s="31"/>
      <c r="Q152" s="31"/>
      <c r="R152" s="31"/>
      <c r="S152" s="30"/>
      <c r="T152" s="30"/>
      <c r="U152" s="30"/>
      <c r="V152" s="30"/>
      <c r="W152" s="30"/>
      <c r="X152" s="30"/>
      <c r="Y152" s="30"/>
      <c r="Z152" s="30"/>
      <c r="AA152" s="30"/>
    </row>
    <row r="153">
      <c r="A153" s="30"/>
      <c r="B153" s="31" t="s">
        <v>4209</v>
      </c>
      <c r="C153" s="31" t="b">
        <v>0</v>
      </c>
      <c r="D153" s="31" t="s">
        <v>4196</v>
      </c>
      <c r="E153" s="31" t="s">
        <v>4192</v>
      </c>
      <c r="F153" s="31" t="b">
        <v>0</v>
      </c>
      <c r="G153" s="31" t="s">
        <v>207</v>
      </c>
      <c r="H153" s="31" t="s">
        <v>267</v>
      </c>
      <c r="I153" s="31" t="s">
        <v>267</v>
      </c>
      <c r="J153" s="30" t="s">
        <v>4263</v>
      </c>
      <c r="K153" s="30" t="s">
        <v>4194</v>
      </c>
      <c r="L153" s="30"/>
      <c r="M153" s="30"/>
      <c r="N153" s="31" t="str">
        <f>VLOOKUP(I153,'Active Employees'!$B$2:$B$498,1,false)</f>
        <v>james.braden@docker.com</v>
      </c>
      <c r="O153" s="33" t="s">
        <v>1469</v>
      </c>
      <c r="P153" s="31"/>
      <c r="Q153" s="31"/>
      <c r="R153" s="31"/>
      <c r="S153" s="30"/>
      <c r="T153" s="30"/>
      <c r="U153" s="30"/>
      <c r="V153" s="30"/>
      <c r="W153" s="30"/>
      <c r="X153" s="30"/>
      <c r="Y153" s="30"/>
      <c r="Z153" s="30"/>
      <c r="AA153" s="30"/>
    </row>
    <row r="154">
      <c r="A154" s="30"/>
      <c r="B154" s="31" t="s">
        <v>1974</v>
      </c>
      <c r="C154" s="31" t="b">
        <v>0</v>
      </c>
      <c r="D154" s="31" t="s">
        <v>4196</v>
      </c>
      <c r="E154" s="31" t="s">
        <v>4192</v>
      </c>
      <c r="F154" s="31" t="b">
        <v>0</v>
      </c>
      <c r="G154" s="31" t="s">
        <v>207</v>
      </c>
      <c r="H154" s="31" t="s">
        <v>267</v>
      </c>
      <c r="I154" s="31" t="s">
        <v>267</v>
      </c>
      <c r="J154" s="30" t="s">
        <v>4263</v>
      </c>
      <c r="K154" s="30" t="s">
        <v>4194</v>
      </c>
      <c r="L154" s="30"/>
      <c r="M154" s="30"/>
      <c r="N154" s="31" t="str">
        <f>VLOOKUP(I154,'Active Employees'!$B$2:$B$498,1,false)</f>
        <v>james.braden@docker.com</v>
      </c>
      <c r="O154" s="33" t="s">
        <v>1469</v>
      </c>
      <c r="P154" s="31"/>
      <c r="Q154" s="31"/>
      <c r="R154" s="31"/>
      <c r="S154" s="30"/>
      <c r="T154" s="30"/>
      <c r="U154" s="30"/>
      <c r="V154" s="30"/>
      <c r="W154" s="30"/>
      <c r="X154" s="30"/>
      <c r="Y154" s="30"/>
      <c r="Z154" s="30"/>
      <c r="AA154" s="30"/>
    </row>
    <row r="155">
      <c r="A155" s="30"/>
      <c r="B155" s="31" t="s">
        <v>4210</v>
      </c>
      <c r="C155" s="31" t="b">
        <v>0</v>
      </c>
      <c r="D155" s="31" t="s">
        <v>4196</v>
      </c>
      <c r="E155" s="31" t="s">
        <v>4192</v>
      </c>
      <c r="F155" s="31" t="b">
        <v>0</v>
      </c>
      <c r="G155" s="31" t="s">
        <v>207</v>
      </c>
      <c r="H155" s="31" t="s">
        <v>267</v>
      </c>
      <c r="I155" s="31" t="s">
        <v>267</v>
      </c>
      <c r="J155" s="30" t="s">
        <v>4263</v>
      </c>
      <c r="K155" s="30" t="s">
        <v>4194</v>
      </c>
      <c r="L155" s="30"/>
      <c r="M155" s="30"/>
      <c r="N155" s="31" t="str">
        <f>VLOOKUP(I155,'Active Employees'!$B$2:$B$498,1,false)</f>
        <v>james.braden@docker.com</v>
      </c>
      <c r="O155" s="33" t="s">
        <v>1469</v>
      </c>
      <c r="P155" s="31"/>
      <c r="Q155" s="31"/>
      <c r="R155" s="31"/>
      <c r="S155" s="30"/>
      <c r="T155" s="30"/>
      <c r="U155" s="30"/>
      <c r="V155" s="30"/>
      <c r="W155" s="30"/>
      <c r="X155" s="30"/>
      <c r="Y155" s="30"/>
      <c r="Z155" s="30"/>
      <c r="AA155" s="30"/>
    </row>
    <row r="156">
      <c r="A156" s="30"/>
      <c r="B156" s="31" t="s">
        <v>4211</v>
      </c>
      <c r="C156" s="31" t="b">
        <v>0</v>
      </c>
      <c r="D156" s="31" t="s">
        <v>4196</v>
      </c>
      <c r="E156" s="31" t="s">
        <v>4192</v>
      </c>
      <c r="F156" s="31" t="b">
        <v>0</v>
      </c>
      <c r="G156" s="31" t="s">
        <v>207</v>
      </c>
      <c r="H156" s="31" t="s">
        <v>267</v>
      </c>
      <c r="I156" s="31" t="s">
        <v>267</v>
      </c>
      <c r="J156" s="30" t="s">
        <v>4263</v>
      </c>
      <c r="K156" s="30" t="s">
        <v>4194</v>
      </c>
      <c r="L156" s="30"/>
      <c r="M156" s="30"/>
      <c r="N156" s="31" t="str">
        <f>VLOOKUP(I156,'Active Employees'!$B$2:$B$498,1,false)</f>
        <v>james.braden@docker.com</v>
      </c>
      <c r="O156" s="33" t="s">
        <v>1469</v>
      </c>
      <c r="P156" s="31"/>
      <c r="Q156" s="31"/>
      <c r="R156" s="31"/>
      <c r="S156" s="30"/>
      <c r="T156" s="30"/>
      <c r="U156" s="30"/>
      <c r="V156" s="30"/>
      <c r="W156" s="30"/>
      <c r="X156" s="30"/>
      <c r="Y156" s="30"/>
      <c r="Z156" s="30"/>
      <c r="AA156" s="30"/>
    </row>
    <row r="157">
      <c r="A157" s="30"/>
      <c r="B157" s="31" t="s">
        <v>4212</v>
      </c>
      <c r="C157" s="31" t="b">
        <v>0</v>
      </c>
      <c r="D157" s="31" t="s">
        <v>4196</v>
      </c>
      <c r="E157" s="31" t="s">
        <v>4192</v>
      </c>
      <c r="F157" s="31" t="b">
        <v>0</v>
      </c>
      <c r="G157" s="31" t="s">
        <v>207</v>
      </c>
      <c r="H157" s="31" t="s">
        <v>267</v>
      </c>
      <c r="I157" s="31" t="s">
        <v>267</v>
      </c>
      <c r="J157" s="30" t="s">
        <v>4263</v>
      </c>
      <c r="K157" s="30" t="s">
        <v>4194</v>
      </c>
      <c r="L157" s="30"/>
      <c r="M157" s="30"/>
      <c r="N157" s="31" t="str">
        <f>VLOOKUP(I157,'Active Employees'!$B$2:$B$498,1,false)</f>
        <v>james.braden@docker.com</v>
      </c>
      <c r="O157" s="33" t="s">
        <v>1469</v>
      </c>
      <c r="P157" s="31"/>
      <c r="Q157" s="31"/>
      <c r="R157" s="31"/>
      <c r="S157" s="30"/>
      <c r="T157" s="30"/>
      <c r="U157" s="30"/>
      <c r="V157" s="30"/>
      <c r="W157" s="30"/>
      <c r="X157" s="30"/>
      <c r="Y157" s="30"/>
      <c r="Z157" s="30"/>
      <c r="AA157" s="30"/>
    </row>
    <row r="158">
      <c r="A158" s="30"/>
      <c r="B158" s="31" t="s">
        <v>4213</v>
      </c>
      <c r="C158" s="31" t="b">
        <v>0</v>
      </c>
      <c r="D158" s="31" t="s">
        <v>4196</v>
      </c>
      <c r="E158" s="31" t="s">
        <v>4192</v>
      </c>
      <c r="F158" s="31" t="b">
        <v>0</v>
      </c>
      <c r="G158" s="31" t="s">
        <v>207</v>
      </c>
      <c r="H158" s="31" t="s">
        <v>267</v>
      </c>
      <c r="I158" s="31" t="s">
        <v>267</v>
      </c>
      <c r="J158" s="30" t="s">
        <v>4263</v>
      </c>
      <c r="K158" s="30" t="s">
        <v>4194</v>
      </c>
      <c r="L158" s="30"/>
      <c r="M158" s="30"/>
      <c r="N158" s="31" t="str">
        <f>VLOOKUP(I158,'Active Employees'!$B$2:$B$498,1,false)</f>
        <v>james.braden@docker.com</v>
      </c>
      <c r="O158" s="33" t="s">
        <v>1469</v>
      </c>
      <c r="P158" s="31"/>
      <c r="Q158" s="31"/>
      <c r="R158" s="31"/>
      <c r="S158" s="30"/>
      <c r="T158" s="30"/>
      <c r="U158" s="30"/>
      <c r="V158" s="30"/>
      <c r="W158" s="30"/>
      <c r="X158" s="30"/>
      <c r="Y158" s="30"/>
      <c r="Z158" s="30"/>
      <c r="AA158" s="30"/>
    </row>
    <row r="159">
      <c r="A159" s="30"/>
      <c r="B159" s="31" t="s">
        <v>4214</v>
      </c>
      <c r="C159" s="31" t="b">
        <v>0</v>
      </c>
      <c r="D159" s="31" t="s">
        <v>4196</v>
      </c>
      <c r="E159" s="31" t="s">
        <v>4192</v>
      </c>
      <c r="F159" s="31" t="b">
        <v>0</v>
      </c>
      <c r="G159" s="31" t="s">
        <v>207</v>
      </c>
      <c r="H159" s="31" t="s">
        <v>267</v>
      </c>
      <c r="I159" s="31" t="s">
        <v>267</v>
      </c>
      <c r="J159" s="30" t="s">
        <v>4263</v>
      </c>
      <c r="K159" s="30" t="s">
        <v>4194</v>
      </c>
      <c r="L159" s="30"/>
      <c r="M159" s="30"/>
      <c r="N159" s="31" t="str">
        <f>VLOOKUP(I159,'Active Employees'!$B$2:$B$498,1,false)</f>
        <v>james.braden@docker.com</v>
      </c>
      <c r="O159" s="33" t="s">
        <v>1469</v>
      </c>
      <c r="P159" s="31"/>
      <c r="Q159" s="31"/>
      <c r="R159" s="31"/>
      <c r="S159" s="30"/>
      <c r="T159" s="30"/>
      <c r="U159" s="30"/>
      <c r="V159" s="30"/>
      <c r="W159" s="30"/>
      <c r="X159" s="30"/>
      <c r="Y159" s="30"/>
      <c r="Z159" s="30"/>
      <c r="AA159" s="30"/>
    </row>
    <row r="160">
      <c r="A160" s="30"/>
      <c r="B160" s="31" t="s">
        <v>4215</v>
      </c>
      <c r="C160" s="31" t="b">
        <v>0</v>
      </c>
      <c r="D160" s="31" t="s">
        <v>4196</v>
      </c>
      <c r="E160" s="31" t="s">
        <v>4192</v>
      </c>
      <c r="F160" s="31" t="b">
        <v>0</v>
      </c>
      <c r="G160" s="31" t="s">
        <v>207</v>
      </c>
      <c r="H160" s="31" t="s">
        <v>267</v>
      </c>
      <c r="I160" s="31" t="s">
        <v>267</v>
      </c>
      <c r="J160" s="30" t="s">
        <v>4263</v>
      </c>
      <c r="K160" s="30" t="s">
        <v>4194</v>
      </c>
      <c r="L160" s="30"/>
      <c r="M160" s="30"/>
      <c r="N160" s="31" t="str">
        <f>VLOOKUP(I160,'Active Employees'!$B$2:$B$498,1,false)</f>
        <v>james.braden@docker.com</v>
      </c>
      <c r="O160" s="33" t="s">
        <v>1469</v>
      </c>
      <c r="P160" s="31"/>
      <c r="Q160" s="31"/>
      <c r="R160" s="31"/>
      <c r="S160" s="30"/>
      <c r="T160" s="30"/>
      <c r="U160" s="30"/>
      <c r="V160" s="30"/>
      <c r="W160" s="30"/>
      <c r="X160" s="30"/>
      <c r="Y160" s="30"/>
      <c r="Z160" s="30"/>
      <c r="AA160" s="30"/>
    </row>
    <row r="161">
      <c r="A161" s="30"/>
      <c r="B161" s="31" t="s">
        <v>4216</v>
      </c>
      <c r="C161" s="31" t="b">
        <v>0</v>
      </c>
      <c r="D161" s="31" t="s">
        <v>4196</v>
      </c>
      <c r="E161" s="31" t="s">
        <v>4192</v>
      </c>
      <c r="F161" s="31" t="b">
        <v>0</v>
      </c>
      <c r="G161" s="31" t="s">
        <v>207</v>
      </c>
      <c r="H161" s="31" t="s">
        <v>267</v>
      </c>
      <c r="I161" s="31" t="s">
        <v>267</v>
      </c>
      <c r="J161" s="30" t="s">
        <v>4263</v>
      </c>
      <c r="K161" s="30" t="s">
        <v>4194</v>
      </c>
      <c r="L161" s="30"/>
      <c r="M161" s="30"/>
      <c r="N161" s="31" t="str">
        <f>VLOOKUP(I161,'Active Employees'!$B$2:$B$498,1,false)</f>
        <v>james.braden@docker.com</v>
      </c>
      <c r="O161" s="33" t="s">
        <v>1469</v>
      </c>
      <c r="P161" s="31"/>
      <c r="Q161" s="31"/>
      <c r="R161" s="31"/>
      <c r="S161" s="30"/>
      <c r="T161" s="30"/>
      <c r="U161" s="30"/>
      <c r="V161" s="30"/>
      <c r="W161" s="30"/>
      <c r="X161" s="30"/>
      <c r="Y161" s="30"/>
      <c r="Z161" s="30"/>
      <c r="AA161" s="30"/>
    </row>
    <row r="162">
      <c r="A162" s="30"/>
      <c r="B162" s="31" t="s">
        <v>4217</v>
      </c>
      <c r="C162" s="31" t="b">
        <v>0</v>
      </c>
      <c r="D162" s="31" t="s">
        <v>4196</v>
      </c>
      <c r="E162" s="31" t="s">
        <v>4192</v>
      </c>
      <c r="F162" s="31" t="b">
        <v>0</v>
      </c>
      <c r="G162" s="31" t="s">
        <v>207</v>
      </c>
      <c r="H162" s="31" t="s">
        <v>267</v>
      </c>
      <c r="I162" s="31" t="s">
        <v>267</v>
      </c>
      <c r="J162" s="30" t="s">
        <v>4263</v>
      </c>
      <c r="K162" s="30" t="s">
        <v>4194</v>
      </c>
      <c r="L162" s="30"/>
      <c r="M162" s="30"/>
      <c r="N162" s="31" t="str">
        <f>VLOOKUP(I162,'Active Employees'!$B$2:$B$498,1,false)</f>
        <v>james.braden@docker.com</v>
      </c>
      <c r="O162" s="33" t="s">
        <v>1469</v>
      </c>
      <c r="P162" s="31"/>
      <c r="Q162" s="31"/>
      <c r="R162" s="31"/>
      <c r="S162" s="30"/>
      <c r="T162" s="30"/>
      <c r="U162" s="30"/>
      <c r="V162" s="30"/>
      <c r="W162" s="30"/>
      <c r="X162" s="30"/>
      <c r="Y162" s="30"/>
      <c r="Z162" s="30"/>
      <c r="AA162" s="30"/>
    </row>
    <row r="163">
      <c r="A163" s="30"/>
      <c r="B163" s="31" t="s">
        <v>4218</v>
      </c>
      <c r="C163" s="31" t="b">
        <v>0</v>
      </c>
      <c r="D163" s="31" t="s">
        <v>4196</v>
      </c>
      <c r="E163" s="31" t="s">
        <v>4192</v>
      </c>
      <c r="F163" s="31" t="b">
        <v>0</v>
      </c>
      <c r="G163" s="31" t="s">
        <v>207</v>
      </c>
      <c r="H163" s="31" t="s">
        <v>267</v>
      </c>
      <c r="I163" s="31" t="s">
        <v>267</v>
      </c>
      <c r="J163" s="30" t="s">
        <v>4263</v>
      </c>
      <c r="K163" s="30" t="s">
        <v>4194</v>
      </c>
      <c r="L163" s="30"/>
      <c r="M163" s="30"/>
      <c r="N163" s="31" t="str">
        <f>VLOOKUP(I163,'Active Employees'!$B$2:$B$498,1,false)</f>
        <v>james.braden@docker.com</v>
      </c>
      <c r="O163" s="33" t="s">
        <v>1469</v>
      </c>
      <c r="P163" s="31"/>
      <c r="Q163" s="31"/>
      <c r="R163" s="31"/>
      <c r="S163" s="30"/>
      <c r="T163" s="30"/>
      <c r="U163" s="30"/>
      <c r="V163" s="30"/>
      <c r="W163" s="30"/>
      <c r="X163" s="30"/>
      <c r="Y163" s="30"/>
      <c r="Z163" s="30"/>
      <c r="AA163" s="30"/>
    </row>
    <row r="164">
      <c r="A164" s="30"/>
      <c r="B164" s="31" t="s">
        <v>4219</v>
      </c>
      <c r="C164" s="31" t="b">
        <v>0</v>
      </c>
      <c r="D164" s="31" t="s">
        <v>4196</v>
      </c>
      <c r="E164" s="31" t="s">
        <v>4192</v>
      </c>
      <c r="F164" s="31" t="b">
        <v>0</v>
      </c>
      <c r="G164" s="31" t="s">
        <v>207</v>
      </c>
      <c r="H164" s="31" t="s">
        <v>267</v>
      </c>
      <c r="I164" s="31" t="s">
        <v>267</v>
      </c>
      <c r="J164" s="30" t="s">
        <v>4263</v>
      </c>
      <c r="K164" s="30" t="s">
        <v>4194</v>
      </c>
      <c r="L164" s="30"/>
      <c r="M164" s="30"/>
      <c r="N164" s="31" t="str">
        <f>VLOOKUP(I164,'Active Employees'!$B$2:$B$498,1,false)</f>
        <v>james.braden@docker.com</v>
      </c>
      <c r="O164" s="33" t="s">
        <v>1469</v>
      </c>
      <c r="P164" s="31"/>
      <c r="Q164" s="31"/>
      <c r="R164" s="31"/>
      <c r="S164" s="30"/>
      <c r="T164" s="30"/>
      <c r="U164" s="30"/>
      <c r="V164" s="30"/>
      <c r="W164" s="30"/>
      <c r="X164" s="30"/>
      <c r="Y164" s="30"/>
      <c r="Z164" s="30"/>
      <c r="AA164" s="30"/>
    </row>
    <row r="165">
      <c r="A165" s="30"/>
      <c r="B165" s="31" t="s">
        <v>4220</v>
      </c>
      <c r="C165" s="31" t="b">
        <v>0</v>
      </c>
      <c r="D165" s="31" t="s">
        <v>4196</v>
      </c>
      <c r="E165" s="31" t="s">
        <v>4192</v>
      </c>
      <c r="F165" s="31" t="b">
        <v>0</v>
      </c>
      <c r="G165" s="31" t="s">
        <v>207</v>
      </c>
      <c r="H165" s="31" t="s">
        <v>267</v>
      </c>
      <c r="I165" s="31" t="s">
        <v>267</v>
      </c>
      <c r="J165" s="30" t="s">
        <v>4263</v>
      </c>
      <c r="K165" s="30" t="s">
        <v>4194</v>
      </c>
      <c r="L165" s="30"/>
      <c r="M165" s="30"/>
      <c r="N165" s="31" t="str">
        <f>VLOOKUP(I165,'Active Employees'!$B$2:$B$498,1,false)</f>
        <v>james.braden@docker.com</v>
      </c>
      <c r="O165" s="33" t="s">
        <v>1469</v>
      </c>
      <c r="P165" s="31"/>
      <c r="Q165" s="31"/>
      <c r="R165" s="31"/>
      <c r="S165" s="30"/>
      <c r="T165" s="30"/>
      <c r="U165" s="30"/>
      <c r="V165" s="30"/>
      <c r="W165" s="30"/>
      <c r="X165" s="30"/>
      <c r="Y165" s="30"/>
      <c r="Z165" s="30"/>
      <c r="AA165" s="30"/>
    </row>
    <row r="166">
      <c r="A166" s="30"/>
      <c r="B166" s="31" t="s">
        <v>4221</v>
      </c>
      <c r="C166" s="31" t="b">
        <v>0</v>
      </c>
      <c r="D166" s="31" t="s">
        <v>4196</v>
      </c>
      <c r="E166" s="31" t="s">
        <v>4192</v>
      </c>
      <c r="F166" s="31" t="b">
        <v>0</v>
      </c>
      <c r="G166" s="31" t="s">
        <v>207</v>
      </c>
      <c r="H166" s="31" t="s">
        <v>267</v>
      </c>
      <c r="I166" s="31" t="s">
        <v>267</v>
      </c>
      <c r="J166" s="30" t="s">
        <v>4263</v>
      </c>
      <c r="K166" s="30" t="s">
        <v>4194</v>
      </c>
      <c r="L166" s="30"/>
      <c r="M166" s="30"/>
      <c r="N166" s="31" t="str">
        <f>VLOOKUP(I166,'Active Employees'!$B$2:$B$498,1,false)</f>
        <v>james.braden@docker.com</v>
      </c>
      <c r="O166" s="33" t="s">
        <v>1469</v>
      </c>
      <c r="P166" s="31"/>
      <c r="Q166" s="31"/>
      <c r="R166" s="31"/>
      <c r="S166" s="30"/>
      <c r="T166" s="30"/>
      <c r="U166" s="30"/>
      <c r="V166" s="30"/>
      <c r="W166" s="30"/>
      <c r="X166" s="30"/>
      <c r="Y166" s="30"/>
      <c r="Z166" s="30"/>
      <c r="AA166" s="30"/>
    </row>
    <row r="167">
      <c r="A167" s="30"/>
      <c r="B167" s="31" t="s">
        <v>4222</v>
      </c>
      <c r="C167" s="31" t="b">
        <v>0</v>
      </c>
      <c r="D167" s="31" t="s">
        <v>4196</v>
      </c>
      <c r="E167" s="31" t="s">
        <v>4192</v>
      </c>
      <c r="F167" s="31" t="b">
        <v>0</v>
      </c>
      <c r="G167" s="31" t="s">
        <v>207</v>
      </c>
      <c r="H167" s="31" t="s">
        <v>267</v>
      </c>
      <c r="I167" s="31" t="s">
        <v>267</v>
      </c>
      <c r="J167" s="30" t="s">
        <v>4263</v>
      </c>
      <c r="K167" s="30" t="s">
        <v>4194</v>
      </c>
      <c r="L167" s="30"/>
      <c r="M167" s="30"/>
      <c r="N167" s="31" t="str">
        <f>VLOOKUP(I167,'Active Employees'!$B$2:$B$498,1,false)</f>
        <v>james.braden@docker.com</v>
      </c>
      <c r="O167" s="33" t="s">
        <v>1469</v>
      </c>
      <c r="P167" s="31"/>
      <c r="Q167" s="31"/>
      <c r="R167" s="31"/>
      <c r="S167" s="30"/>
      <c r="T167" s="30"/>
      <c r="U167" s="30"/>
      <c r="V167" s="30"/>
      <c r="W167" s="30"/>
      <c r="X167" s="30"/>
      <c r="Y167" s="30"/>
      <c r="Z167" s="30"/>
      <c r="AA167" s="30"/>
    </row>
    <row r="168">
      <c r="A168" s="30"/>
      <c r="B168" s="31" t="s">
        <v>4223</v>
      </c>
      <c r="C168" s="31" t="b">
        <v>0</v>
      </c>
      <c r="D168" s="31" t="s">
        <v>4196</v>
      </c>
      <c r="E168" s="31" t="s">
        <v>4192</v>
      </c>
      <c r="F168" s="31" t="b">
        <v>0</v>
      </c>
      <c r="G168" s="31" t="s">
        <v>207</v>
      </c>
      <c r="H168" s="31" t="s">
        <v>267</v>
      </c>
      <c r="I168" s="31" t="s">
        <v>267</v>
      </c>
      <c r="J168" s="30" t="s">
        <v>4263</v>
      </c>
      <c r="K168" s="30" t="s">
        <v>4194</v>
      </c>
      <c r="L168" s="30"/>
      <c r="M168" s="30"/>
      <c r="N168" s="31" t="str">
        <f>VLOOKUP(I168,'Active Employees'!$B$2:$B$498,1,false)</f>
        <v>james.braden@docker.com</v>
      </c>
      <c r="O168" s="33" t="s">
        <v>1469</v>
      </c>
      <c r="P168" s="31"/>
      <c r="Q168" s="31"/>
      <c r="R168" s="31"/>
      <c r="S168" s="30"/>
      <c r="T168" s="30"/>
      <c r="U168" s="30"/>
      <c r="V168" s="30"/>
      <c r="W168" s="30"/>
      <c r="X168" s="30"/>
      <c r="Y168" s="30"/>
      <c r="Z168" s="30"/>
      <c r="AA168" s="30"/>
    </row>
    <row r="169">
      <c r="A169" s="30"/>
      <c r="B169" s="31" t="s">
        <v>4224</v>
      </c>
      <c r="C169" s="31" t="b">
        <v>0</v>
      </c>
      <c r="D169" s="31" t="s">
        <v>4196</v>
      </c>
      <c r="E169" s="31" t="s">
        <v>4192</v>
      </c>
      <c r="F169" s="31" t="b">
        <v>0</v>
      </c>
      <c r="G169" s="31" t="s">
        <v>207</v>
      </c>
      <c r="H169" s="31" t="s">
        <v>267</v>
      </c>
      <c r="I169" s="31" t="s">
        <v>267</v>
      </c>
      <c r="J169" s="30" t="s">
        <v>4263</v>
      </c>
      <c r="K169" s="30" t="s">
        <v>4194</v>
      </c>
      <c r="L169" s="30"/>
      <c r="M169" s="30"/>
      <c r="N169" s="31" t="str">
        <f>VLOOKUP(I169,'Active Employees'!$B$2:$B$498,1,false)</f>
        <v>james.braden@docker.com</v>
      </c>
      <c r="O169" s="33" t="s">
        <v>1469</v>
      </c>
      <c r="P169" s="31"/>
      <c r="Q169" s="31"/>
      <c r="R169" s="31"/>
      <c r="S169" s="30"/>
      <c r="T169" s="30"/>
      <c r="U169" s="30"/>
      <c r="V169" s="30"/>
      <c r="W169" s="30"/>
      <c r="X169" s="30"/>
      <c r="Y169" s="30"/>
      <c r="Z169" s="30"/>
      <c r="AA169" s="30"/>
    </row>
    <row r="170">
      <c r="A170" s="30"/>
      <c r="B170" s="31" t="s">
        <v>4225</v>
      </c>
      <c r="C170" s="31" t="b">
        <v>0</v>
      </c>
      <c r="D170" s="31" t="s">
        <v>4196</v>
      </c>
      <c r="E170" s="31" t="s">
        <v>4192</v>
      </c>
      <c r="F170" s="31" t="b">
        <v>0</v>
      </c>
      <c r="G170" s="31" t="s">
        <v>207</v>
      </c>
      <c r="H170" s="31" t="s">
        <v>267</v>
      </c>
      <c r="I170" s="31" t="s">
        <v>267</v>
      </c>
      <c r="J170" s="30" t="s">
        <v>4263</v>
      </c>
      <c r="K170" s="30" t="s">
        <v>4194</v>
      </c>
      <c r="L170" s="30"/>
      <c r="M170" s="30"/>
      <c r="N170" s="31" t="str">
        <f>VLOOKUP(I170,'Active Employees'!$B$2:$B$498,1,false)</f>
        <v>james.braden@docker.com</v>
      </c>
      <c r="O170" s="33" t="s">
        <v>1469</v>
      </c>
      <c r="P170" s="31"/>
      <c r="Q170" s="31"/>
      <c r="R170" s="31"/>
      <c r="S170" s="30"/>
      <c r="T170" s="30"/>
      <c r="U170" s="30"/>
      <c r="V170" s="30"/>
      <c r="W170" s="30"/>
      <c r="X170" s="30"/>
      <c r="Y170" s="30"/>
      <c r="Z170" s="30"/>
      <c r="AA170" s="30"/>
    </row>
    <row r="171">
      <c r="A171" s="30"/>
      <c r="B171" s="31" t="s">
        <v>4226</v>
      </c>
      <c r="C171" s="31" t="b">
        <v>0</v>
      </c>
      <c r="D171" s="31" t="s">
        <v>4196</v>
      </c>
      <c r="E171" s="31" t="s">
        <v>4192</v>
      </c>
      <c r="F171" s="31" t="b">
        <v>0</v>
      </c>
      <c r="G171" s="31" t="s">
        <v>207</v>
      </c>
      <c r="H171" s="31" t="s">
        <v>267</v>
      </c>
      <c r="I171" s="31" t="s">
        <v>267</v>
      </c>
      <c r="J171" s="30" t="s">
        <v>4263</v>
      </c>
      <c r="K171" s="30" t="s">
        <v>4194</v>
      </c>
      <c r="L171" s="30"/>
      <c r="M171" s="30"/>
      <c r="N171" s="31" t="str">
        <f>VLOOKUP(I171,'Active Employees'!$B$2:$B$498,1,false)</f>
        <v>james.braden@docker.com</v>
      </c>
      <c r="O171" s="33" t="s">
        <v>1469</v>
      </c>
      <c r="P171" s="31"/>
      <c r="Q171" s="31"/>
      <c r="R171" s="31"/>
      <c r="S171" s="30"/>
      <c r="T171" s="30"/>
      <c r="U171" s="30"/>
      <c r="V171" s="30"/>
      <c r="W171" s="30"/>
      <c r="X171" s="30"/>
      <c r="Y171" s="30"/>
      <c r="Z171" s="30"/>
      <c r="AA171" s="30"/>
    </row>
    <row r="172">
      <c r="A172" s="30"/>
      <c r="B172" s="31" t="s">
        <v>4227</v>
      </c>
      <c r="C172" s="31" t="b">
        <v>0</v>
      </c>
      <c r="D172" s="31" t="s">
        <v>4196</v>
      </c>
      <c r="E172" s="31" t="s">
        <v>4192</v>
      </c>
      <c r="F172" s="31" t="b">
        <v>0</v>
      </c>
      <c r="G172" s="31" t="s">
        <v>207</v>
      </c>
      <c r="H172" s="31" t="s">
        <v>267</v>
      </c>
      <c r="I172" s="31" t="s">
        <v>267</v>
      </c>
      <c r="J172" s="30" t="s">
        <v>4263</v>
      </c>
      <c r="K172" s="30" t="s">
        <v>4194</v>
      </c>
      <c r="L172" s="30"/>
      <c r="M172" s="30"/>
      <c r="N172" s="31" t="str">
        <f>VLOOKUP(I172,'Active Employees'!$B$2:$B$498,1,false)</f>
        <v>james.braden@docker.com</v>
      </c>
      <c r="O172" s="33" t="s">
        <v>1469</v>
      </c>
      <c r="P172" s="31"/>
      <c r="Q172" s="31"/>
      <c r="R172" s="31"/>
      <c r="S172" s="30"/>
      <c r="T172" s="30"/>
      <c r="U172" s="30"/>
      <c r="V172" s="30"/>
      <c r="W172" s="30"/>
      <c r="X172" s="30"/>
      <c r="Y172" s="30"/>
      <c r="Z172" s="30"/>
      <c r="AA172" s="30"/>
    </row>
    <row r="173">
      <c r="A173" s="30"/>
      <c r="B173" s="31" t="s">
        <v>4228</v>
      </c>
      <c r="C173" s="31" t="b">
        <v>0</v>
      </c>
      <c r="D173" s="31" t="s">
        <v>4196</v>
      </c>
      <c r="E173" s="31" t="s">
        <v>4192</v>
      </c>
      <c r="F173" s="31" t="b">
        <v>0</v>
      </c>
      <c r="G173" s="31" t="s">
        <v>207</v>
      </c>
      <c r="H173" s="31" t="s">
        <v>267</v>
      </c>
      <c r="I173" s="31" t="s">
        <v>267</v>
      </c>
      <c r="J173" s="30" t="s">
        <v>4263</v>
      </c>
      <c r="K173" s="30" t="s">
        <v>4194</v>
      </c>
      <c r="L173" s="30"/>
      <c r="M173" s="30"/>
      <c r="N173" s="31" t="str">
        <f>VLOOKUP(I173,'Active Employees'!$B$2:$B$498,1,false)</f>
        <v>james.braden@docker.com</v>
      </c>
      <c r="O173" s="33" t="s">
        <v>1469</v>
      </c>
      <c r="P173" s="31"/>
      <c r="Q173" s="31"/>
      <c r="R173" s="31"/>
      <c r="S173" s="30"/>
      <c r="T173" s="30"/>
      <c r="U173" s="30"/>
      <c r="V173" s="30"/>
      <c r="W173" s="30"/>
      <c r="X173" s="30"/>
      <c r="Y173" s="30"/>
      <c r="Z173" s="30"/>
      <c r="AA173" s="30"/>
    </row>
    <row r="174">
      <c r="A174" s="30"/>
      <c r="B174" s="31" t="s">
        <v>4229</v>
      </c>
      <c r="C174" s="31" t="b">
        <v>0</v>
      </c>
      <c r="D174" s="31" t="s">
        <v>4196</v>
      </c>
      <c r="E174" s="31" t="s">
        <v>4192</v>
      </c>
      <c r="F174" s="31" t="b">
        <v>0</v>
      </c>
      <c r="G174" s="31" t="s">
        <v>207</v>
      </c>
      <c r="H174" s="31" t="s">
        <v>267</v>
      </c>
      <c r="I174" s="31" t="s">
        <v>267</v>
      </c>
      <c r="J174" s="30" t="s">
        <v>4263</v>
      </c>
      <c r="K174" s="30" t="s">
        <v>4194</v>
      </c>
      <c r="L174" s="30"/>
      <c r="M174" s="30"/>
      <c r="N174" s="31" t="str">
        <f>VLOOKUP(I174,'Active Employees'!$B$2:$B$498,1,false)</f>
        <v>james.braden@docker.com</v>
      </c>
      <c r="O174" s="33" t="s">
        <v>1469</v>
      </c>
      <c r="P174" s="31"/>
      <c r="Q174" s="31"/>
      <c r="R174" s="31"/>
      <c r="S174" s="30"/>
      <c r="T174" s="30"/>
      <c r="U174" s="30"/>
      <c r="V174" s="30"/>
      <c r="W174" s="30"/>
      <c r="X174" s="30"/>
      <c r="Y174" s="30"/>
      <c r="Z174" s="30"/>
      <c r="AA174" s="30"/>
    </row>
    <row r="175">
      <c r="A175" s="30"/>
      <c r="B175" s="31" t="s">
        <v>4190</v>
      </c>
      <c r="C175" s="31" t="b">
        <v>0</v>
      </c>
      <c r="D175" s="31" t="s">
        <v>4191</v>
      </c>
      <c r="E175" s="31" t="s">
        <v>4192</v>
      </c>
      <c r="F175" s="31" t="b">
        <v>0</v>
      </c>
      <c r="G175" s="31" t="s">
        <v>1938</v>
      </c>
      <c r="H175" s="31" t="s">
        <v>206</v>
      </c>
      <c r="I175" s="31" t="s">
        <v>206</v>
      </c>
      <c r="J175" s="30" t="s">
        <v>4264</v>
      </c>
      <c r="K175" s="30" t="s">
        <v>4194</v>
      </c>
      <c r="L175" s="30"/>
      <c r="M175" s="30"/>
      <c r="N175" s="31" t="str">
        <f>VLOOKUP(I175,'Active Employees'!$B$2:$B$498,1,false)</f>
        <v>romain.belorgey@docker.com</v>
      </c>
      <c r="O175" s="33" t="s">
        <v>1469</v>
      </c>
      <c r="P175" s="31"/>
      <c r="Q175" s="31"/>
      <c r="R175" s="31"/>
      <c r="S175" s="30"/>
      <c r="T175" s="30"/>
      <c r="U175" s="30"/>
      <c r="V175" s="30"/>
      <c r="W175" s="30"/>
      <c r="X175" s="30"/>
      <c r="Y175" s="30"/>
      <c r="Z175" s="30"/>
      <c r="AA175" s="30"/>
    </row>
    <row r="176">
      <c r="A176" s="30"/>
      <c r="B176" s="31" t="s">
        <v>4195</v>
      </c>
      <c r="C176" s="31" t="b">
        <v>0</v>
      </c>
      <c r="D176" s="31" t="s">
        <v>4196</v>
      </c>
      <c r="E176" s="31" t="s">
        <v>4192</v>
      </c>
      <c r="F176" s="31" t="b">
        <v>0</v>
      </c>
      <c r="G176" s="31" t="s">
        <v>1938</v>
      </c>
      <c r="H176" s="31" t="s">
        <v>206</v>
      </c>
      <c r="I176" s="31" t="s">
        <v>206</v>
      </c>
      <c r="J176" s="30" t="s">
        <v>4264</v>
      </c>
      <c r="K176" s="30" t="s">
        <v>4194</v>
      </c>
      <c r="L176" s="30"/>
      <c r="M176" s="30"/>
      <c r="N176" s="31" t="str">
        <f>VLOOKUP(I176,'Active Employees'!$B$2:$B$498,1,false)</f>
        <v>romain.belorgey@docker.com</v>
      </c>
      <c r="O176" s="33" t="s">
        <v>1469</v>
      </c>
      <c r="P176" s="31"/>
      <c r="Q176" s="31"/>
      <c r="R176" s="31"/>
      <c r="S176" s="30"/>
      <c r="T176" s="30"/>
      <c r="U176" s="30"/>
      <c r="V176" s="30"/>
      <c r="W176" s="30"/>
      <c r="X176" s="30"/>
      <c r="Y176" s="30"/>
      <c r="Z176" s="30"/>
      <c r="AA176" s="30"/>
    </row>
    <row r="177">
      <c r="A177" s="30"/>
      <c r="B177" s="31" t="s">
        <v>4197</v>
      </c>
      <c r="C177" s="31" t="b">
        <v>0</v>
      </c>
      <c r="D177" s="31" t="s">
        <v>4196</v>
      </c>
      <c r="E177" s="31" t="s">
        <v>4192</v>
      </c>
      <c r="F177" s="31" t="b">
        <v>0</v>
      </c>
      <c r="G177" s="31" t="s">
        <v>1938</v>
      </c>
      <c r="H177" s="31" t="s">
        <v>206</v>
      </c>
      <c r="I177" s="31" t="s">
        <v>206</v>
      </c>
      <c r="J177" s="30" t="s">
        <v>4264</v>
      </c>
      <c r="K177" s="30" t="s">
        <v>4194</v>
      </c>
      <c r="L177" s="30"/>
      <c r="M177" s="30"/>
      <c r="N177" s="31" t="str">
        <f>VLOOKUP(I177,'Active Employees'!$B$2:$B$498,1,false)</f>
        <v>romain.belorgey@docker.com</v>
      </c>
      <c r="O177" s="33" t="s">
        <v>1469</v>
      </c>
      <c r="P177" s="31"/>
      <c r="Q177" s="31"/>
      <c r="R177" s="31"/>
      <c r="S177" s="30"/>
      <c r="T177" s="30"/>
      <c r="U177" s="30"/>
      <c r="V177" s="30"/>
      <c r="W177" s="30"/>
      <c r="X177" s="30"/>
      <c r="Y177" s="30"/>
      <c r="Z177" s="30"/>
      <c r="AA177" s="30"/>
    </row>
    <row r="178">
      <c r="A178" s="30"/>
      <c r="B178" s="31" t="s">
        <v>4198</v>
      </c>
      <c r="C178" s="31" t="b">
        <v>0</v>
      </c>
      <c r="D178" s="31" t="s">
        <v>4196</v>
      </c>
      <c r="E178" s="31" t="s">
        <v>4192</v>
      </c>
      <c r="F178" s="31" t="b">
        <v>0</v>
      </c>
      <c r="G178" s="31" t="s">
        <v>1938</v>
      </c>
      <c r="H178" s="31" t="s">
        <v>206</v>
      </c>
      <c r="I178" s="31" t="s">
        <v>206</v>
      </c>
      <c r="J178" s="30" t="s">
        <v>4264</v>
      </c>
      <c r="K178" s="30" t="s">
        <v>4194</v>
      </c>
      <c r="L178" s="30"/>
      <c r="M178" s="30"/>
      <c r="N178" s="31" t="str">
        <f>VLOOKUP(I178,'Active Employees'!$B$2:$B$498,1,false)</f>
        <v>romain.belorgey@docker.com</v>
      </c>
      <c r="O178" s="33" t="s">
        <v>1469</v>
      </c>
      <c r="P178" s="31"/>
      <c r="Q178" s="31"/>
      <c r="R178" s="31"/>
      <c r="S178" s="30"/>
      <c r="T178" s="30"/>
      <c r="U178" s="30"/>
      <c r="V178" s="30"/>
      <c r="W178" s="30"/>
      <c r="X178" s="30"/>
      <c r="Y178" s="30"/>
      <c r="Z178" s="30"/>
      <c r="AA178" s="30"/>
    </row>
    <row r="179">
      <c r="A179" s="30"/>
      <c r="B179" s="31" t="s">
        <v>4199</v>
      </c>
      <c r="C179" s="31" t="b">
        <v>0</v>
      </c>
      <c r="D179" s="31" t="s">
        <v>4196</v>
      </c>
      <c r="E179" s="31" t="s">
        <v>4192</v>
      </c>
      <c r="F179" s="31" t="b">
        <v>0</v>
      </c>
      <c r="G179" s="31" t="s">
        <v>1938</v>
      </c>
      <c r="H179" s="31" t="s">
        <v>206</v>
      </c>
      <c r="I179" s="31" t="s">
        <v>206</v>
      </c>
      <c r="J179" s="30" t="s">
        <v>4264</v>
      </c>
      <c r="K179" s="30" t="s">
        <v>4194</v>
      </c>
      <c r="L179" s="30"/>
      <c r="M179" s="30"/>
      <c r="N179" s="31" t="str">
        <f>VLOOKUP(I179,'Active Employees'!$B$2:$B$498,1,false)</f>
        <v>romain.belorgey@docker.com</v>
      </c>
      <c r="O179" s="33" t="s">
        <v>1469</v>
      </c>
      <c r="P179" s="31"/>
      <c r="Q179" s="31"/>
      <c r="R179" s="31"/>
      <c r="S179" s="30"/>
      <c r="T179" s="30"/>
      <c r="U179" s="30"/>
      <c r="V179" s="30"/>
      <c r="W179" s="30"/>
      <c r="X179" s="30"/>
      <c r="Y179" s="30"/>
      <c r="Z179" s="30"/>
      <c r="AA179" s="30"/>
    </row>
    <row r="180">
      <c r="A180" s="30"/>
      <c r="B180" s="31" t="s">
        <v>4200</v>
      </c>
      <c r="C180" s="31" t="b">
        <v>0</v>
      </c>
      <c r="D180" s="31" t="s">
        <v>4196</v>
      </c>
      <c r="E180" s="31" t="s">
        <v>4192</v>
      </c>
      <c r="F180" s="31" t="b">
        <v>0</v>
      </c>
      <c r="G180" s="31" t="s">
        <v>1938</v>
      </c>
      <c r="H180" s="31" t="s">
        <v>206</v>
      </c>
      <c r="I180" s="31" t="s">
        <v>206</v>
      </c>
      <c r="J180" s="30" t="s">
        <v>4264</v>
      </c>
      <c r="K180" s="30" t="s">
        <v>4194</v>
      </c>
      <c r="L180" s="30"/>
      <c r="M180" s="30"/>
      <c r="N180" s="31" t="str">
        <f>VLOOKUP(I180,'Active Employees'!$B$2:$B$498,1,false)</f>
        <v>romain.belorgey@docker.com</v>
      </c>
      <c r="O180" s="33" t="s">
        <v>1469</v>
      </c>
      <c r="P180" s="31"/>
      <c r="Q180" s="31"/>
      <c r="R180" s="31"/>
      <c r="S180" s="30"/>
      <c r="T180" s="30"/>
      <c r="U180" s="30"/>
      <c r="V180" s="30"/>
      <c r="W180" s="30"/>
      <c r="X180" s="30"/>
      <c r="Y180" s="30"/>
      <c r="Z180" s="30"/>
      <c r="AA180" s="30"/>
    </row>
    <row r="181">
      <c r="A181" s="30"/>
      <c r="B181" s="31" t="s">
        <v>4201</v>
      </c>
      <c r="C181" s="31" t="b">
        <v>0</v>
      </c>
      <c r="D181" s="31" t="s">
        <v>4196</v>
      </c>
      <c r="E181" s="31" t="s">
        <v>4192</v>
      </c>
      <c r="F181" s="31" t="b">
        <v>0</v>
      </c>
      <c r="G181" s="31" t="s">
        <v>1938</v>
      </c>
      <c r="H181" s="31" t="s">
        <v>206</v>
      </c>
      <c r="I181" s="31" t="s">
        <v>206</v>
      </c>
      <c r="J181" s="30" t="s">
        <v>4264</v>
      </c>
      <c r="K181" s="30" t="s">
        <v>4194</v>
      </c>
      <c r="L181" s="30"/>
      <c r="M181" s="30"/>
      <c r="N181" s="31" t="str">
        <f>VLOOKUP(I181,'Active Employees'!$B$2:$B$498,1,false)</f>
        <v>romain.belorgey@docker.com</v>
      </c>
      <c r="O181" s="33" t="s">
        <v>1469</v>
      </c>
      <c r="P181" s="31"/>
      <c r="Q181" s="31"/>
      <c r="R181" s="31"/>
      <c r="S181" s="30"/>
      <c r="T181" s="30"/>
      <c r="U181" s="30"/>
      <c r="V181" s="30"/>
      <c r="W181" s="30"/>
      <c r="X181" s="30"/>
      <c r="Y181" s="30"/>
      <c r="Z181" s="30"/>
      <c r="AA181" s="30"/>
    </row>
    <row r="182">
      <c r="A182" s="30"/>
      <c r="B182" s="31" t="s">
        <v>4202</v>
      </c>
      <c r="C182" s="31" t="b">
        <v>0</v>
      </c>
      <c r="D182" s="31" t="s">
        <v>4196</v>
      </c>
      <c r="E182" s="31" t="s">
        <v>4192</v>
      </c>
      <c r="F182" s="31" t="b">
        <v>0</v>
      </c>
      <c r="G182" s="31" t="s">
        <v>1938</v>
      </c>
      <c r="H182" s="31" t="s">
        <v>206</v>
      </c>
      <c r="I182" s="31" t="s">
        <v>206</v>
      </c>
      <c r="J182" s="30" t="s">
        <v>4264</v>
      </c>
      <c r="K182" s="30" t="s">
        <v>4194</v>
      </c>
      <c r="L182" s="30"/>
      <c r="M182" s="30"/>
      <c r="N182" s="31" t="str">
        <f>VLOOKUP(I182,'Active Employees'!$B$2:$B$498,1,false)</f>
        <v>romain.belorgey@docker.com</v>
      </c>
      <c r="O182" s="33" t="s">
        <v>1469</v>
      </c>
      <c r="P182" s="31"/>
      <c r="Q182" s="31"/>
      <c r="R182" s="31"/>
      <c r="S182" s="30"/>
      <c r="T182" s="30"/>
      <c r="U182" s="30"/>
      <c r="V182" s="30"/>
      <c r="W182" s="30"/>
      <c r="X182" s="30"/>
      <c r="Y182" s="30"/>
      <c r="Z182" s="30"/>
      <c r="AA182" s="30"/>
    </row>
    <row r="183">
      <c r="A183" s="30"/>
      <c r="B183" s="31" t="s">
        <v>4203</v>
      </c>
      <c r="C183" s="31" t="b">
        <v>0</v>
      </c>
      <c r="D183" s="31" t="s">
        <v>4196</v>
      </c>
      <c r="E183" s="31" t="s">
        <v>4192</v>
      </c>
      <c r="F183" s="31" t="b">
        <v>0</v>
      </c>
      <c r="G183" s="31" t="s">
        <v>1938</v>
      </c>
      <c r="H183" s="31" t="s">
        <v>206</v>
      </c>
      <c r="I183" s="31" t="s">
        <v>206</v>
      </c>
      <c r="J183" s="30" t="s">
        <v>4264</v>
      </c>
      <c r="K183" s="30" t="s">
        <v>4194</v>
      </c>
      <c r="L183" s="30"/>
      <c r="M183" s="30"/>
      <c r="N183" s="31" t="str">
        <f>VLOOKUP(I183,'Active Employees'!$B$2:$B$498,1,false)</f>
        <v>romain.belorgey@docker.com</v>
      </c>
      <c r="O183" s="33" t="s">
        <v>1469</v>
      </c>
      <c r="P183" s="31"/>
      <c r="Q183" s="31"/>
      <c r="R183" s="31"/>
      <c r="S183" s="30"/>
      <c r="T183" s="30"/>
      <c r="U183" s="30"/>
      <c r="V183" s="30"/>
      <c r="W183" s="30"/>
      <c r="X183" s="30"/>
      <c r="Y183" s="30"/>
      <c r="Z183" s="30"/>
      <c r="AA183" s="30"/>
    </row>
    <row r="184">
      <c r="A184" s="30"/>
      <c r="B184" s="31" t="s">
        <v>4204</v>
      </c>
      <c r="C184" s="31" t="b">
        <v>0</v>
      </c>
      <c r="D184" s="31" t="s">
        <v>4196</v>
      </c>
      <c r="E184" s="31" t="s">
        <v>4192</v>
      </c>
      <c r="F184" s="31" t="b">
        <v>0</v>
      </c>
      <c r="G184" s="31" t="s">
        <v>1938</v>
      </c>
      <c r="H184" s="31" t="s">
        <v>206</v>
      </c>
      <c r="I184" s="31" t="s">
        <v>206</v>
      </c>
      <c r="J184" s="30" t="s">
        <v>4264</v>
      </c>
      <c r="K184" s="30" t="s">
        <v>4194</v>
      </c>
      <c r="L184" s="30"/>
      <c r="M184" s="30"/>
      <c r="N184" s="31" t="str">
        <f>VLOOKUP(I184,'Active Employees'!$B$2:$B$498,1,false)</f>
        <v>romain.belorgey@docker.com</v>
      </c>
      <c r="O184" s="33" t="s">
        <v>1469</v>
      </c>
      <c r="P184" s="31"/>
      <c r="Q184" s="31"/>
      <c r="R184" s="31"/>
      <c r="S184" s="30"/>
      <c r="T184" s="30"/>
      <c r="U184" s="30"/>
      <c r="V184" s="30"/>
      <c r="W184" s="30"/>
      <c r="X184" s="30"/>
      <c r="Y184" s="30"/>
      <c r="Z184" s="30"/>
      <c r="AA184" s="30"/>
    </row>
    <row r="185">
      <c r="A185" s="30"/>
      <c r="B185" s="31" t="s">
        <v>4205</v>
      </c>
      <c r="C185" s="31" t="b">
        <v>0</v>
      </c>
      <c r="D185" s="31" t="s">
        <v>4196</v>
      </c>
      <c r="E185" s="31" t="s">
        <v>4192</v>
      </c>
      <c r="F185" s="31" t="b">
        <v>0</v>
      </c>
      <c r="G185" s="31" t="s">
        <v>1938</v>
      </c>
      <c r="H185" s="31" t="s">
        <v>206</v>
      </c>
      <c r="I185" s="31" t="s">
        <v>206</v>
      </c>
      <c r="J185" s="30" t="s">
        <v>4264</v>
      </c>
      <c r="K185" s="30" t="s">
        <v>4194</v>
      </c>
      <c r="L185" s="30"/>
      <c r="M185" s="30"/>
      <c r="N185" s="31" t="str">
        <f>VLOOKUP(I185,'Active Employees'!$B$2:$B$498,1,false)</f>
        <v>romain.belorgey@docker.com</v>
      </c>
      <c r="O185" s="33" t="s">
        <v>1469</v>
      </c>
      <c r="P185" s="31"/>
      <c r="Q185" s="31"/>
      <c r="R185" s="31"/>
      <c r="S185" s="30"/>
      <c r="T185" s="30"/>
      <c r="U185" s="30"/>
      <c r="V185" s="30"/>
      <c r="W185" s="30"/>
      <c r="X185" s="30"/>
      <c r="Y185" s="30"/>
      <c r="Z185" s="30"/>
      <c r="AA185" s="30"/>
    </row>
    <row r="186">
      <c r="A186" s="30"/>
      <c r="B186" s="31" t="s">
        <v>4206</v>
      </c>
      <c r="C186" s="31" t="b">
        <v>0</v>
      </c>
      <c r="D186" s="31" t="s">
        <v>4196</v>
      </c>
      <c r="E186" s="31" t="s">
        <v>4192</v>
      </c>
      <c r="F186" s="31" t="b">
        <v>0</v>
      </c>
      <c r="G186" s="31" t="s">
        <v>1938</v>
      </c>
      <c r="H186" s="31" t="s">
        <v>206</v>
      </c>
      <c r="I186" s="31" t="s">
        <v>206</v>
      </c>
      <c r="J186" s="30" t="s">
        <v>4264</v>
      </c>
      <c r="K186" s="30" t="s">
        <v>4194</v>
      </c>
      <c r="L186" s="30"/>
      <c r="M186" s="30"/>
      <c r="N186" s="31" t="str">
        <f>VLOOKUP(I186,'Active Employees'!$B$2:$B$498,1,false)</f>
        <v>romain.belorgey@docker.com</v>
      </c>
      <c r="O186" s="33" t="s">
        <v>1469</v>
      </c>
      <c r="P186" s="31"/>
      <c r="Q186" s="31"/>
      <c r="R186" s="31"/>
      <c r="S186" s="30"/>
      <c r="T186" s="30"/>
      <c r="U186" s="30"/>
      <c r="V186" s="30"/>
      <c r="W186" s="30"/>
      <c r="X186" s="30"/>
      <c r="Y186" s="30"/>
      <c r="Z186" s="30"/>
      <c r="AA186" s="30"/>
    </row>
    <row r="187">
      <c r="A187" s="30"/>
      <c r="B187" s="31" t="s">
        <v>4207</v>
      </c>
      <c r="C187" s="31" t="b">
        <v>0</v>
      </c>
      <c r="D187" s="31" t="s">
        <v>4196</v>
      </c>
      <c r="E187" s="31" t="s">
        <v>4192</v>
      </c>
      <c r="F187" s="31" t="b">
        <v>0</v>
      </c>
      <c r="G187" s="31" t="s">
        <v>1938</v>
      </c>
      <c r="H187" s="31" t="s">
        <v>206</v>
      </c>
      <c r="I187" s="31" t="s">
        <v>206</v>
      </c>
      <c r="J187" s="30" t="s">
        <v>4264</v>
      </c>
      <c r="K187" s="30" t="s">
        <v>4194</v>
      </c>
      <c r="L187" s="30"/>
      <c r="M187" s="30"/>
      <c r="N187" s="31" t="str">
        <f>VLOOKUP(I187,'Active Employees'!$B$2:$B$498,1,false)</f>
        <v>romain.belorgey@docker.com</v>
      </c>
      <c r="O187" s="33" t="s">
        <v>1469</v>
      </c>
      <c r="P187" s="31"/>
      <c r="Q187" s="31"/>
      <c r="R187" s="31"/>
      <c r="S187" s="30"/>
      <c r="T187" s="30"/>
      <c r="U187" s="30"/>
      <c r="V187" s="30"/>
      <c r="W187" s="30"/>
      <c r="X187" s="30"/>
      <c r="Y187" s="30"/>
      <c r="Z187" s="30"/>
      <c r="AA187" s="30"/>
    </row>
    <row r="188">
      <c r="A188" s="30"/>
      <c r="B188" s="31" t="s">
        <v>4208</v>
      </c>
      <c r="C188" s="31" t="b">
        <v>0</v>
      </c>
      <c r="D188" s="31" t="s">
        <v>4196</v>
      </c>
      <c r="E188" s="31" t="s">
        <v>4192</v>
      </c>
      <c r="F188" s="31" t="b">
        <v>0</v>
      </c>
      <c r="G188" s="31" t="s">
        <v>1938</v>
      </c>
      <c r="H188" s="31" t="s">
        <v>206</v>
      </c>
      <c r="I188" s="31" t="s">
        <v>206</v>
      </c>
      <c r="J188" s="30" t="s">
        <v>4264</v>
      </c>
      <c r="K188" s="30" t="s">
        <v>4194</v>
      </c>
      <c r="L188" s="30"/>
      <c r="M188" s="30"/>
      <c r="N188" s="31" t="str">
        <f>VLOOKUP(I188,'Active Employees'!$B$2:$B$498,1,false)</f>
        <v>romain.belorgey@docker.com</v>
      </c>
      <c r="O188" s="33" t="s">
        <v>1469</v>
      </c>
      <c r="P188" s="31"/>
      <c r="Q188" s="31"/>
      <c r="R188" s="31"/>
      <c r="S188" s="30"/>
      <c r="T188" s="30"/>
      <c r="U188" s="30"/>
      <c r="V188" s="30"/>
      <c r="W188" s="30"/>
      <c r="X188" s="30"/>
      <c r="Y188" s="30"/>
      <c r="Z188" s="30"/>
      <c r="AA188" s="30"/>
    </row>
    <row r="189">
      <c r="A189" s="30"/>
      <c r="B189" s="31" t="s">
        <v>4209</v>
      </c>
      <c r="C189" s="31" t="b">
        <v>0</v>
      </c>
      <c r="D189" s="31" t="s">
        <v>4196</v>
      </c>
      <c r="E189" s="31" t="s">
        <v>4192</v>
      </c>
      <c r="F189" s="31" t="b">
        <v>0</v>
      </c>
      <c r="G189" s="31" t="s">
        <v>1938</v>
      </c>
      <c r="H189" s="31" t="s">
        <v>206</v>
      </c>
      <c r="I189" s="31" t="s">
        <v>206</v>
      </c>
      <c r="J189" s="30" t="s">
        <v>4264</v>
      </c>
      <c r="K189" s="30" t="s">
        <v>4194</v>
      </c>
      <c r="L189" s="30"/>
      <c r="M189" s="30"/>
      <c r="N189" s="31" t="str">
        <f>VLOOKUP(I189,'Active Employees'!$B$2:$B$498,1,false)</f>
        <v>romain.belorgey@docker.com</v>
      </c>
      <c r="O189" s="33" t="s">
        <v>1469</v>
      </c>
      <c r="P189" s="31"/>
      <c r="Q189" s="31"/>
      <c r="R189" s="31"/>
      <c r="S189" s="30"/>
      <c r="T189" s="30"/>
      <c r="U189" s="30"/>
      <c r="V189" s="30"/>
      <c r="W189" s="30"/>
      <c r="X189" s="30"/>
      <c r="Y189" s="30"/>
      <c r="Z189" s="30"/>
      <c r="AA189" s="30"/>
    </row>
    <row r="190">
      <c r="A190" s="30"/>
      <c r="B190" s="31" t="s">
        <v>1974</v>
      </c>
      <c r="C190" s="31" t="b">
        <v>0</v>
      </c>
      <c r="D190" s="31" t="s">
        <v>4196</v>
      </c>
      <c r="E190" s="31" t="s">
        <v>4192</v>
      </c>
      <c r="F190" s="31" t="b">
        <v>0</v>
      </c>
      <c r="G190" s="31" t="s">
        <v>1938</v>
      </c>
      <c r="H190" s="31" t="s">
        <v>206</v>
      </c>
      <c r="I190" s="31" t="s">
        <v>206</v>
      </c>
      <c r="J190" s="30" t="s">
        <v>4264</v>
      </c>
      <c r="K190" s="30" t="s">
        <v>4194</v>
      </c>
      <c r="L190" s="30"/>
      <c r="M190" s="30"/>
      <c r="N190" s="31" t="str">
        <f>VLOOKUP(I190,'Active Employees'!$B$2:$B$498,1,false)</f>
        <v>romain.belorgey@docker.com</v>
      </c>
      <c r="O190" s="33" t="s">
        <v>1469</v>
      </c>
      <c r="P190" s="31"/>
      <c r="Q190" s="31"/>
      <c r="R190" s="31"/>
      <c r="S190" s="30"/>
      <c r="T190" s="30"/>
      <c r="U190" s="30"/>
      <c r="V190" s="30"/>
      <c r="W190" s="30"/>
      <c r="X190" s="30"/>
      <c r="Y190" s="30"/>
      <c r="Z190" s="30"/>
      <c r="AA190" s="30"/>
    </row>
    <row r="191">
      <c r="A191" s="30"/>
      <c r="B191" s="31" t="s">
        <v>4210</v>
      </c>
      <c r="C191" s="31" t="b">
        <v>0</v>
      </c>
      <c r="D191" s="31" t="s">
        <v>4196</v>
      </c>
      <c r="E191" s="31" t="s">
        <v>4192</v>
      </c>
      <c r="F191" s="31" t="b">
        <v>0</v>
      </c>
      <c r="G191" s="31" t="s">
        <v>1938</v>
      </c>
      <c r="H191" s="31" t="s">
        <v>206</v>
      </c>
      <c r="I191" s="31" t="s">
        <v>206</v>
      </c>
      <c r="J191" s="30" t="s">
        <v>4264</v>
      </c>
      <c r="K191" s="30" t="s">
        <v>4194</v>
      </c>
      <c r="L191" s="30"/>
      <c r="M191" s="30"/>
      <c r="N191" s="31" t="str">
        <f>VLOOKUP(I191,'Active Employees'!$B$2:$B$498,1,false)</f>
        <v>romain.belorgey@docker.com</v>
      </c>
      <c r="O191" s="33" t="s">
        <v>1469</v>
      </c>
      <c r="P191" s="31"/>
      <c r="Q191" s="31"/>
      <c r="R191" s="31"/>
      <c r="S191" s="30"/>
      <c r="T191" s="30"/>
      <c r="U191" s="30"/>
      <c r="V191" s="30"/>
      <c r="W191" s="30"/>
      <c r="X191" s="30"/>
      <c r="Y191" s="30"/>
      <c r="Z191" s="30"/>
      <c r="AA191" s="30"/>
    </row>
    <row r="192">
      <c r="A192" s="30"/>
      <c r="B192" s="31" t="s">
        <v>4211</v>
      </c>
      <c r="C192" s="31" t="b">
        <v>0</v>
      </c>
      <c r="D192" s="31" t="s">
        <v>4196</v>
      </c>
      <c r="E192" s="31" t="s">
        <v>4192</v>
      </c>
      <c r="F192" s="31" t="b">
        <v>0</v>
      </c>
      <c r="G192" s="31" t="s">
        <v>1938</v>
      </c>
      <c r="H192" s="31" t="s">
        <v>206</v>
      </c>
      <c r="I192" s="31" t="s">
        <v>206</v>
      </c>
      <c r="J192" s="30" t="s">
        <v>4264</v>
      </c>
      <c r="K192" s="30" t="s">
        <v>4194</v>
      </c>
      <c r="L192" s="30"/>
      <c r="M192" s="30"/>
      <c r="N192" s="31" t="str">
        <f>VLOOKUP(I192,'Active Employees'!$B$2:$B$498,1,false)</f>
        <v>romain.belorgey@docker.com</v>
      </c>
      <c r="O192" s="33" t="s">
        <v>1469</v>
      </c>
      <c r="P192" s="31"/>
      <c r="Q192" s="31"/>
      <c r="R192" s="31"/>
      <c r="S192" s="30"/>
      <c r="T192" s="30"/>
      <c r="U192" s="30"/>
      <c r="V192" s="30"/>
      <c r="W192" s="30"/>
      <c r="X192" s="30"/>
      <c r="Y192" s="30"/>
      <c r="Z192" s="30"/>
      <c r="AA192" s="30"/>
    </row>
    <row r="193">
      <c r="A193" s="30"/>
      <c r="B193" s="31" t="s">
        <v>4212</v>
      </c>
      <c r="C193" s="31" t="b">
        <v>0</v>
      </c>
      <c r="D193" s="31" t="s">
        <v>4196</v>
      </c>
      <c r="E193" s="31" t="s">
        <v>4192</v>
      </c>
      <c r="F193" s="31" t="b">
        <v>0</v>
      </c>
      <c r="G193" s="31" t="s">
        <v>1938</v>
      </c>
      <c r="H193" s="31" t="s">
        <v>206</v>
      </c>
      <c r="I193" s="31" t="s">
        <v>206</v>
      </c>
      <c r="J193" s="30" t="s">
        <v>4264</v>
      </c>
      <c r="K193" s="30" t="s">
        <v>4194</v>
      </c>
      <c r="L193" s="30"/>
      <c r="M193" s="30"/>
      <c r="N193" s="31" t="str">
        <f>VLOOKUP(I193,'Active Employees'!$B$2:$B$498,1,false)</f>
        <v>romain.belorgey@docker.com</v>
      </c>
      <c r="O193" s="33" t="s">
        <v>1469</v>
      </c>
      <c r="P193" s="31"/>
      <c r="Q193" s="31"/>
      <c r="R193" s="31"/>
      <c r="S193" s="30"/>
      <c r="T193" s="30"/>
      <c r="U193" s="30"/>
      <c r="V193" s="30"/>
      <c r="W193" s="30"/>
      <c r="X193" s="30"/>
      <c r="Y193" s="30"/>
      <c r="Z193" s="30"/>
      <c r="AA193" s="30"/>
    </row>
    <row r="194">
      <c r="A194" s="30"/>
      <c r="B194" s="31" t="s">
        <v>4213</v>
      </c>
      <c r="C194" s="31" t="b">
        <v>0</v>
      </c>
      <c r="D194" s="31" t="s">
        <v>4196</v>
      </c>
      <c r="E194" s="31" t="s">
        <v>4192</v>
      </c>
      <c r="F194" s="31" t="b">
        <v>0</v>
      </c>
      <c r="G194" s="31" t="s">
        <v>1938</v>
      </c>
      <c r="H194" s="31" t="s">
        <v>206</v>
      </c>
      <c r="I194" s="31" t="s">
        <v>206</v>
      </c>
      <c r="J194" s="30" t="s">
        <v>4264</v>
      </c>
      <c r="K194" s="30" t="s">
        <v>4194</v>
      </c>
      <c r="L194" s="30"/>
      <c r="M194" s="30"/>
      <c r="N194" s="31" t="str">
        <f>VLOOKUP(I194,'Active Employees'!$B$2:$B$498,1,false)</f>
        <v>romain.belorgey@docker.com</v>
      </c>
      <c r="O194" s="33" t="s">
        <v>1469</v>
      </c>
      <c r="P194" s="31"/>
      <c r="Q194" s="31"/>
      <c r="R194" s="31"/>
      <c r="S194" s="30"/>
      <c r="T194" s="30"/>
      <c r="U194" s="30"/>
      <c r="V194" s="30"/>
      <c r="W194" s="30"/>
      <c r="X194" s="30"/>
      <c r="Y194" s="30"/>
      <c r="Z194" s="30"/>
      <c r="AA194" s="30"/>
    </row>
    <row r="195">
      <c r="A195" s="30"/>
      <c r="B195" s="31" t="s">
        <v>4214</v>
      </c>
      <c r="C195" s="31" t="b">
        <v>0</v>
      </c>
      <c r="D195" s="31" t="s">
        <v>4196</v>
      </c>
      <c r="E195" s="31" t="s">
        <v>4192</v>
      </c>
      <c r="F195" s="31" t="b">
        <v>0</v>
      </c>
      <c r="G195" s="31" t="s">
        <v>1938</v>
      </c>
      <c r="H195" s="31" t="s">
        <v>206</v>
      </c>
      <c r="I195" s="31" t="s">
        <v>206</v>
      </c>
      <c r="J195" s="30" t="s">
        <v>4264</v>
      </c>
      <c r="K195" s="30" t="s">
        <v>4194</v>
      </c>
      <c r="L195" s="30"/>
      <c r="M195" s="30"/>
      <c r="N195" s="31" t="str">
        <f>VLOOKUP(I195,'Active Employees'!$B$2:$B$498,1,false)</f>
        <v>romain.belorgey@docker.com</v>
      </c>
      <c r="O195" s="33" t="s">
        <v>1469</v>
      </c>
      <c r="P195" s="31"/>
      <c r="Q195" s="31"/>
      <c r="R195" s="31"/>
      <c r="S195" s="30"/>
      <c r="T195" s="30"/>
      <c r="U195" s="30"/>
      <c r="V195" s="30"/>
      <c r="W195" s="30"/>
      <c r="X195" s="30"/>
      <c r="Y195" s="30"/>
      <c r="Z195" s="30"/>
      <c r="AA195" s="30"/>
    </row>
    <row r="196">
      <c r="A196" s="30"/>
      <c r="B196" s="31" t="s">
        <v>4215</v>
      </c>
      <c r="C196" s="31" t="b">
        <v>0</v>
      </c>
      <c r="D196" s="31" t="s">
        <v>4196</v>
      </c>
      <c r="E196" s="31" t="s">
        <v>4192</v>
      </c>
      <c r="F196" s="31" t="b">
        <v>0</v>
      </c>
      <c r="G196" s="31" t="s">
        <v>1938</v>
      </c>
      <c r="H196" s="31" t="s">
        <v>206</v>
      </c>
      <c r="I196" s="31" t="s">
        <v>206</v>
      </c>
      <c r="J196" s="30" t="s">
        <v>4264</v>
      </c>
      <c r="K196" s="30" t="s">
        <v>4194</v>
      </c>
      <c r="L196" s="30"/>
      <c r="M196" s="30"/>
      <c r="N196" s="31" t="str">
        <f>VLOOKUP(I196,'Active Employees'!$B$2:$B$498,1,false)</f>
        <v>romain.belorgey@docker.com</v>
      </c>
      <c r="O196" s="33" t="s">
        <v>1469</v>
      </c>
      <c r="P196" s="31"/>
      <c r="Q196" s="31"/>
      <c r="R196" s="31"/>
      <c r="S196" s="30"/>
      <c r="T196" s="30"/>
      <c r="U196" s="30"/>
      <c r="V196" s="30"/>
      <c r="W196" s="30"/>
      <c r="X196" s="30"/>
      <c r="Y196" s="30"/>
      <c r="Z196" s="30"/>
      <c r="AA196" s="30"/>
    </row>
    <row r="197">
      <c r="A197" s="30"/>
      <c r="B197" s="31" t="s">
        <v>4216</v>
      </c>
      <c r="C197" s="31" t="b">
        <v>0</v>
      </c>
      <c r="D197" s="31" t="s">
        <v>4196</v>
      </c>
      <c r="E197" s="31" t="s">
        <v>4192</v>
      </c>
      <c r="F197" s="31" t="b">
        <v>0</v>
      </c>
      <c r="G197" s="31" t="s">
        <v>1938</v>
      </c>
      <c r="H197" s="31" t="s">
        <v>206</v>
      </c>
      <c r="I197" s="31" t="s">
        <v>206</v>
      </c>
      <c r="J197" s="30" t="s">
        <v>4264</v>
      </c>
      <c r="K197" s="30" t="s">
        <v>4194</v>
      </c>
      <c r="L197" s="30"/>
      <c r="M197" s="30"/>
      <c r="N197" s="31" t="str">
        <f>VLOOKUP(I197,'Active Employees'!$B$2:$B$498,1,false)</f>
        <v>romain.belorgey@docker.com</v>
      </c>
      <c r="O197" s="33" t="s">
        <v>1469</v>
      </c>
      <c r="P197" s="31"/>
      <c r="Q197" s="31"/>
      <c r="R197" s="31"/>
      <c r="S197" s="30"/>
      <c r="T197" s="30"/>
      <c r="U197" s="30"/>
      <c r="V197" s="30"/>
      <c r="W197" s="30"/>
      <c r="X197" s="30"/>
      <c r="Y197" s="30"/>
      <c r="Z197" s="30"/>
      <c r="AA197" s="30"/>
    </row>
    <row r="198">
      <c r="A198" s="30"/>
      <c r="B198" s="31" t="s">
        <v>4217</v>
      </c>
      <c r="C198" s="31" t="b">
        <v>0</v>
      </c>
      <c r="D198" s="31" t="s">
        <v>4196</v>
      </c>
      <c r="E198" s="31" t="s">
        <v>4192</v>
      </c>
      <c r="F198" s="31" t="b">
        <v>0</v>
      </c>
      <c r="G198" s="31" t="s">
        <v>1938</v>
      </c>
      <c r="H198" s="31" t="s">
        <v>206</v>
      </c>
      <c r="I198" s="31" t="s">
        <v>206</v>
      </c>
      <c r="J198" s="30" t="s">
        <v>4264</v>
      </c>
      <c r="K198" s="30" t="s">
        <v>4194</v>
      </c>
      <c r="L198" s="30"/>
      <c r="M198" s="30"/>
      <c r="N198" s="31" t="str">
        <f>VLOOKUP(I198,'Active Employees'!$B$2:$B$498,1,false)</f>
        <v>romain.belorgey@docker.com</v>
      </c>
      <c r="O198" s="33" t="s">
        <v>1469</v>
      </c>
      <c r="P198" s="31"/>
      <c r="Q198" s="31"/>
      <c r="R198" s="31"/>
      <c r="S198" s="30"/>
      <c r="T198" s="30"/>
      <c r="U198" s="30"/>
      <c r="V198" s="30"/>
      <c r="W198" s="30"/>
      <c r="X198" s="30"/>
      <c r="Y198" s="30"/>
      <c r="Z198" s="30"/>
      <c r="AA198" s="30"/>
    </row>
    <row r="199">
      <c r="A199" s="30"/>
      <c r="B199" s="31" t="s">
        <v>4218</v>
      </c>
      <c r="C199" s="31" t="b">
        <v>0</v>
      </c>
      <c r="D199" s="31" t="s">
        <v>4196</v>
      </c>
      <c r="E199" s="31" t="s">
        <v>4192</v>
      </c>
      <c r="F199" s="31" t="b">
        <v>0</v>
      </c>
      <c r="G199" s="31" t="s">
        <v>1938</v>
      </c>
      <c r="H199" s="31" t="s">
        <v>206</v>
      </c>
      <c r="I199" s="31" t="s">
        <v>206</v>
      </c>
      <c r="J199" s="30" t="s">
        <v>4264</v>
      </c>
      <c r="K199" s="30" t="s">
        <v>4194</v>
      </c>
      <c r="L199" s="30"/>
      <c r="M199" s="30"/>
      <c r="N199" s="31" t="str">
        <f>VLOOKUP(I199,'Active Employees'!$B$2:$B$498,1,false)</f>
        <v>romain.belorgey@docker.com</v>
      </c>
      <c r="O199" s="33" t="s">
        <v>1469</v>
      </c>
      <c r="P199" s="31"/>
      <c r="Q199" s="31"/>
      <c r="R199" s="31"/>
      <c r="S199" s="30"/>
      <c r="T199" s="30"/>
      <c r="U199" s="30"/>
      <c r="V199" s="30"/>
      <c r="W199" s="30"/>
      <c r="X199" s="30"/>
      <c r="Y199" s="30"/>
      <c r="Z199" s="30"/>
      <c r="AA199" s="30"/>
    </row>
    <row r="200">
      <c r="A200" s="30"/>
      <c r="B200" s="31" t="s">
        <v>4219</v>
      </c>
      <c r="C200" s="31" t="b">
        <v>0</v>
      </c>
      <c r="D200" s="31" t="s">
        <v>4196</v>
      </c>
      <c r="E200" s="31" t="s">
        <v>4192</v>
      </c>
      <c r="F200" s="31" t="b">
        <v>0</v>
      </c>
      <c r="G200" s="31" t="s">
        <v>1938</v>
      </c>
      <c r="H200" s="31" t="s">
        <v>206</v>
      </c>
      <c r="I200" s="31" t="s">
        <v>206</v>
      </c>
      <c r="J200" s="30" t="s">
        <v>4264</v>
      </c>
      <c r="K200" s="30" t="s">
        <v>4194</v>
      </c>
      <c r="L200" s="30"/>
      <c r="M200" s="30"/>
      <c r="N200" s="31" t="str">
        <f>VLOOKUP(I200,'Active Employees'!$B$2:$B$498,1,false)</f>
        <v>romain.belorgey@docker.com</v>
      </c>
      <c r="O200" s="33" t="s">
        <v>1469</v>
      </c>
      <c r="P200" s="31"/>
      <c r="Q200" s="31"/>
      <c r="R200" s="31"/>
      <c r="S200" s="30"/>
      <c r="T200" s="30"/>
      <c r="U200" s="30"/>
      <c r="V200" s="30"/>
      <c r="W200" s="30"/>
      <c r="X200" s="30"/>
      <c r="Y200" s="30"/>
      <c r="Z200" s="30"/>
      <c r="AA200" s="30"/>
    </row>
    <row r="201">
      <c r="A201" s="30"/>
      <c r="B201" s="31" t="s">
        <v>4220</v>
      </c>
      <c r="C201" s="31" t="b">
        <v>0</v>
      </c>
      <c r="D201" s="31" t="s">
        <v>4196</v>
      </c>
      <c r="E201" s="31" t="s">
        <v>4192</v>
      </c>
      <c r="F201" s="31" t="b">
        <v>0</v>
      </c>
      <c r="G201" s="31" t="s">
        <v>1938</v>
      </c>
      <c r="H201" s="31" t="s">
        <v>206</v>
      </c>
      <c r="I201" s="31" t="s">
        <v>206</v>
      </c>
      <c r="J201" s="30" t="s">
        <v>4264</v>
      </c>
      <c r="K201" s="30" t="s">
        <v>4194</v>
      </c>
      <c r="L201" s="30"/>
      <c r="M201" s="30"/>
      <c r="N201" s="31" t="str">
        <f>VLOOKUP(I201,'Active Employees'!$B$2:$B$498,1,false)</f>
        <v>romain.belorgey@docker.com</v>
      </c>
      <c r="O201" s="33" t="s">
        <v>1469</v>
      </c>
      <c r="P201" s="31"/>
      <c r="Q201" s="31"/>
      <c r="R201" s="31"/>
      <c r="S201" s="30"/>
      <c r="T201" s="30"/>
      <c r="U201" s="30"/>
      <c r="V201" s="30"/>
      <c r="W201" s="30"/>
      <c r="X201" s="30"/>
      <c r="Y201" s="30"/>
      <c r="Z201" s="30"/>
      <c r="AA201" s="30"/>
    </row>
    <row r="202">
      <c r="A202" s="30"/>
      <c r="B202" s="31" t="s">
        <v>4221</v>
      </c>
      <c r="C202" s="31" t="b">
        <v>0</v>
      </c>
      <c r="D202" s="31" t="s">
        <v>4196</v>
      </c>
      <c r="E202" s="31" t="s">
        <v>4192</v>
      </c>
      <c r="F202" s="31" t="b">
        <v>0</v>
      </c>
      <c r="G202" s="31" t="s">
        <v>1938</v>
      </c>
      <c r="H202" s="31" t="s">
        <v>206</v>
      </c>
      <c r="I202" s="31" t="s">
        <v>206</v>
      </c>
      <c r="J202" s="30" t="s">
        <v>4264</v>
      </c>
      <c r="K202" s="30" t="s">
        <v>4194</v>
      </c>
      <c r="L202" s="30"/>
      <c r="M202" s="30"/>
      <c r="N202" s="31" t="str">
        <f>VLOOKUP(I202,'Active Employees'!$B$2:$B$498,1,false)</f>
        <v>romain.belorgey@docker.com</v>
      </c>
      <c r="O202" s="33" t="s">
        <v>1469</v>
      </c>
      <c r="P202" s="31"/>
      <c r="Q202" s="31"/>
      <c r="R202" s="31"/>
      <c r="S202" s="30"/>
      <c r="T202" s="30"/>
      <c r="U202" s="30"/>
      <c r="V202" s="30"/>
      <c r="W202" s="30"/>
      <c r="X202" s="30"/>
      <c r="Y202" s="30"/>
      <c r="Z202" s="30"/>
      <c r="AA202" s="30"/>
    </row>
    <row r="203">
      <c r="A203" s="30"/>
      <c r="B203" s="31" t="s">
        <v>4222</v>
      </c>
      <c r="C203" s="31" t="b">
        <v>0</v>
      </c>
      <c r="D203" s="31" t="s">
        <v>4196</v>
      </c>
      <c r="E203" s="31" t="s">
        <v>4192</v>
      </c>
      <c r="F203" s="31" t="b">
        <v>0</v>
      </c>
      <c r="G203" s="31" t="s">
        <v>1938</v>
      </c>
      <c r="H203" s="31" t="s">
        <v>206</v>
      </c>
      <c r="I203" s="31" t="s">
        <v>206</v>
      </c>
      <c r="J203" s="30" t="s">
        <v>4264</v>
      </c>
      <c r="K203" s="30" t="s">
        <v>4194</v>
      </c>
      <c r="L203" s="30"/>
      <c r="M203" s="30"/>
      <c r="N203" s="31" t="str">
        <f>VLOOKUP(I203,'Active Employees'!$B$2:$B$498,1,false)</f>
        <v>romain.belorgey@docker.com</v>
      </c>
      <c r="O203" s="33" t="s">
        <v>1469</v>
      </c>
      <c r="P203" s="31"/>
      <c r="Q203" s="31"/>
      <c r="R203" s="31"/>
      <c r="S203" s="30"/>
      <c r="T203" s="30"/>
      <c r="U203" s="30"/>
      <c r="V203" s="30"/>
      <c r="W203" s="30"/>
      <c r="X203" s="30"/>
      <c r="Y203" s="30"/>
      <c r="Z203" s="30"/>
      <c r="AA203" s="30"/>
    </row>
    <row r="204">
      <c r="A204" s="30"/>
      <c r="B204" s="31" t="s">
        <v>4223</v>
      </c>
      <c r="C204" s="31" t="b">
        <v>0</v>
      </c>
      <c r="D204" s="31" t="s">
        <v>4196</v>
      </c>
      <c r="E204" s="31" t="s">
        <v>4192</v>
      </c>
      <c r="F204" s="31" t="b">
        <v>0</v>
      </c>
      <c r="G204" s="31" t="s">
        <v>1938</v>
      </c>
      <c r="H204" s="31" t="s">
        <v>206</v>
      </c>
      <c r="I204" s="31" t="s">
        <v>206</v>
      </c>
      <c r="J204" s="30" t="s">
        <v>4264</v>
      </c>
      <c r="K204" s="30" t="s">
        <v>4194</v>
      </c>
      <c r="L204" s="30"/>
      <c r="M204" s="30"/>
      <c r="N204" s="31" t="str">
        <f>VLOOKUP(I204,'Active Employees'!$B$2:$B$498,1,false)</f>
        <v>romain.belorgey@docker.com</v>
      </c>
      <c r="O204" s="33" t="s">
        <v>1469</v>
      </c>
      <c r="P204" s="31"/>
      <c r="Q204" s="31"/>
      <c r="R204" s="31"/>
      <c r="S204" s="30"/>
      <c r="T204" s="30"/>
      <c r="U204" s="30"/>
      <c r="V204" s="30"/>
      <c r="W204" s="30"/>
      <c r="X204" s="30"/>
      <c r="Y204" s="30"/>
      <c r="Z204" s="30"/>
      <c r="AA204" s="30"/>
    </row>
    <row r="205">
      <c r="A205" s="30"/>
      <c r="B205" s="31" t="s">
        <v>4224</v>
      </c>
      <c r="C205" s="31" t="b">
        <v>0</v>
      </c>
      <c r="D205" s="31" t="s">
        <v>4196</v>
      </c>
      <c r="E205" s="31" t="s">
        <v>4192</v>
      </c>
      <c r="F205" s="31" t="b">
        <v>0</v>
      </c>
      <c r="G205" s="31" t="s">
        <v>1938</v>
      </c>
      <c r="H205" s="31" t="s">
        <v>206</v>
      </c>
      <c r="I205" s="31" t="s">
        <v>206</v>
      </c>
      <c r="J205" s="30" t="s">
        <v>4264</v>
      </c>
      <c r="K205" s="30" t="s">
        <v>4194</v>
      </c>
      <c r="L205" s="30"/>
      <c r="M205" s="30"/>
      <c r="N205" s="31" t="str">
        <f>VLOOKUP(I205,'Active Employees'!$B$2:$B$498,1,false)</f>
        <v>romain.belorgey@docker.com</v>
      </c>
      <c r="O205" s="33" t="s">
        <v>1469</v>
      </c>
      <c r="P205" s="31"/>
      <c r="Q205" s="31"/>
      <c r="R205" s="31"/>
      <c r="S205" s="30"/>
      <c r="T205" s="30"/>
      <c r="U205" s="30"/>
      <c r="V205" s="30"/>
      <c r="W205" s="30"/>
      <c r="X205" s="30"/>
      <c r="Y205" s="30"/>
      <c r="Z205" s="30"/>
      <c r="AA205" s="30"/>
    </row>
    <row r="206">
      <c r="A206" s="30"/>
      <c r="B206" s="31" t="s">
        <v>4225</v>
      </c>
      <c r="C206" s="31" t="b">
        <v>0</v>
      </c>
      <c r="D206" s="31" t="s">
        <v>4196</v>
      </c>
      <c r="E206" s="31" t="s">
        <v>4192</v>
      </c>
      <c r="F206" s="31" t="b">
        <v>0</v>
      </c>
      <c r="G206" s="31" t="s">
        <v>1938</v>
      </c>
      <c r="H206" s="31" t="s">
        <v>206</v>
      </c>
      <c r="I206" s="31" t="s">
        <v>206</v>
      </c>
      <c r="J206" s="30" t="s">
        <v>4264</v>
      </c>
      <c r="K206" s="30" t="s">
        <v>4194</v>
      </c>
      <c r="L206" s="30"/>
      <c r="M206" s="30"/>
      <c r="N206" s="31" t="str">
        <f>VLOOKUP(I206,'Active Employees'!$B$2:$B$498,1,false)</f>
        <v>romain.belorgey@docker.com</v>
      </c>
      <c r="O206" s="33" t="s">
        <v>1469</v>
      </c>
      <c r="P206" s="31"/>
      <c r="Q206" s="31"/>
      <c r="R206" s="31"/>
      <c r="S206" s="30"/>
      <c r="T206" s="30"/>
      <c r="U206" s="30"/>
      <c r="V206" s="30"/>
      <c r="W206" s="30"/>
      <c r="X206" s="30"/>
      <c r="Y206" s="30"/>
      <c r="Z206" s="30"/>
      <c r="AA206" s="30"/>
    </row>
    <row r="207">
      <c r="A207" s="30"/>
      <c r="B207" s="31" t="s">
        <v>4226</v>
      </c>
      <c r="C207" s="31" t="b">
        <v>0</v>
      </c>
      <c r="D207" s="31" t="s">
        <v>4196</v>
      </c>
      <c r="E207" s="31" t="s">
        <v>4192</v>
      </c>
      <c r="F207" s="31" t="b">
        <v>0</v>
      </c>
      <c r="G207" s="31" t="s">
        <v>1938</v>
      </c>
      <c r="H207" s="31" t="s">
        <v>206</v>
      </c>
      <c r="I207" s="31" t="s">
        <v>206</v>
      </c>
      <c r="J207" s="30" t="s">
        <v>4264</v>
      </c>
      <c r="K207" s="30" t="s">
        <v>4194</v>
      </c>
      <c r="L207" s="30"/>
      <c r="M207" s="30"/>
      <c r="N207" s="31" t="str">
        <f>VLOOKUP(I207,'Active Employees'!$B$2:$B$498,1,false)</f>
        <v>romain.belorgey@docker.com</v>
      </c>
      <c r="O207" s="33" t="s">
        <v>1469</v>
      </c>
      <c r="P207" s="31"/>
      <c r="Q207" s="31"/>
      <c r="R207" s="31"/>
      <c r="S207" s="30"/>
      <c r="T207" s="30"/>
      <c r="U207" s="30"/>
      <c r="V207" s="30"/>
      <c r="W207" s="30"/>
      <c r="X207" s="30"/>
      <c r="Y207" s="30"/>
      <c r="Z207" s="30"/>
      <c r="AA207" s="30"/>
    </row>
    <row r="208">
      <c r="A208" s="30"/>
      <c r="B208" s="31" t="s">
        <v>4227</v>
      </c>
      <c r="C208" s="31" t="b">
        <v>0</v>
      </c>
      <c r="D208" s="31" t="s">
        <v>4196</v>
      </c>
      <c r="E208" s="31" t="s">
        <v>4192</v>
      </c>
      <c r="F208" s="31" t="b">
        <v>0</v>
      </c>
      <c r="G208" s="31" t="s">
        <v>1938</v>
      </c>
      <c r="H208" s="31" t="s">
        <v>206</v>
      </c>
      <c r="I208" s="31" t="s">
        <v>206</v>
      </c>
      <c r="J208" s="30" t="s">
        <v>4264</v>
      </c>
      <c r="K208" s="30" t="s">
        <v>4194</v>
      </c>
      <c r="L208" s="30"/>
      <c r="M208" s="30"/>
      <c r="N208" s="31" t="str">
        <f>VLOOKUP(I208,'Active Employees'!$B$2:$B$498,1,false)</f>
        <v>romain.belorgey@docker.com</v>
      </c>
      <c r="O208" s="33" t="s">
        <v>1469</v>
      </c>
      <c r="P208" s="31"/>
      <c r="Q208" s="31"/>
      <c r="R208" s="31"/>
      <c r="S208" s="30"/>
      <c r="T208" s="30"/>
      <c r="U208" s="30"/>
      <c r="V208" s="30"/>
      <c r="W208" s="30"/>
      <c r="X208" s="30"/>
      <c r="Y208" s="30"/>
      <c r="Z208" s="30"/>
      <c r="AA208" s="30"/>
    </row>
    <row r="209">
      <c r="A209" s="30"/>
      <c r="B209" s="31" t="s">
        <v>4228</v>
      </c>
      <c r="C209" s="31" t="b">
        <v>0</v>
      </c>
      <c r="D209" s="31" t="s">
        <v>4196</v>
      </c>
      <c r="E209" s="31" t="s">
        <v>4192</v>
      </c>
      <c r="F209" s="31" t="b">
        <v>0</v>
      </c>
      <c r="G209" s="31" t="s">
        <v>1938</v>
      </c>
      <c r="H209" s="31" t="s">
        <v>206</v>
      </c>
      <c r="I209" s="31" t="s">
        <v>206</v>
      </c>
      <c r="J209" s="30" t="s">
        <v>4264</v>
      </c>
      <c r="K209" s="30" t="s">
        <v>4194</v>
      </c>
      <c r="L209" s="30"/>
      <c r="M209" s="30"/>
      <c r="N209" s="31" t="str">
        <f>VLOOKUP(I209,'Active Employees'!$B$2:$B$498,1,false)</f>
        <v>romain.belorgey@docker.com</v>
      </c>
      <c r="O209" s="33" t="s">
        <v>1469</v>
      </c>
      <c r="P209" s="31"/>
      <c r="Q209" s="31"/>
      <c r="R209" s="31"/>
      <c r="S209" s="30"/>
      <c r="T209" s="30"/>
      <c r="U209" s="30"/>
      <c r="V209" s="30"/>
      <c r="W209" s="30"/>
      <c r="X209" s="30"/>
      <c r="Y209" s="30"/>
      <c r="Z209" s="30"/>
      <c r="AA209" s="30"/>
    </row>
    <row r="210">
      <c r="A210" s="30"/>
      <c r="B210" s="31" t="s">
        <v>4229</v>
      </c>
      <c r="C210" s="31" t="b">
        <v>0</v>
      </c>
      <c r="D210" s="31" t="s">
        <v>4196</v>
      </c>
      <c r="E210" s="31" t="s">
        <v>4192</v>
      </c>
      <c r="F210" s="31" t="b">
        <v>0</v>
      </c>
      <c r="G210" s="31" t="s">
        <v>1938</v>
      </c>
      <c r="H210" s="31" t="s">
        <v>206</v>
      </c>
      <c r="I210" s="31" t="s">
        <v>206</v>
      </c>
      <c r="J210" s="30" t="s">
        <v>4264</v>
      </c>
      <c r="K210" s="30" t="s">
        <v>4194</v>
      </c>
      <c r="L210" s="30"/>
      <c r="M210" s="30"/>
      <c r="N210" s="31" t="str">
        <f>VLOOKUP(I210,'Active Employees'!$B$2:$B$498,1,false)</f>
        <v>romain.belorgey@docker.com</v>
      </c>
      <c r="O210" s="33" t="s">
        <v>1469</v>
      </c>
      <c r="P210" s="31"/>
      <c r="Q210" s="31"/>
      <c r="R210" s="31"/>
      <c r="S210" s="30"/>
      <c r="T210" s="30"/>
      <c r="U210" s="30"/>
      <c r="V210" s="30"/>
      <c r="W210" s="30"/>
      <c r="X210" s="30"/>
      <c r="Y210" s="30"/>
      <c r="Z210" s="30"/>
      <c r="AA210" s="30"/>
    </row>
    <row r="211">
      <c r="A211" s="30"/>
      <c r="B211" s="31" t="s">
        <v>4230</v>
      </c>
      <c r="C211" s="31" t="b">
        <v>0</v>
      </c>
      <c r="D211" s="31" t="s">
        <v>4191</v>
      </c>
      <c r="E211" s="31" t="s">
        <v>4192</v>
      </c>
      <c r="F211" s="31" t="b">
        <v>0</v>
      </c>
      <c r="G211" s="31" t="s">
        <v>1938</v>
      </c>
      <c r="H211" s="31" t="s">
        <v>206</v>
      </c>
      <c r="I211" s="31" t="s">
        <v>206</v>
      </c>
      <c r="J211" s="30" t="s">
        <v>4264</v>
      </c>
      <c r="K211" s="30" t="s">
        <v>4232</v>
      </c>
      <c r="L211" s="30"/>
      <c r="M211" s="30"/>
      <c r="N211" s="31" t="str">
        <f>VLOOKUP(I211,'Active Employees'!$B$2:$B$498,1,false)</f>
        <v>romain.belorgey@docker.com</v>
      </c>
      <c r="O211" s="33" t="s">
        <v>1469</v>
      </c>
      <c r="P211" s="31"/>
      <c r="Q211" s="31"/>
      <c r="R211" s="31"/>
      <c r="S211" s="30"/>
      <c r="T211" s="30"/>
      <c r="U211" s="30"/>
      <c r="V211" s="30"/>
      <c r="W211" s="30"/>
      <c r="X211" s="30"/>
      <c r="Y211" s="30"/>
      <c r="Z211" s="30"/>
      <c r="AA211" s="30"/>
    </row>
    <row r="212">
      <c r="A212" s="30"/>
      <c r="B212" s="31" t="s">
        <v>4230</v>
      </c>
      <c r="C212" s="31" t="b">
        <v>0</v>
      </c>
      <c r="D212" s="31" t="s">
        <v>4238</v>
      </c>
      <c r="E212" s="31" t="s">
        <v>4192</v>
      </c>
      <c r="F212" s="31" t="b">
        <v>0</v>
      </c>
      <c r="G212" s="31" t="s">
        <v>1938</v>
      </c>
      <c r="H212" s="31" t="s">
        <v>206</v>
      </c>
      <c r="I212" s="31" t="s">
        <v>206</v>
      </c>
      <c r="J212" s="30" t="s">
        <v>4264</v>
      </c>
      <c r="K212" s="30" t="s">
        <v>4232</v>
      </c>
      <c r="L212" s="30"/>
      <c r="M212" s="30"/>
      <c r="N212" s="31" t="str">
        <f>VLOOKUP(I212,'Active Employees'!$B$2:$B$498,1,false)</f>
        <v>romain.belorgey@docker.com</v>
      </c>
      <c r="O212" s="33" t="s">
        <v>1469</v>
      </c>
      <c r="P212" s="31"/>
      <c r="Q212" s="31"/>
      <c r="R212" s="31"/>
      <c r="S212" s="30"/>
      <c r="T212" s="30"/>
      <c r="U212" s="30"/>
      <c r="V212" s="30"/>
      <c r="W212" s="30"/>
      <c r="X212" s="30"/>
      <c r="Y212" s="30"/>
      <c r="Z212" s="30"/>
      <c r="AA212" s="30"/>
    </row>
    <row r="213">
      <c r="A213" s="30"/>
      <c r="B213" s="31" t="s">
        <v>4230</v>
      </c>
      <c r="C213" s="31" t="b">
        <v>0</v>
      </c>
      <c r="D213" s="31" t="s">
        <v>4196</v>
      </c>
      <c r="E213" s="31" t="s">
        <v>4192</v>
      </c>
      <c r="F213" s="31" t="b">
        <v>0</v>
      </c>
      <c r="G213" s="31" t="s">
        <v>1938</v>
      </c>
      <c r="H213" s="31" t="s">
        <v>206</v>
      </c>
      <c r="I213" s="31" t="s">
        <v>206</v>
      </c>
      <c r="J213" s="30" t="s">
        <v>4264</v>
      </c>
      <c r="K213" s="30" t="s">
        <v>4232</v>
      </c>
      <c r="L213" s="30"/>
      <c r="M213" s="30"/>
      <c r="N213" s="31" t="str">
        <f>VLOOKUP(I213,'Active Employees'!$B$2:$B$498,1,false)</f>
        <v>romain.belorgey@docker.com</v>
      </c>
      <c r="O213" s="33" t="s">
        <v>1469</v>
      </c>
      <c r="P213" s="31"/>
      <c r="Q213" s="31"/>
      <c r="R213" s="31"/>
      <c r="S213" s="30"/>
      <c r="T213" s="30"/>
      <c r="U213" s="30"/>
      <c r="V213" s="30"/>
      <c r="W213" s="30"/>
      <c r="X213" s="30"/>
      <c r="Y213" s="30"/>
      <c r="Z213" s="30"/>
      <c r="AA213" s="30"/>
    </row>
    <row r="214">
      <c r="A214" s="30"/>
      <c r="B214" s="31" t="s">
        <v>4230</v>
      </c>
      <c r="C214" s="31" t="b">
        <v>0</v>
      </c>
      <c r="D214" s="31" t="s">
        <v>4233</v>
      </c>
      <c r="E214" s="31" t="s">
        <v>4192</v>
      </c>
      <c r="F214" s="31" t="b">
        <v>0</v>
      </c>
      <c r="G214" s="31" t="s">
        <v>4031</v>
      </c>
      <c r="H214" s="31" t="s">
        <v>1197</v>
      </c>
      <c r="I214" s="31" t="s">
        <v>1197</v>
      </c>
      <c r="J214" s="30" t="s">
        <v>4265</v>
      </c>
      <c r="K214" s="30" t="s">
        <v>4232</v>
      </c>
      <c r="L214" s="30"/>
      <c r="M214" s="30"/>
      <c r="N214" s="31" t="str">
        <f>VLOOKUP(I214,'Active Employees'!$B$2:$B$498,1,false)</f>
        <v>ross.russell@docker.com</v>
      </c>
      <c r="O214" s="33" t="s">
        <v>1469</v>
      </c>
      <c r="P214" s="31"/>
      <c r="Q214" s="31"/>
      <c r="R214" s="31"/>
      <c r="S214" s="30"/>
      <c r="T214" s="30"/>
      <c r="U214" s="30"/>
      <c r="V214" s="30"/>
      <c r="W214" s="30"/>
      <c r="X214" s="30"/>
      <c r="Y214" s="30"/>
      <c r="Z214" s="30"/>
      <c r="AA214" s="30"/>
    </row>
    <row r="215">
      <c r="A215" s="30"/>
      <c r="B215" s="31" t="s">
        <v>4266</v>
      </c>
      <c r="C215" s="31" t="b">
        <v>0</v>
      </c>
      <c r="D215" s="31" t="s">
        <v>4191</v>
      </c>
      <c r="E215" s="31" t="s">
        <v>4192</v>
      </c>
      <c r="F215" s="31" t="b">
        <v>0</v>
      </c>
      <c r="G215" s="31" t="s">
        <v>304</v>
      </c>
      <c r="H215" s="31" t="s">
        <v>146</v>
      </c>
      <c r="I215" s="31" t="s">
        <v>146</v>
      </c>
      <c r="J215" s="30" t="s">
        <v>4267</v>
      </c>
      <c r="K215" s="30" t="s">
        <v>4232</v>
      </c>
      <c r="L215" s="30"/>
      <c r="M215" s="30"/>
      <c r="N215" s="31" t="str">
        <f>VLOOKUP(I215,'Active Employees'!$B$2:$B$498,1,false)</f>
        <v>shawn.axsom@docker.com</v>
      </c>
      <c r="O215" s="33" t="s">
        <v>1469</v>
      </c>
      <c r="P215" s="31"/>
      <c r="Q215" s="31"/>
      <c r="R215" s="31"/>
      <c r="S215" s="30"/>
      <c r="T215" s="30"/>
      <c r="U215" s="30"/>
      <c r="V215" s="30"/>
      <c r="W215" s="30"/>
      <c r="X215" s="30"/>
      <c r="Y215" s="30"/>
      <c r="Z215" s="30"/>
      <c r="AA215" s="30"/>
    </row>
    <row r="216">
      <c r="A216" s="30"/>
      <c r="B216" s="31" t="s">
        <v>4230</v>
      </c>
      <c r="C216" s="31" t="b">
        <v>0</v>
      </c>
      <c r="D216" s="31" t="s">
        <v>4231</v>
      </c>
      <c r="E216" s="31" t="s">
        <v>4192</v>
      </c>
      <c r="F216" s="31" t="b">
        <v>0</v>
      </c>
      <c r="G216" s="31" t="s">
        <v>1505</v>
      </c>
      <c r="H216" s="31" t="s">
        <v>1255</v>
      </c>
      <c r="I216" s="31" t="s">
        <v>1255</v>
      </c>
      <c r="J216" s="30" t="s">
        <v>4268</v>
      </c>
      <c r="K216" s="30" t="s">
        <v>4232</v>
      </c>
      <c r="L216" s="30"/>
      <c r="M216" s="30"/>
      <c r="N216" s="31" t="str">
        <f>VLOOKUP(I216,'Active Employees'!$B$2:$B$498,1,false)</f>
        <v>shawn.shakir@docker.com</v>
      </c>
      <c r="O216" s="33" t="s">
        <v>1469</v>
      </c>
      <c r="P216" s="31"/>
      <c r="Q216" s="31"/>
      <c r="R216" s="31"/>
      <c r="S216" s="30"/>
      <c r="T216" s="30"/>
      <c r="U216" s="30"/>
      <c r="V216" s="30"/>
      <c r="W216" s="30"/>
      <c r="X216" s="30"/>
      <c r="Y216" s="30"/>
      <c r="Z216" s="30"/>
      <c r="AA216" s="30"/>
    </row>
    <row r="217">
      <c r="A217" s="30"/>
      <c r="B217" s="31" t="s">
        <v>4230</v>
      </c>
      <c r="C217" s="31" t="b">
        <v>0</v>
      </c>
      <c r="D217" s="31" t="s">
        <v>4231</v>
      </c>
      <c r="E217" s="31" t="s">
        <v>4192</v>
      </c>
      <c r="F217" s="31" t="b">
        <v>0</v>
      </c>
      <c r="G217" s="31" t="s">
        <v>3953</v>
      </c>
      <c r="H217" s="31" t="s">
        <v>1608</v>
      </c>
      <c r="I217" s="31" t="s">
        <v>1608</v>
      </c>
      <c r="J217" s="30" t="s">
        <v>4269</v>
      </c>
      <c r="K217" s="30" t="s">
        <v>4232</v>
      </c>
      <c r="L217" s="30"/>
      <c r="M217" s="30"/>
      <c r="N217" s="31" t="str">
        <f>VLOOKUP(I217,'Active Employees'!$B$2:$B$498,1,false)</f>
        <v>#N/A</v>
      </c>
      <c r="O217" s="33" t="s">
        <v>1469</v>
      </c>
      <c r="P217" s="31"/>
      <c r="Q217" s="31"/>
      <c r="R217" s="31"/>
      <c r="S217" s="30"/>
      <c r="T217" s="30"/>
      <c r="U217" s="30"/>
      <c r="V217" s="30"/>
      <c r="W217" s="30"/>
      <c r="X217" s="30"/>
      <c r="Y217" s="30"/>
      <c r="Z217" s="30"/>
      <c r="AA217" s="30"/>
    </row>
    <row r="218">
      <c r="A218" s="30"/>
      <c r="B218" s="31" t="s">
        <v>4190</v>
      </c>
      <c r="C218" s="31" t="b">
        <v>0</v>
      </c>
      <c r="D218" s="31" t="s">
        <v>4191</v>
      </c>
      <c r="E218" s="31" t="s">
        <v>4192</v>
      </c>
      <c r="F218" s="31" t="b">
        <v>0</v>
      </c>
      <c r="G218" s="31" t="s">
        <v>1953</v>
      </c>
      <c r="H218" s="31" t="s">
        <v>1225</v>
      </c>
      <c r="I218" s="31" t="s">
        <v>1225</v>
      </c>
      <c r="J218" s="30" t="s">
        <v>4270</v>
      </c>
      <c r="K218" s="30" t="s">
        <v>4194</v>
      </c>
      <c r="L218" s="30"/>
      <c r="M218" s="30"/>
      <c r="N218" s="31" t="str">
        <f>VLOOKUP(I218,'Active Employees'!$B$2:$B$498,1,false)</f>
        <v>stefan.scherer@docker.com</v>
      </c>
      <c r="O218" s="33" t="s">
        <v>1469</v>
      </c>
      <c r="P218" s="31"/>
      <c r="Q218" s="31"/>
      <c r="R218" s="31"/>
      <c r="S218" s="30"/>
      <c r="T218" s="30"/>
      <c r="U218" s="30"/>
      <c r="V218" s="30"/>
      <c r="W218" s="30"/>
      <c r="X218" s="30"/>
      <c r="Y218" s="30"/>
      <c r="Z218" s="30"/>
      <c r="AA218" s="30"/>
    </row>
    <row r="219">
      <c r="A219" s="30"/>
      <c r="B219" s="31" t="s">
        <v>4195</v>
      </c>
      <c r="C219" s="31" t="b">
        <v>0</v>
      </c>
      <c r="D219" s="31" t="s">
        <v>4196</v>
      </c>
      <c r="E219" s="31" t="s">
        <v>4192</v>
      </c>
      <c r="F219" s="31" t="b">
        <v>0</v>
      </c>
      <c r="G219" s="31" t="s">
        <v>1953</v>
      </c>
      <c r="H219" s="31" t="s">
        <v>1225</v>
      </c>
      <c r="I219" s="31" t="s">
        <v>1225</v>
      </c>
      <c r="J219" s="30" t="s">
        <v>4270</v>
      </c>
      <c r="K219" s="30" t="s">
        <v>4194</v>
      </c>
      <c r="L219" s="30"/>
      <c r="M219" s="30"/>
      <c r="N219" s="31" t="str">
        <f>VLOOKUP(I219,'Active Employees'!$B$2:$B$498,1,false)</f>
        <v>stefan.scherer@docker.com</v>
      </c>
      <c r="O219" s="33" t="s">
        <v>1469</v>
      </c>
      <c r="P219" s="31"/>
      <c r="Q219" s="31"/>
      <c r="R219" s="31"/>
      <c r="S219" s="30"/>
      <c r="T219" s="30"/>
      <c r="U219" s="30"/>
      <c r="V219" s="30"/>
      <c r="W219" s="30"/>
      <c r="X219" s="30"/>
      <c r="Y219" s="30"/>
      <c r="Z219" s="30"/>
      <c r="AA219" s="30"/>
    </row>
    <row r="220">
      <c r="A220" s="30"/>
      <c r="B220" s="31" t="s">
        <v>4197</v>
      </c>
      <c r="C220" s="31" t="b">
        <v>0</v>
      </c>
      <c r="D220" s="31" t="s">
        <v>4196</v>
      </c>
      <c r="E220" s="31" t="s">
        <v>4192</v>
      </c>
      <c r="F220" s="31" t="b">
        <v>0</v>
      </c>
      <c r="G220" s="31" t="s">
        <v>1953</v>
      </c>
      <c r="H220" s="31" t="s">
        <v>1225</v>
      </c>
      <c r="I220" s="31" t="s">
        <v>1225</v>
      </c>
      <c r="J220" s="30" t="s">
        <v>4270</v>
      </c>
      <c r="K220" s="30" t="s">
        <v>4194</v>
      </c>
      <c r="L220" s="30"/>
      <c r="M220" s="30"/>
      <c r="N220" s="31" t="str">
        <f>VLOOKUP(I220,'Active Employees'!$B$2:$B$498,1,false)</f>
        <v>stefan.scherer@docker.com</v>
      </c>
      <c r="O220" s="33" t="s">
        <v>1469</v>
      </c>
      <c r="P220" s="31"/>
      <c r="Q220" s="31"/>
      <c r="R220" s="31"/>
      <c r="S220" s="30"/>
      <c r="T220" s="30"/>
      <c r="U220" s="30"/>
      <c r="V220" s="30"/>
      <c r="W220" s="30"/>
      <c r="X220" s="30"/>
      <c r="Y220" s="30"/>
      <c r="Z220" s="30"/>
      <c r="AA220" s="30"/>
    </row>
    <row r="221">
      <c r="A221" s="30"/>
      <c r="B221" s="31" t="s">
        <v>4198</v>
      </c>
      <c r="C221" s="31" t="b">
        <v>0</v>
      </c>
      <c r="D221" s="31" t="s">
        <v>4196</v>
      </c>
      <c r="E221" s="31" t="s">
        <v>4192</v>
      </c>
      <c r="F221" s="31" t="b">
        <v>0</v>
      </c>
      <c r="G221" s="31" t="s">
        <v>1953</v>
      </c>
      <c r="H221" s="31" t="s">
        <v>1225</v>
      </c>
      <c r="I221" s="31" t="s">
        <v>1225</v>
      </c>
      <c r="J221" s="30" t="s">
        <v>4270</v>
      </c>
      <c r="K221" s="30" t="s">
        <v>4194</v>
      </c>
      <c r="L221" s="30"/>
      <c r="M221" s="30"/>
      <c r="N221" s="31" t="str">
        <f>VLOOKUP(I221,'Active Employees'!$B$2:$B$498,1,false)</f>
        <v>stefan.scherer@docker.com</v>
      </c>
      <c r="O221" s="33" t="s">
        <v>1469</v>
      </c>
      <c r="P221" s="31"/>
      <c r="Q221" s="31"/>
      <c r="R221" s="31"/>
      <c r="S221" s="30"/>
      <c r="T221" s="30"/>
      <c r="U221" s="30"/>
      <c r="V221" s="30"/>
      <c r="W221" s="30"/>
      <c r="X221" s="30"/>
      <c r="Y221" s="30"/>
      <c r="Z221" s="30"/>
      <c r="AA221" s="30"/>
    </row>
    <row r="222">
      <c r="A222" s="30"/>
      <c r="B222" s="31" t="s">
        <v>4199</v>
      </c>
      <c r="C222" s="31" t="b">
        <v>0</v>
      </c>
      <c r="D222" s="31" t="s">
        <v>4196</v>
      </c>
      <c r="E222" s="31" t="s">
        <v>4192</v>
      </c>
      <c r="F222" s="31" t="b">
        <v>0</v>
      </c>
      <c r="G222" s="31" t="s">
        <v>1953</v>
      </c>
      <c r="H222" s="31" t="s">
        <v>1225</v>
      </c>
      <c r="I222" s="31" t="s">
        <v>1225</v>
      </c>
      <c r="J222" s="30" t="s">
        <v>4270</v>
      </c>
      <c r="K222" s="30" t="s">
        <v>4194</v>
      </c>
      <c r="L222" s="30"/>
      <c r="M222" s="30"/>
      <c r="N222" s="31" t="str">
        <f>VLOOKUP(I222,'Active Employees'!$B$2:$B$498,1,false)</f>
        <v>stefan.scherer@docker.com</v>
      </c>
      <c r="O222" s="33" t="s">
        <v>1469</v>
      </c>
      <c r="P222" s="31"/>
      <c r="Q222" s="31"/>
      <c r="R222" s="31"/>
      <c r="S222" s="30"/>
      <c r="T222" s="30"/>
      <c r="U222" s="30"/>
      <c r="V222" s="30"/>
      <c r="W222" s="30"/>
      <c r="X222" s="30"/>
      <c r="Y222" s="30"/>
      <c r="Z222" s="30"/>
      <c r="AA222" s="30"/>
    </row>
    <row r="223">
      <c r="A223" s="30"/>
      <c r="B223" s="31" t="s">
        <v>4200</v>
      </c>
      <c r="C223" s="31" t="b">
        <v>0</v>
      </c>
      <c r="D223" s="31" t="s">
        <v>4196</v>
      </c>
      <c r="E223" s="31" t="s">
        <v>4192</v>
      </c>
      <c r="F223" s="31" t="b">
        <v>0</v>
      </c>
      <c r="G223" s="31" t="s">
        <v>1953</v>
      </c>
      <c r="H223" s="31" t="s">
        <v>1225</v>
      </c>
      <c r="I223" s="31" t="s">
        <v>1225</v>
      </c>
      <c r="J223" s="30" t="s">
        <v>4270</v>
      </c>
      <c r="K223" s="30" t="s">
        <v>4194</v>
      </c>
      <c r="L223" s="30"/>
      <c r="M223" s="30"/>
      <c r="N223" s="31" t="str">
        <f>VLOOKUP(I223,'Active Employees'!$B$2:$B$498,1,false)</f>
        <v>stefan.scherer@docker.com</v>
      </c>
      <c r="O223" s="33" t="s">
        <v>1469</v>
      </c>
      <c r="P223" s="31"/>
      <c r="Q223" s="31"/>
      <c r="R223" s="31"/>
      <c r="S223" s="30"/>
      <c r="T223" s="30"/>
      <c r="U223" s="30"/>
      <c r="V223" s="30"/>
      <c r="W223" s="30"/>
      <c r="X223" s="30"/>
      <c r="Y223" s="30"/>
      <c r="Z223" s="30"/>
      <c r="AA223" s="30"/>
    </row>
    <row r="224">
      <c r="A224" s="30"/>
      <c r="B224" s="31" t="s">
        <v>4201</v>
      </c>
      <c r="C224" s="31" t="b">
        <v>0</v>
      </c>
      <c r="D224" s="31" t="s">
        <v>4196</v>
      </c>
      <c r="E224" s="31" t="s">
        <v>4192</v>
      </c>
      <c r="F224" s="31" t="b">
        <v>0</v>
      </c>
      <c r="G224" s="31" t="s">
        <v>1953</v>
      </c>
      <c r="H224" s="31" t="s">
        <v>1225</v>
      </c>
      <c r="I224" s="31" t="s">
        <v>1225</v>
      </c>
      <c r="J224" s="30" t="s">
        <v>4270</v>
      </c>
      <c r="K224" s="30" t="s">
        <v>4194</v>
      </c>
      <c r="L224" s="30"/>
      <c r="M224" s="30"/>
      <c r="N224" s="31" t="str">
        <f>VLOOKUP(I224,'Active Employees'!$B$2:$B$498,1,false)</f>
        <v>stefan.scherer@docker.com</v>
      </c>
      <c r="O224" s="33" t="s">
        <v>1469</v>
      </c>
      <c r="P224" s="31"/>
      <c r="Q224" s="31"/>
      <c r="R224" s="31"/>
      <c r="S224" s="30"/>
      <c r="T224" s="30"/>
      <c r="U224" s="30"/>
      <c r="V224" s="30"/>
      <c r="W224" s="30"/>
      <c r="X224" s="30"/>
      <c r="Y224" s="30"/>
      <c r="Z224" s="30"/>
      <c r="AA224" s="30"/>
    </row>
    <row r="225">
      <c r="A225" s="30"/>
      <c r="B225" s="31" t="s">
        <v>4202</v>
      </c>
      <c r="C225" s="31" t="b">
        <v>0</v>
      </c>
      <c r="D225" s="31" t="s">
        <v>4196</v>
      </c>
      <c r="E225" s="31" t="s">
        <v>4192</v>
      </c>
      <c r="F225" s="31" t="b">
        <v>0</v>
      </c>
      <c r="G225" s="31" t="s">
        <v>1953</v>
      </c>
      <c r="H225" s="31" t="s">
        <v>1225</v>
      </c>
      <c r="I225" s="31" t="s">
        <v>1225</v>
      </c>
      <c r="J225" s="30" t="s">
        <v>4270</v>
      </c>
      <c r="K225" s="30" t="s">
        <v>4194</v>
      </c>
      <c r="L225" s="30"/>
      <c r="M225" s="30"/>
      <c r="N225" s="31" t="str">
        <f>VLOOKUP(I225,'Active Employees'!$B$2:$B$498,1,false)</f>
        <v>stefan.scherer@docker.com</v>
      </c>
      <c r="O225" s="33" t="s">
        <v>1469</v>
      </c>
      <c r="P225" s="31"/>
      <c r="Q225" s="31"/>
      <c r="R225" s="31"/>
      <c r="S225" s="30"/>
      <c r="T225" s="30"/>
      <c r="U225" s="30"/>
      <c r="V225" s="30"/>
      <c r="W225" s="30"/>
      <c r="X225" s="30"/>
      <c r="Y225" s="30"/>
      <c r="Z225" s="30"/>
      <c r="AA225" s="30"/>
    </row>
    <row r="226">
      <c r="A226" s="30"/>
      <c r="B226" s="31" t="s">
        <v>4203</v>
      </c>
      <c r="C226" s="31" t="b">
        <v>0</v>
      </c>
      <c r="D226" s="31" t="s">
        <v>4196</v>
      </c>
      <c r="E226" s="31" t="s">
        <v>4192</v>
      </c>
      <c r="F226" s="31" t="b">
        <v>0</v>
      </c>
      <c r="G226" s="31" t="s">
        <v>1953</v>
      </c>
      <c r="H226" s="31" t="s">
        <v>1225</v>
      </c>
      <c r="I226" s="31" t="s">
        <v>1225</v>
      </c>
      <c r="J226" s="30" t="s">
        <v>4270</v>
      </c>
      <c r="K226" s="30" t="s">
        <v>4194</v>
      </c>
      <c r="L226" s="30"/>
      <c r="M226" s="30"/>
      <c r="N226" s="31" t="str">
        <f>VLOOKUP(I226,'Active Employees'!$B$2:$B$498,1,false)</f>
        <v>stefan.scherer@docker.com</v>
      </c>
      <c r="O226" s="33" t="s">
        <v>1469</v>
      </c>
      <c r="P226" s="31"/>
      <c r="Q226" s="31"/>
      <c r="R226" s="31"/>
      <c r="S226" s="30"/>
      <c r="T226" s="30"/>
      <c r="U226" s="30"/>
      <c r="V226" s="30"/>
      <c r="W226" s="30"/>
      <c r="X226" s="30"/>
      <c r="Y226" s="30"/>
      <c r="Z226" s="30"/>
      <c r="AA226" s="30"/>
    </row>
    <row r="227">
      <c r="A227" s="30"/>
      <c r="B227" s="31" t="s">
        <v>4204</v>
      </c>
      <c r="C227" s="31" t="b">
        <v>0</v>
      </c>
      <c r="D227" s="31" t="s">
        <v>4196</v>
      </c>
      <c r="E227" s="31" t="s">
        <v>4192</v>
      </c>
      <c r="F227" s="31" t="b">
        <v>0</v>
      </c>
      <c r="G227" s="31" t="s">
        <v>1953</v>
      </c>
      <c r="H227" s="31" t="s">
        <v>1225</v>
      </c>
      <c r="I227" s="31" t="s">
        <v>1225</v>
      </c>
      <c r="J227" s="30" t="s">
        <v>4270</v>
      </c>
      <c r="K227" s="30" t="s">
        <v>4194</v>
      </c>
      <c r="L227" s="30"/>
      <c r="M227" s="30"/>
      <c r="N227" s="31" t="str">
        <f>VLOOKUP(I227,'Active Employees'!$B$2:$B$498,1,false)</f>
        <v>stefan.scherer@docker.com</v>
      </c>
      <c r="O227" s="33" t="s">
        <v>1469</v>
      </c>
      <c r="P227" s="31"/>
      <c r="Q227" s="31"/>
      <c r="R227" s="31"/>
      <c r="S227" s="30"/>
      <c r="T227" s="30"/>
      <c r="U227" s="30"/>
      <c r="V227" s="30"/>
      <c r="W227" s="30"/>
      <c r="X227" s="30"/>
      <c r="Y227" s="30"/>
      <c r="Z227" s="30"/>
      <c r="AA227" s="30"/>
    </row>
    <row r="228">
      <c r="A228" s="30"/>
      <c r="B228" s="31" t="s">
        <v>4205</v>
      </c>
      <c r="C228" s="31" t="b">
        <v>0</v>
      </c>
      <c r="D228" s="31" t="s">
        <v>4196</v>
      </c>
      <c r="E228" s="31" t="s">
        <v>4192</v>
      </c>
      <c r="F228" s="31" t="b">
        <v>0</v>
      </c>
      <c r="G228" s="31" t="s">
        <v>1953</v>
      </c>
      <c r="H228" s="31" t="s">
        <v>1225</v>
      </c>
      <c r="I228" s="31" t="s">
        <v>1225</v>
      </c>
      <c r="J228" s="30" t="s">
        <v>4270</v>
      </c>
      <c r="K228" s="30" t="s">
        <v>4194</v>
      </c>
      <c r="L228" s="30"/>
      <c r="M228" s="30"/>
      <c r="N228" s="31" t="str">
        <f>VLOOKUP(I228,'Active Employees'!$B$2:$B$498,1,false)</f>
        <v>stefan.scherer@docker.com</v>
      </c>
      <c r="O228" s="33" t="s">
        <v>1469</v>
      </c>
      <c r="P228" s="31"/>
      <c r="Q228" s="31"/>
      <c r="R228" s="31"/>
      <c r="S228" s="30"/>
      <c r="T228" s="30"/>
      <c r="U228" s="30"/>
      <c r="V228" s="30"/>
      <c r="W228" s="30"/>
      <c r="X228" s="30"/>
      <c r="Y228" s="30"/>
      <c r="Z228" s="30"/>
      <c r="AA228" s="30"/>
    </row>
    <row r="229">
      <c r="A229" s="30"/>
      <c r="B229" s="31" t="s">
        <v>4206</v>
      </c>
      <c r="C229" s="31" t="b">
        <v>0</v>
      </c>
      <c r="D229" s="31" t="s">
        <v>4196</v>
      </c>
      <c r="E229" s="31" t="s">
        <v>4192</v>
      </c>
      <c r="F229" s="31" t="b">
        <v>0</v>
      </c>
      <c r="G229" s="31" t="s">
        <v>1953</v>
      </c>
      <c r="H229" s="31" t="s">
        <v>1225</v>
      </c>
      <c r="I229" s="31" t="s">
        <v>1225</v>
      </c>
      <c r="J229" s="30" t="s">
        <v>4270</v>
      </c>
      <c r="K229" s="30" t="s">
        <v>4194</v>
      </c>
      <c r="L229" s="30"/>
      <c r="M229" s="30"/>
      <c r="N229" s="31" t="str">
        <f>VLOOKUP(I229,'Active Employees'!$B$2:$B$498,1,false)</f>
        <v>stefan.scherer@docker.com</v>
      </c>
      <c r="O229" s="33" t="s">
        <v>1469</v>
      </c>
      <c r="P229" s="31"/>
      <c r="Q229" s="31"/>
      <c r="R229" s="31"/>
      <c r="S229" s="30"/>
      <c r="T229" s="30"/>
      <c r="U229" s="30"/>
      <c r="V229" s="30"/>
      <c r="W229" s="30"/>
      <c r="X229" s="30"/>
      <c r="Y229" s="30"/>
      <c r="Z229" s="30"/>
      <c r="AA229" s="30"/>
    </row>
    <row r="230">
      <c r="A230" s="30"/>
      <c r="B230" s="31" t="s">
        <v>4207</v>
      </c>
      <c r="C230" s="31" t="b">
        <v>0</v>
      </c>
      <c r="D230" s="31" t="s">
        <v>4196</v>
      </c>
      <c r="E230" s="31" t="s">
        <v>4192</v>
      </c>
      <c r="F230" s="31" t="b">
        <v>0</v>
      </c>
      <c r="G230" s="31" t="s">
        <v>1953</v>
      </c>
      <c r="H230" s="31" t="s">
        <v>1225</v>
      </c>
      <c r="I230" s="31" t="s">
        <v>1225</v>
      </c>
      <c r="J230" s="30" t="s">
        <v>4270</v>
      </c>
      <c r="K230" s="30" t="s">
        <v>4194</v>
      </c>
      <c r="L230" s="30"/>
      <c r="M230" s="30"/>
      <c r="N230" s="31" t="str">
        <f>VLOOKUP(I230,'Active Employees'!$B$2:$B$498,1,false)</f>
        <v>stefan.scherer@docker.com</v>
      </c>
      <c r="O230" s="33" t="s">
        <v>1469</v>
      </c>
      <c r="P230" s="31"/>
      <c r="Q230" s="31"/>
      <c r="R230" s="31"/>
      <c r="S230" s="30"/>
      <c r="T230" s="30"/>
      <c r="U230" s="30"/>
      <c r="V230" s="30"/>
      <c r="W230" s="30"/>
      <c r="X230" s="30"/>
      <c r="Y230" s="30"/>
      <c r="Z230" s="30"/>
      <c r="AA230" s="30"/>
    </row>
    <row r="231">
      <c r="A231" s="30"/>
      <c r="B231" s="31" t="s">
        <v>4208</v>
      </c>
      <c r="C231" s="31" t="b">
        <v>0</v>
      </c>
      <c r="D231" s="31" t="s">
        <v>4196</v>
      </c>
      <c r="E231" s="31" t="s">
        <v>4192</v>
      </c>
      <c r="F231" s="31" t="b">
        <v>0</v>
      </c>
      <c r="G231" s="31" t="s">
        <v>1953</v>
      </c>
      <c r="H231" s="31" t="s">
        <v>1225</v>
      </c>
      <c r="I231" s="31" t="s">
        <v>1225</v>
      </c>
      <c r="J231" s="30" t="s">
        <v>4270</v>
      </c>
      <c r="K231" s="30" t="s">
        <v>4194</v>
      </c>
      <c r="L231" s="30"/>
      <c r="M231" s="30"/>
      <c r="N231" s="31" t="str">
        <f>VLOOKUP(I231,'Active Employees'!$B$2:$B$498,1,false)</f>
        <v>stefan.scherer@docker.com</v>
      </c>
      <c r="O231" s="33" t="s">
        <v>1469</v>
      </c>
      <c r="P231" s="31"/>
      <c r="Q231" s="31"/>
      <c r="R231" s="31"/>
      <c r="S231" s="30"/>
      <c r="T231" s="30"/>
      <c r="U231" s="30"/>
      <c r="V231" s="30"/>
      <c r="W231" s="30"/>
      <c r="X231" s="30"/>
      <c r="Y231" s="30"/>
      <c r="Z231" s="30"/>
      <c r="AA231" s="30"/>
    </row>
    <row r="232">
      <c r="A232" s="30"/>
      <c r="B232" s="31" t="s">
        <v>4209</v>
      </c>
      <c r="C232" s="31" t="b">
        <v>0</v>
      </c>
      <c r="D232" s="31" t="s">
        <v>4196</v>
      </c>
      <c r="E232" s="31" t="s">
        <v>4192</v>
      </c>
      <c r="F232" s="31" t="b">
        <v>0</v>
      </c>
      <c r="G232" s="31" t="s">
        <v>1953</v>
      </c>
      <c r="H232" s="31" t="s">
        <v>1225</v>
      </c>
      <c r="I232" s="31" t="s">
        <v>1225</v>
      </c>
      <c r="J232" s="30" t="s">
        <v>4270</v>
      </c>
      <c r="K232" s="30" t="s">
        <v>4194</v>
      </c>
      <c r="L232" s="30"/>
      <c r="M232" s="30"/>
      <c r="N232" s="31" t="str">
        <f>VLOOKUP(I232,'Active Employees'!$B$2:$B$498,1,false)</f>
        <v>stefan.scherer@docker.com</v>
      </c>
      <c r="O232" s="33" t="s">
        <v>1469</v>
      </c>
      <c r="P232" s="31"/>
      <c r="Q232" s="31"/>
      <c r="R232" s="31"/>
      <c r="S232" s="30"/>
      <c r="T232" s="30"/>
      <c r="U232" s="30"/>
      <c r="V232" s="30"/>
      <c r="W232" s="30"/>
      <c r="X232" s="30"/>
      <c r="Y232" s="30"/>
      <c r="Z232" s="30"/>
      <c r="AA232" s="30"/>
    </row>
    <row r="233">
      <c r="A233" s="30"/>
      <c r="B233" s="31" t="s">
        <v>1974</v>
      </c>
      <c r="C233" s="31" t="b">
        <v>0</v>
      </c>
      <c r="D233" s="31" t="s">
        <v>4196</v>
      </c>
      <c r="E233" s="31" t="s">
        <v>4192</v>
      </c>
      <c r="F233" s="31" t="b">
        <v>0</v>
      </c>
      <c r="G233" s="31" t="s">
        <v>1953</v>
      </c>
      <c r="H233" s="31" t="s">
        <v>1225</v>
      </c>
      <c r="I233" s="31" t="s">
        <v>1225</v>
      </c>
      <c r="J233" s="30" t="s">
        <v>4270</v>
      </c>
      <c r="K233" s="30" t="s">
        <v>4194</v>
      </c>
      <c r="L233" s="30"/>
      <c r="M233" s="30"/>
      <c r="N233" s="31" t="str">
        <f>VLOOKUP(I233,'Active Employees'!$B$2:$B$498,1,false)</f>
        <v>stefan.scherer@docker.com</v>
      </c>
      <c r="O233" s="33" t="s">
        <v>1469</v>
      </c>
      <c r="P233" s="31"/>
      <c r="Q233" s="31"/>
      <c r="R233" s="31"/>
      <c r="S233" s="30"/>
      <c r="T233" s="30"/>
      <c r="U233" s="30"/>
      <c r="V233" s="30"/>
      <c r="W233" s="30"/>
      <c r="X233" s="30"/>
      <c r="Y233" s="30"/>
      <c r="Z233" s="30"/>
      <c r="AA233" s="30"/>
    </row>
    <row r="234">
      <c r="A234" s="30"/>
      <c r="B234" s="31" t="s">
        <v>4210</v>
      </c>
      <c r="C234" s="31" t="b">
        <v>0</v>
      </c>
      <c r="D234" s="31" t="s">
        <v>4196</v>
      </c>
      <c r="E234" s="31" t="s">
        <v>4192</v>
      </c>
      <c r="F234" s="31" t="b">
        <v>0</v>
      </c>
      <c r="G234" s="31" t="s">
        <v>1953</v>
      </c>
      <c r="H234" s="31" t="s">
        <v>1225</v>
      </c>
      <c r="I234" s="31" t="s">
        <v>1225</v>
      </c>
      <c r="J234" s="30" t="s">
        <v>4270</v>
      </c>
      <c r="K234" s="30" t="s">
        <v>4194</v>
      </c>
      <c r="L234" s="30"/>
      <c r="M234" s="30"/>
      <c r="N234" s="31" t="str">
        <f>VLOOKUP(I234,'Active Employees'!$B$2:$B$498,1,false)</f>
        <v>stefan.scherer@docker.com</v>
      </c>
      <c r="O234" s="33" t="s">
        <v>1469</v>
      </c>
      <c r="P234" s="31"/>
      <c r="Q234" s="31"/>
      <c r="R234" s="31"/>
      <c r="S234" s="30"/>
      <c r="T234" s="30"/>
      <c r="U234" s="30"/>
      <c r="V234" s="30"/>
      <c r="W234" s="30"/>
      <c r="X234" s="30"/>
      <c r="Y234" s="30"/>
      <c r="Z234" s="30"/>
      <c r="AA234" s="30"/>
    </row>
    <row r="235">
      <c r="A235" s="30"/>
      <c r="B235" s="31" t="s">
        <v>4211</v>
      </c>
      <c r="C235" s="31" t="b">
        <v>0</v>
      </c>
      <c r="D235" s="31" t="s">
        <v>4196</v>
      </c>
      <c r="E235" s="31" t="s">
        <v>4192</v>
      </c>
      <c r="F235" s="31" t="b">
        <v>0</v>
      </c>
      <c r="G235" s="31" t="s">
        <v>1953</v>
      </c>
      <c r="H235" s="31" t="s">
        <v>1225</v>
      </c>
      <c r="I235" s="31" t="s">
        <v>1225</v>
      </c>
      <c r="J235" s="30" t="s">
        <v>4270</v>
      </c>
      <c r="K235" s="30" t="s">
        <v>4194</v>
      </c>
      <c r="L235" s="30"/>
      <c r="M235" s="30"/>
      <c r="N235" s="31" t="str">
        <f>VLOOKUP(I235,'Active Employees'!$B$2:$B$498,1,false)</f>
        <v>stefan.scherer@docker.com</v>
      </c>
      <c r="O235" s="33" t="s">
        <v>1469</v>
      </c>
      <c r="P235" s="31"/>
      <c r="Q235" s="31"/>
      <c r="R235" s="31"/>
      <c r="S235" s="30"/>
      <c r="T235" s="30"/>
      <c r="U235" s="30"/>
      <c r="V235" s="30"/>
      <c r="W235" s="30"/>
      <c r="X235" s="30"/>
      <c r="Y235" s="30"/>
      <c r="Z235" s="30"/>
      <c r="AA235" s="30"/>
    </row>
    <row r="236">
      <c r="A236" s="30"/>
      <c r="B236" s="31" t="s">
        <v>4212</v>
      </c>
      <c r="C236" s="31" t="b">
        <v>0</v>
      </c>
      <c r="D236" s="31" t="s">
        <v>4196</v>
      </c>
      <c r="E236" s="31" t="s">
        <v>4192</v>
      </c>
      <c r="F236" s="31" t="b">
        <v>0</v>
      </c>
      <c r="G236" s="31" t="s">
        <v>1953</v>
      </c>
      <c r="H236" s="31" t="s">
        <v>1225</v>
      </c>
      <c r="I236" s="31" t="s">
        <v>1225</v>
      </c>
      <c r="J236" s="30" t="s">
        <v>4270</v>
      </c>
      <c r="K236" s="30" t="s">
        <v>4194</v>
      </c>
      <c r="L236" s="30"/>
      <c r="M236" s="30"/>
      <c r="N236" s="31" t="str">
        <f>VLOOKUP(I236,'Active Employees'!$B$2:$B$498,1,false)</f>
        <v>stefan.scherer@docker.com</v>
      </c>
      <c r="O236" s="33" t="s">
        <v>1469</v>
      </c>
      <c r="P236" s="31"/>
      <c r="Q236" s="31"/>
      <c r="R236" s="31"/>
      <c r="S236" s="30"/>
      <c r="T236" s="30"/>
      <c r="U236" s="30"/>
      <c r="V236" s="30"/>
      <c r="W236" s="30"/>
      <c r="X236" s="30"/>
      <c r="Y236" s="30"/>
      <c r="Z236" s="30"/>
      <c r="AA236" s="30"/>
    </row>
    <row r="237">
      <c r="A237" s="30"/>
      <c r="B237" s="31" t="s">
        <v>4213</v>
      </c>
      <c r="C237" s="31" t="b">
        <v>0</v>
      </c>
      <c r="D237" s="31" t="s">
        <v>4196</v>
      </c>
      <c r="E237" s="31" t="s">
        <v>4192</v>
      </c>
      <c r="F237" s="31" t="b">
        <v>0</v>
      </c>
      <c r="G237" s="31" t="s">
        <v>1953</v>
      </c>
      <c r="H237" s="31" t="s">
        <v>1225</v>
      </c>
      <c r="I237" s="31" t="s">
        <v>1225</v>
      </c>
      <c r="J237" s="30" t="s">
        <v>4270</v>
      </c>
      <c r="K237" s="30" t="s">
        <v>4194</v>
      </c>
      <c r="L237" s="30"/>
      <c r="M237" s="30"/>
      <c r="N237" s="31" t="str">
        <f>VLOOKUP(I237,'Active Employees'!$B$2:$B$498,1,false)</f>
        <v>stefan.scherer@docker.com</v>
      </c>
      <c r="O237" s="33" t="s">
        <v>1469</v>
      </c>
      <c r="P237" s="31"/>
      <c r="Q237" s="31"/>
      <c r="R237" s="31"/>
      <c r="S237" s="30"/>
      <c r="T237" s="30"/>
      <c r="U237" s="30"/>
      <c r="V237" s="30"/>
      <c r="W237" s="30"/>
      <c r="X237" s="30"/>
      <c r="Y237" s="30"/>
      <c r="Z237" s="30"/>
      <c r="AA237" s="30"/>
    </row>
    <row r="238">
      <c r="A238" s="30"/>
      <c r="B238" s="31" t="s">
        <v>4214</v>
      </c>
      <c r="C238" s="31" t="b">
        <v>0</v>
      </c>
      <c r="D238" s="31" t="s">
        <v>4196</v>
      </c>
      <c r="E238" s="31" t="s">
        <v>4192</v>
      </c>
      <c r="F238" s="31" t="b">
        <v>0</v>
      </c>
      <c r="G238" s="31" t="s">
        <v>1953</v>
      </c>
      <c r="H238" s="31" t="s">
        <v>1225</v>
      </c>
      <c r="I238" s="31" t="s">
        <v>1225</v>
      </c>
      <c r="J238" s="30" t="s">
        <v>4270</v>
      </c>
      <c r="K238" s="30" t="s">
        <v>4194</v>
      </c>
      <c r="L238" s="30"/>
      <c r="M238" s="30"/>
      <c r="N238" s="31" t="str">
        <f>VLOOKUP(I238,'Active Employees'!$B$2:$B$498,1,false)</f>
        <v>stefan.scherer@docker.com</v>
      </c>
      <c r="O238" s="33" t="s">
        <v>1469</v>
      </c>
      <c r="P238" s="31"/>
      <c r="Q238" s="31"/>
      <c r="R238" s="31"/>
      <c r="S238" s="30"/>
      <c r="T238" s="30"/>
      <c r="U238" s="30"/>
      <c r="V238" s="30"/>
      <c r="W238" s="30"/>
      <c r="X238" s="30"/>
      <c r="Y238" s="30"/>
      <c r="Z238" s="30"/>
      <c r="AA238" s="30"/>
    </row>
    <row r="239">
      <c r="A239" s="30"/>
      <c r="B239" s="31" t="s">
        <v>4215</v>
      </c>
      <c r="C239" s="31" t="b">
        <v>0</v>
      </c>
      <c r="D239" s="31" t="s">
        <v>4196</v>
      </c>
      <c r="E239" s="31" t="s">
        <v>4192</v>
      </c>
      <c r="F239" s="31" t="b">
        <v>0</v>
      </c>
      <c r="G239" s="31" t="s">
        <v>1953</v>
      </c>
      <c r="H239" s="31" t="s">
        <v>1225</v>
      </c>
      <c r="I239" s="31" t="s">
        <v>1225</v>
      </c>
      <c r="J239" s="30" t="s">
        <v>4270</v>
      </c>
      <c r="K239" s="30" t="s">
        <v>4194</v>
      </c>
      <c r="L239" s="30"/>
      <c r="M239" s="30"/>
      <c r="N239" s="31" t="str">
        <f>VLOOKUP(I239,'Active Employees'!$B$2:$B$498,1,false)</f>
        <v>stefan.scherer@docker.com</v>
      </c>
      <c r="O239" s="33" t="s">
        <v>1469</v>
      </c>
      <c r="P239" s="31"/>
      <c r="Q239" s="31"/>
      <c r="R239" s="31"/>
      <c r="S239" s="30"/>
      <c r="T239" s="30"/>
      <c r="U239" s="30"/>
      <c r="V239" s="30"/>
      <c r="W239" s="30"/>
      <c r="X239" s="30"/>
      <c r="Y239" s="30"/>
      <c r="Z239" s="30"/>
      <c r="AA239" s="30"/>
    </row>
    <row r="240">
      <c r="A240" s="30"/>
      <c r="B240" s="31" t="s">
        <v>4216</v>
      </c>
      <c r="C240" s="31" t="b">
        <v>0</v>
      </c>
      <c r="D240" s="31" t="s">
        <v>4196</v>
      </c>
      <c r="E240" s="31" t="s">
        <v>4192</v>
      </c>
      <c r="F240" s="31" t="b">
        <v>0</v>
      </c>
      <c r="G240" s="31" t="s">
        <v>1953</v>
      </c>
      <c r="H240" s="31" t="s">
        <v>1225</v>
      </c>
      <c r="I240" s="31" t="s">
        <v>1225</v>
      </c>
      <c r="J240" s="30" t="s">
        <v>4270</v>
      </c>
      <c r="K240" s="30" t="s">
        <v>4194</v>
      </c>
      <c r="L240" s="30"/>
      <c r="M240" s="30"/>
      <c r="N240" s="31" t="str">
        <f>VLOOKUP(I240,'Active Employees'!$B$2:$B$498,1,false)</f>
        <v>stefan.scherer@docker.com</v>
      </c>
      <c r="O240" s="33" t="s">
        <v>1469</v>
      </c>
      <c r="P240" s="31"/>
      <c r="Q240" s="31"/>
      <c r="R240" s="31"/>
      <c r="S240" s="30"/>
      <c r="T240" s="30"/>
      <c r="U240" s="30"/>
      <c r="V240" s="30"/>
      <c r="W240" s="30"/>
      <c r="X240" s="30"/>
      <c r="Y240" s="30"/>
      <c r="Z240" s="30"/>
      <c r="AA240" s="30"/>
    </row>
    <row r="241">
      <c r="A241" s="30"/>
      <c r="B241" s="31" t="s">
        <v>4217</v>
      </c>
      <c r="C241" s="31" t="b">
        <v>0</v>
      </c>
      <c r="D241" s="31" t="s">
        <v>4196</v>
      </c>
      <c r="E241" s="31" t="s">
        <v>4192</v>
      </c>
      <c r="F241" s="31" t="b">
        <v>0</v>
      </c>
      <c r="G241" s="31" t="s">
        <v>1953</v>
      </c>
      <c r="H241" s="31" t="s">
        <v>1225</v>
      </c>
      <c r="I241" s="31" t="s">
        <v>1225</v>
      </c>
      <c r="J241" s="30" t="s">
        <v>4270</v>
      </c>
      <c r="K241" s="30" t="s">
        <v>4194</v>
      </c>
      <c r="L241" s="30"/>
      <c r="M241" s="30"/>
      <c r="N241" s="31" t="str">
        <f>VLOOKUP(I241,'Active Employees'!$B$2:$B$498,1,false)</f>
        <v>stefan.scherer@docker.com</v>
      </c>
      <c r="O241" s="33" t="s">
        <v>1469</v>
      </c>
      <c r="P241" s="31"/>
      <c r="Q241" s="31"/>
      <c r="R241" s="31"/>
      <c r="S241" s="30"/>
      <c r="T241" s="30"/>
      <c r="U241" s="30"/>
      <c r="V241" s="30"/>
      <c r="W241" s="30"/>
      <c r="X241" s="30"/>
      <c r="Y241" s="30"/>
      <c r="Z241" s="30"/>
      <c r="AA241" s="30"/>
    </row>
    <row r="242">
      <c r="A242" s="30"/>
      <c r="B242" s="31" t="s">
        <v>4218</v>
      </c>
      <c r="C242" s="31" t="b">
        <v>0</v>
      </c>
      <c r="D242" s="31" t="s">
        <v>4196</v>
      </c>
      <c r="E242" s="31" t="s">
        <v>4192</v>
      </c>
      <c r="F242" s="31" t="b">
        <v>0</v>
      </c>
      <c r="G242" s="31" t="s">
        <v>1953</v>
      </c>
      <c r="H242" s="31" t="s">
        <v>1225</v>
      </c>
      <c r="I242" s="31" t="s">
        <v>1225</v>
      </c>
      <c r="J242" s="30" t="s">
        <v>4270</v>
      </c>
      <c r="K242" s="30" t="s">
        <v>4194</v>
      </c>
      <c r="L242" s="30"/>
      <c r="M242" s="30"/>
      <c r="N242" s="31" t="str">
        <f>VLOOKUP(I242,'Active Employees'!$B$2:$B$498,1,false)</f>
        <v>stefan.scherer@docker.com</v>
      </c>
      <c r="O242" s="33" t="s">
        <v>1469</v>
      </c>
      <c r="P242" s="31"/>
      <c r="Q242" s="31"/>
      <c r="R242" s="31"/>
      <c r="S242" s="30"/>
      <c r="T242" s="30"/>
      <c r="U242" s="30"/>
      <c r="V242" s="30"/>
      <c r="W242" s="30"/>
      <c r="X242" s="30"/>
      <c r="Y242" s="30"/>
      <c r="Z242" s="30"/>
      <c r="AA242" s="30"/>
    </row>
    <row r="243">
      <c r="A243" s="30"/>
      <c r="B243" s="31" t="s">
        <v>4219</v>
      </c>
      <c r="C243" s="31" t="b">
        <v>0</v>
      </c>
      <c r="D243" s="31" t="s">
        <v>4196</v>
      </c>
      <c r="E243" s="31" t="s">
        <v>4192</v>
      </c>
      <c r="F243" s="31" t="b">
        <v>0</v>
      </c>
      <c r="G243" s="31" t="s">
        <v>1953</v>
      </c>
      <c r="H243" s="31" t="s">
        <v>1225</v>
      </c>
      <c r="I243" s="31" t="s">
        <v>1225</v>
      </c>
      <c r="J243" s="30" t="s">
        <v>4270</v>
      </c>
      <c r="K243" s="30" t="s">
        <v>4194</v>
      </c>
      <c r="L243" s="30"/>
      <c r="M243" s="30"/>
      <c r="N243" s="31" t="str">
        <f>VLOOKUP(I243,'Active Employees'!$B$2:$B$498,1,false)</f>
        <v>stefan.scherer@docker.com</v>
      </c>
      <c r="O243" s="33" t="s">
        <v>1469</v>
      </c>
      <c r="P243" s="31"/>
      <c r="Q243" s="31"/>
      <c r="R243" s="31"/>
      <c r="S243" s="30"/>
      <c r="T243" s="30"/>
      <c r="U243" s="30"/>
      <c r="V243" s="30"/>
      <c r="W243" s="30"/>
      <c r="X243" s="30"/>
      <c r="Y243" s="30"/>
      <c r="Z243" s="30"/>
      <c r="AA243" s="30"/>
    </row>
    <row r="244">
      <c r="A244" s="30"/>
      <c r="B244" s="31" t="s">
        <v>4220</v>
      </c>
      <c r="C244" s="31" t="b">
        <v>0</v>
      </c>
      <c r="D244" s="31" t="s">
        <v>4196</v>
      </c>
      <c r="E244" s="31" t="s">
        <v>4192</v>
      </c>
      <c r="F244" s="31" t="b">
        <v>0</v>
      </c>
      <c r="G244" s="31" t="s">
        <v>1953</v>
      </c>
      <c r="H244" s="31" t="s">
        <v>1225</v>
      </c>
      <c r="I244" s="31" t="s">
        <v>1225</v>
      </c>
      <c r="J244" s="30" t="s">
        <v>4270</v>
      </c>
      <c r="K244" s="30" t="s">
        <v>4194</v>
      </c>
      <c r="L244" s="30"/>
      <c r="M244" s="30"/>
      <c r="N244" s="31" t="str">
        <f>VLOOKUP(I244,'Active Employees'!$B$2:$B$498,1,false)</f>
        <v>stefan.scherer@docker.com</v>
      </c>
      <c r="O244" s="33" t="s">
        <v>1469</v>
      </c>
      <c r="P244" s="31"/>
      <c r="Q244" s="31"/>
      <c r="R244" s="31"/>
      <c r="S244" s="30"/>
      <c r="T244" s="30"/>
      <c r="U244" s="30"/>
      <c r="V244" s="30"/>
      <c r="W244" s="30"/>
      <c r="X244" s="30"/>
      <c r="Y244" s="30"/>
      <c r="Z244" s="30"/>
      <c r="AA244" s="30"/>
    </row>
    <row r="245">
      <c r="A245" s="30"/>
      <c r="B245" s="31" t="s">
        <v>4221</v>
      </c>
      <c r="C245" s="31" t="b">
        <v>0</v>
      </c>
      <c r="D245" s="31" t="s">
        <v>4196</v>
      </c>
      <c r="E245" s="31" t="s">
        <v>4192</v>
      </c>
      <c r="F245" s="31" t="b">
        <v>0</v>
      </c>
      <c r="G245" s="31" t="s">
        <v>1953</v>
      </c>
      <c r="H245" s="31" t="s">
        <v>1225</v>
      </c>
      <c r="I245" s="31" t="s">
        <v>1225</v>
      </c>
      <c r="J245" s="30" t="s">
        <v>4270</v>
      </c>
      <c r="K245" s="30" t="s">
        <v>4194</v>
      </c>
      <c r="L245" s="30"/>
      <c r="M245" s="30"/>
      <c r="N245" s="31" t="str">
        <f>VLOOKUP(I245,'Active Employees'!$B$2:$B$498,1,false)</f>
        <v>stefan.scherer@docker.com</v>
      </c>
      <c r="O245" s="33" t="s">
        <v>1469</v>
      </c>
      <c r="P245" s="31"/>
      <c r="Q245" s="31"/>
      <c r="R245" s="31"/>
      <c r="S245" s="30"/>
      <c r="T245" s="30"/>
      <c r="U245" s="30"/>
      <c r="V245" s="30"/>
      <c r="W245" s="30"/>
      <c r="X245" s="30"/>
      <c r="Y245" s="30"/>
      <c r="Z245" s="30"/>
      <c r="AA245" s="30"/>
    </row>
    <row r="246">
      <c r="A246" s="30"/>
      <c r="B246" s="31" t="s">
        <v>4222</v>
      </c>
      <c r="C246" s="31" t="b">
        <v>0</v>
      </c>
      <c r="D246" s="31" t="s">
        <v>4196</v>
      </c>
      <c r="E246" s="31" t="s">
        <v>4192</v>
      </c>
      <c r="F246" s="31" t="b">
        <v>0</v>
      </c>
      <c r="G246" s="31" t="s">
        <v>1953</v>
      </c>
      <c r="H246" s="31" t="s">
        <v>1225</v>
      </c>
      <c r="I246" s="31" t="s">
        <v>1225</v>
      </c>
      <c r="J246" s="30" t="s">
        <v>4270</v>
      </c>
      <c r="K246" s="30" t="s">
        <v>4194</v>
      </c>
      <c r="L246" s="30"/>
      <c r="M246" s="30"/>
      <c r="N246" s="31" t="str">
        <f>VLOOKUP(I246,'Active Employees'!$B$2:$B$498,1,false)</f>
        <v>stefan.scherer@docker.com</v>
      </c>
      <c r="O246" s="33" t="s">
        <v>1469</v>
      </c>
      <c r="P246" s="31"/>
      <c r="Q246" s="31"/>
      <c r="R246" s="31"/>
      <c r="S246" s="30"/>
      <c r="T246" s="30"/>
      <c r="U246" s="30"/>
      <c r="V246" s="30"/>
      <c r="W246" s="30"/>
      <c r="X246" s="30"/>
      <c r="Y246" s="30"/>
      <c r="Z246" s="30"/>
      <c r="AA246" s="30"/>
    </row>
    <row r="247">
      <c r="A247" s="30"/>
      <c r="B247" s="31" t="s">
        <v>4223</v>
      </c>
      <c r="C247" s="31" t="b">
        <v>0</v>
      </c>
      <c r="D247" s="31" t="s">
        <v>4196</v>
      </c>
      <c r="E247" s="31" t="s">
        <v>4192</v>
      </c>
      <c r="F247" s="31" t="b">
        <v>0</v>
      </c>
      <c r="G247" s="31" t="s">
        <v>1953</v>
      </c>
      <c r="H247" s="31" t="s">
        <v>1225</v>
      </c>
      <c r="I247" s="31" t="s">
        <v>1225</v>
      </c>
      <c r="J247" s="30" t="s">
        <v>4270</v>
      </c>
      <c r="K247" s="30" t="s">
        <v>4194</v>
      </c>
      <c r="L247" s="30"/>
      <c r="M247" s="30"/>
      <c r="N247" s="31" t="str">
        <f>VLOOKUP(I247,'Active Employees'!$B$2:$B$498,1,false)</f>
        <v>stefan.scherer@docker.com</v>
      </c>
      <c r="O247" s="33" t="s">
        <v>1469</v>
      </c>
      <c r="P247" s="31"/>
      <c r="Q247" s="31"/>
      <c r="R247" s="31"/>
      <c r="S247" s="30"/>
      <c r="T247" s="30"/>
      <c r="U247" s="30"/>
      <c r="V247" s="30"/>
      <c r="W247" s="30"/>
      <c r="X247" s="30"/>
      <c r="Y247" s="30"/>
      <c r="Z247" s="30"/>
      <c r="AA247" s="30"/>
    </row>
    <row r="248">
      <c r="A248" s="30"/>
      <c r="B248" s="31" t="s">
        <v>4224</v>
      </c>
      <c r="C248" s="31" t="b">
        <v>0</v>
      </c>
      <c r="D248" s="31" t="s">
        <v>4196</v>
      </c>
      <c r="E248" s="31" t="s">
        <v>4192</v>
      </c>
      <c r="F248" s="31" t="b">
        <v>0</v>
      </c>
      <c r="G248" s="31" t="s">
        <v>1953</v>
      </c>
      <c r="H248" s="31" t="s">
        <v>1225</v>
      </c>
      <c r="I248" s="31" t="s">
        <v>1225</v>
      </c>
      <c r="J248" s="30" t="s">
        <v>4270</v>
      </c>
      <c r="K248" s="30" t="s">
        <v>4194</v>
      </c>
      <c r="L248" s="30"/>
      <c r="M248" s="30"/>
      <c r="N248" s="31" t="str">
        <f>VLOOKUP(I248,'Active Employees'!$B$2:$B$498,1,false)</f>
        <v>stefan.scherer@docker.com</v>
      </c>
      <c r="O248" s="33" t="s">
        <v>1469</v>
      </c>
      <c r="P248" s="31"/>
      <c r="Q248" s="31"/>
      <c r="R248" s="31"/>
      <c r="S248" s="30"/>
      <c r="T248" s="30"/>
      <c r="U248" s="30"/>
      <c r="V248" s="30"/>
      <c r="W248" s="30"/>
      <c r="X248" s="30"/>
      <c r="Y248" s="30"/>
      <c r="Z248" s="30"/>
      <c r="AA248" s="30"/>
    </row>
    <row r="249">
      <c r="A249" s="30"/>
      <c r="B249" s="31" t="s">
        <v>4225</v>
      </c>
      <c r="C249" s="31" t="b">
        <v>0</v>
      </c>
      <c r="D249" s="31" t="s">
        <v>4196</v>
      </c>
      <c r="E249" s="31" t="s">
        <v>4192</v>
      </c>
      <c r="F249" s="31" t="b">
        <v>0</v>
      </c>
      <c r="G249" s="31" t="s">
        <v>1953</v>
      </c>
      <c r="H249" s="31" t="s">
        <v>1225</v>
      </c>
      <c r="I249" s="31" t="s">
        <v>1225</v>
      </c>
      <c r="J249" s="30" t="s">
        <v>4270</v>
      </c>
      <c r="K249" s="30" t="s">
        <v>4194</v>
      </c>
      <c r="L249" s="30"/>
      <c r="M249" s="30"/>
      <c r="N249" s="31" t="str">
        <f>VLOOKUP(I249,'Active Employees'!$B$2:$B$498,1,false)</f>
        <v>stefan.scherer@docker.com</v>
      </c>
      <c r="O249" s="33" t="s">
        <v>1469</v>
      </c>
      <c r="P249" s="31"/>
      <c r="Q249" s="31"/>
      <c r="R249" s="31"/>
      <c r="S249" s="30"/>
      <c r="T249" s="30"/>
      <c r="U249" s="30"/>
      <c r="V249" s="30"/>
      <c r="W249" s="30"/>
      <c r="X249" s="30"/>
      <c r="Y249" s="30"/>
      <c r="Z249" s="30"/>
      <c r="AA249" s="30"/>
    </row>
    <row r="250">
      <c r="A250" s="30"/>
      <c r="B250" s="31" t="s">
        <v>4226</v>
      </c>
      <c r="C250" s="31" t="b">
        <v>0</v>
      </c>
      <c r="D250" s="31" t="s">
        <v>4196</v>
      </c>
      <c r="E250" s="31" t="s">
        <v>4192</v>
      </c>
      <c r="F250" s="31" t="b">
        <v>0</v>
      </c>
      <c r="G250" s="31" t="s">
        <v>1953</v>
      </c>
      <c r="H250" s="31" t="s">
        <v>1225</v>
      </c>
      <c r="I250" s="31" t="s">
        <v>1225</v>
      </c>
      <c r="J250" s="30" t="s">
        <v>4270</v>
      </c>
      <c r="K250" s="30" t="s">
        <v>4194</v>
      </c>
      <c r="L250" s="30"/>
      <c r="M250" s="30"/>
      <c r="N250" s="31" t="str">
        <f>VLOOKUP(I250,'Active Employees'!$B$2:$B$498,1,false)</f>
        <v>stefan.scherer@docker.com</v>
      </c>
      <c r="O250" s="33" t="s">
        <v>1469</v>
      </c>
      <c r="P250" s="31"/>
      <c r="Q250" s="31"/>
      <c r="R250" s="31"/>
      <c r="S250" s="30"/>
      <c r="T250" s="30"/>
      <c r="U250" s="30"/>
      <c r="V250" s="30"/>
      <c r="W250" s="30"/>
      <c r="X250" s="30"/>
      <c r="Y250" s="30"/>
      <c r="Z250" s="30"/>
      <c r="AA250" s="30"/>
    </row>
    <row r="251">
      <c r="A251" s="30"/>
      <c r="B251" s="31" t="s">
        <v>4227</v>
      </c>
      <c r="C251" s="31" t="b">
        <v>0</v>
      </c>
      <c r="D251" s="31" t="s">
        <v>4196</v>
      </c>
      <c r="E251" s="31" t="s">
        <v>4192</v>
      </c>
      <c r="F251" s="31" t="b">
        <v>0</v>
      </c>
      <c r="G251" s="31" t="s">
        <v>1953</v>
      </c>
      <c r="H251" s="31" t="s">
        <v>1225</v>
      </c>
      <c r="I251" s="31" t="s">
        <v>1225</v>
      </c>
      <c r="J251" s="30" t="s">
        <v>4270</v>
      </c>
      <c r="K251" s="30" t="s">
        <v>4194</v>
      </c>
      <c r="L251" s="30"/>
      <c r="M251" s="30"/>
      <c r="N251" s="31" t="str">
        <f>VLOOKUP(I251,'Active Employees'!$B$2:$B$498,1,false)</f>
        <v>stefan.scherer@docker.com</v>
      </c>
      <c r="O251" s="33" t="s">
        <v>1469</v>
      </c>
      <c r="P251" s="31"/>
      <c r="Q251" s="31"/>
      <c r="R251" s="31"/>
      <c r="S251" s="30"/>
      <c r="T251" s="30"/>
      <c r="U251" s="30"/>
      <c r="V251" s="30"/>
      <c r="W251" s="30"/>
      <c r="X251" s="30"/>
      <c r="Y251" s="30"/>
      <c r="Z251" s="30"/>
      <c r="AA251" s="30"/>
    </row>
    <row r="252">
      <c r="A252" s="30"/>
      <c r="B252" s="31" t="s">
        <v>4228</v>
      </c>
      <c r="C252" s="31" t="b">
        <v>0</v>
      </c>
      <c r="D252" s="31" t="s">
        <v>4196</v>
      </c>
      <c r="E252" s="31" t="s">
        <v>4192</v>
      </c>
      <c r="F252" s="31" t="b">
        <v>0</v>
      </c>
      <c r="G252" s="31" t="s">
        <v>1953</v>
      </c>
      <c r="H252" s="31" t="s">
        <v>1225</v>
      </c>
      <c r="I252" s="31" t="s">
        <v>1225</v>
      </c>
      <c r="J252" s="30" t="s">
        <v>4270</v>
      </c>
      <c r="K252" s="30" t="s">
        <v>4194</v>
      </c>
      <c r="L252" s="30"/>
      <c r="M252" s="30"/>
      <c r="N252" s="31" t="str">
        <f>VLOOKUP(I252,'Active Employees'!$B$2:$B$498,1,false)</f>
        <v>stefan.scherer@docker.com</v>
      </c>
      <c r="O252" s="33" t="s">
        <v>1469</v>
      </c>
      <c r="P252" s="31"/>
      <c r="Q252" s="31"/>
      <c r="R252" s="31"/>
      <c r="S252" s="30"/>
      <c r="T252" s="30"/>
      <c r="U252" s="30"/>
      <c r="V252" s="30"/>
      <c r="W252" s="30"/>
      <c r="X252" s="30"/>
      <c r="Y252" s="30"/>
      <c r="Z252" s="30"/>
      <c r="AA252" s="30"/>
    </row>
    <row r="253">
      <c r="A253" s="30"/>
      <c r="B253" s="31" t="s">
        <v>4229</v>
      </c>
      <c r="C253" s="31" t="b">
        <v>0</v>
      </c>
      <c r="D253" s="31" t="s">
        <v>4196</v>
      </c>
      <c r="E253" s="31" t="s">
        <v>4192</v>
      </c>
      <c r="F253" s="31" t="b">
        <v>0</v>
      </c>
      <c r="G253" s="31" t="s">
        <v>1953</v>
      </c>
      <c r="H253" s="31" t="s">
        <v>1225</v>
      </c>
      <c r="I253" s="31" t="s">
        <v>1225</v>
      </c>
      <c r="J253" s="30" t="s">
        <v>4270</v>
      </c>
      <c r="K253" s="30" t="s">
        <v>4194</v>
      </c>
      <c r="L253" s="30"/>
      <c r="M253" s="30"/>
      <c r="N253" s="31" t="str">
        <f>VLOOKUP(I253,'Active Employees'!$B$2:$B$498,1,false)</f>
        <v>stefan.scherer@docker.com</v>
      </c>
      <c r="O253" s="33" t="s">
        <v>1469</v>
      </c>
      <c r="P253" s="31"/>
      <c r="Q253" s="31"/>
      <c r="R253" s="31"/>
      <c r="S253" s="30"/>
      <c r="T253" s="30"/>
      <c r="U253" s="30"/>
      <c r="V253" s="30"/>
      <c r="W253" s="30"/>
      <c r="X253" s="30"/>
      <c r="Y253" s="30"/>
      <c r="Z253" s="30"/>
      <c r="AA253" s="30"/>
    </row>
    <row r="254">
      <c r="A254" s="30"/>
      <c r="B254" s="31" t="s">
        <v>2135</v>
      </c>
      <c r="C254" s="31" t="b">
        <v>0</v>
      </c>
      <c r="D254" s="31" t="s">
        <v>4191</v>
      </c>
      <c r="E254" s="31" t="s">
        <v>4192</v>
      </c>
      <c r="F254" s="31" t="b">
        <v>0</v>
      </c>
      <c r="G254" s="31" t="s">
        <v>1512</v>
      </c>
      <c r="H254" s="31" t="s">
        <v>1353</v>
      </c>
      <c r="I254" s="31" t="s">
        <v>1353</v>
      </c>
      <c r="J254" s="30" t="s">
        <v>4271</v>
      </c>
      <c r="K254" s="30" t="s">
        <v>4232</v>
      </c>
      <c r="L254" s="30"/>
      <c r="M254" s="30"/>
      <c r="N254" s="31" t="str">
        <f>VLOOKUP(I254,'Active Employees'!$B$2:$B$498,1,false)</f>
        <v>temenuzhka.thede@docker.com</v>
      </c>
      <c r="O254" s="33" t="s">
        <v>1469</v>
      </c>
      <c r="P254" s="31"/>
      <c r="Q254" s="31"/>
      <c r="R254" s="31"/>
      <c r="S254" s="30"/>
      <c r="T254" s="30"/>
      <c r="U254" s="30"/>
      <c r="V254" s="30"/>
      <c r="W254" s="30"/>
      <c r="X254" s="30"/>
      <c r="Y254" s="30"/>
      <c r="Z254" s="30"/>
      <c r="AA254" s="30"/>
    </row>
    <row r="255">
      <c r="A255" s="30"/>
      <c r="B255" s="31" t="s">
        <v>4272</v>
      </c>
      <c r="C255" s="31" t="b">
        <v>0</v>
      </c>
      <c r="D255" s="31" t="s">
        <v>4191</v>
      </c>
      <c r="E255" s="31" t="s">
        <v>4192</v>
      </c>
      <c r="F255" s="31" t="b">
        <v>0</v>
      </c>
      <c r="G255" s="31" t="s">
        <v>1512</v>
      </c>
      <c r="H255" s="31" t="s">
        <v>1353</v>
      </c>
      <c r="I255" s="31" t="s">
        <v>1353</v>
      </c>
      <c r="J255" s="30" t="s">
        <v>4271</v>
      </c>
      <c r="K255" s="30" t="s">
        <v>4232</v>
      </c>
      <c r="L255" s="30"/>
      <c r="M255" s="30"/>
      <c r="N255" s="31" t="str">
        <f>VLOOKUP(I255,'Active Employees'!$B$2:$B$498,1,false)</f>
        <v>temenuzhka.thede@docker.com</v>
      </c>
      <c r="O255" s="33" t="s">
        <v>1469</v>
      </c>
      <c r="P255" s="31"/>
      <c r="Q255" s="31"/>
      <c r="R255" s="31"/>
      <c r="S255" s="30"/>
      <c r="T255" s="30"/>
      <c r="U255" s="30"/>
      <c r="V255" s="30"/>
      <c r="W255" s="30"/>
      <c r="X255" s="30"/>
      <c r="Y255" s="30"/>
      <c r="Z255" s="30"/>
      <c r="AA255" s="30"/>
    </row>
    <row r="256">
      <c r="A256" s="30"/>
      <c r="B256" s="31" t="s">
        <v>4273</v>
      </c>
      <c r="C256" s="31" t="b">
        <v>0</v>
      </c>
      <c r="D256" s="31" t="s">
        <v>4191</v>
      </c>
      <c r="E256" s="31" t="s">
        <v>4192</v>
      </c>
      <c r="F256" s="31" t="b">
        <v>0</v>
      </c>
      <c r="G256" s="31" t="s">
        <v>1512</v>
      </c>
      <c r="H256" s="31" t="s">
        <v>1353</v>
      </c>
      <c r="I256" s="31" t="s">
        <v>1353</v>
      </c>
      <c r="J256" s="30" t="s">
        <v>4271</v>
      </c>
      <c r="K256" s="30" t="s">
        <v>4232</v>
      </c>
      <c r="L256" s="30"/>
      <c r="M256" s="30"/>
      <c r="N256" s="31" t="str">
        <f>VLOOKUP(I256,'Active Employees'!$B$2:$B$498,1,false)</f>
        <v>temenuzhka.thede@docker.com</v>
      </c>
      <c r="O256" s="33" t="s">
        <v>1469</v>
      </c>
      <c r="P256" s="31"/>
      <c r="Q256" s="31"/>
      <c r="R256" s="31"/>
      <c r="S256" s="30"/>
      <c r="T256" s="30"/>
      <c r="U256" s="30"/>
      <c r="V256" s="30"/>
      <c r="W256" s="30"/>
      <c r="X256" s="30"/>
      <c r="Y256" s="30"/>
      <c r="Z256" s="30"/>
      <c r="AA256" s="30"/>
    </row>
    <row r="257">
      <c r="A257" s="30"/>
      <c r="B257" s="31" t="s">
        <v>4274</v>
      </c>
      <c r="C257" s="31" t="b">
        <v>0</v>
      </c>
      <c r="D257" s="31" t="s">
        <v>4191</v>
      </c>
      <c r="E257" s="31" t="s">
        <v>4192</v>
      </c>
      <c r="F257" s="31" t="b">
        <v>0</v>
      </c>
      <c r="G257" s="31" t="s">
        <v>1512</v>
      </c>
      <c r="H257" s="31" t="s">
        <v>1353</v>
      </c>
      <c r="I257" s="31" t="s">
        <v>1353</v>
      </c>
      <c r="J257" s="30" t="s">
        <v>4271</v>
      </c>
      <c r="K257" s="30" t="s">
        <v>4232</v>
      </c>
      <c r="L257" s="30"/>
      <c r="M257" s="30"/>
      <c r="N257" s="31" t="str">
        <f>VLOOKUP(I257,'Active Employees'!$B$2:$B$498,1,false)</f>
        <v>temenuzhka.thede@docker.com</v>
      </c>
      <c r="O257" s="33" t="s">
        <v>1469</v>
      </c>
      <c r="P257" s="31"/>
      <c r="Q257" s="31"/>
      <c r="R257" s="31"/>
      <c r="S257" s="30"/>
      <c r="T257" s="30"/>
      <c r="U257" s="30"/>
      <c r="V257" s="30"/>
      <c r="W257" s="30"/>
      <c r="X257" s="30"/>
      <c r="Y257" s="30"/>
      <c r="Z257" s="30"/>
      <c r="AA257" s="30"/>
    </row>
    <row r="258">
      <c r="A258" s="30"/>
      <c r="B258" s="31" t="s">
        <v>4275</v>
      </c>
      <c r="C258" s="31" t="b">
        <v>0</v>
      </c>
      <c r="D258" s="31" t="s">
        <v>4191</v>
      </c>
      <c r="E258" s="31" t="s">
        <v>4192</v>
      </c>
      <c r="F258" s="31" t="b">
        <v>0</v>
      </c>
      <c r="G258" s="31" t="s">
        <v>1512</v>
      </c>
      <c r="H258" s="31" t="s">
        <v>1353</v>
      </c>
      <c r="I258" s="31" t="s">
        <v>1353</v>
      </c>
      <c r="J258" s="30" t="s">
        <v>4271</v>
      </c>
      <c r="K258" s="30" t="s">
        <v>4232</v>
      </c>
      <c r="L258" s="30"/>
      <c r="M258" s="30"/>
      <c r="N258" s="31" t="str">
        <f>VLOOKUP(I258,'Active Employees'!$B$2:$B$498,1,false)</f>
        <v>temenuzhka.thede@docker.com</v>
      </c>
      <c r="O258" s="33" t="s">
        <v>1469</v>
      </c>
      <c r="P258" s="31"/>
      <c r="Q258" s="31"/>
      <c r="R258" s="31"/>
      <c r="S258" s="30"/>
      <c r="T258" s="30"/>
      <c r="U258" s="30"/>
      <c r="V258" s="30"/>
      <c r="W258" s="30"/>
      <c r="X258" s="30"/>
      <c r="Y258" s="30"/>
      <c r="Z258" s="30"/>
      <c r="AA258" s="30"/>
    </row>
    <row r="259">
      <c r="A259" s="30"/>
      <c r="B259" s="31" t="s">
        <v>4276</v>
      </c>
      <c r="C259" s="31" t="b">
        <v>0</v>
      </c>
      <c r="D259" s="31" t="s">
        <v>4238</v>
      </c>
      <c r="E259" s="31" t="s">
        <v>4192</v>
      </c>
      <c r="F259" s="31" t="b">
        <v>0</v>
      </c>
      <c r="G259" s="31" t="s">
        <v>1512</v>
      </c>
      <c r="H259" s="31" t="s">
        <v>1353</v>
      </c>
      <c r="I259" s="31" t="s">
        <v>1353</v>
      </c>
      <c r="J259" s="30" t="s">
        <v>4271</v>
      </c>
      <c r="K259" s="30" t="s">
        <v>4232</v>
      </c>
      <c r="L259" s="30"/>
      <c r="M259" s="30"/>
      <c r="N259" s="31" t="str">
        <f>VLOOKUP(I259,'Active Employees'!$B$2:$B$498,1,false)</f>
        <v>temenuzhka.thede@docker.com</v>
      </c>
      <c r="O259" s="33" t="s">
        <v>1469</v>
      </c>
      <c r="P259" s="31"/>
      <c r="Q259" s="31"/>
      <c r="R259" s="31"/>
      <c r="S259" s="30"/>
      <c r="T259" s="30"/>
      <c r="U259" s="30"/>
      <c r="V259" s="30"/>
      <c r="W259" s="30"/>
      <c r="X259" s="30"/>
      <c r="Y259" s="30"/>
      <c r="Z259" s="30"/>
      <c r="AA259" s="30"/>
    </row>
    <row r="260">
      <c r="A260" s="30"/>
      <c r="B260" s="31" t="s">
        <v>4277</v>
      </c>
      <c r="C260" s="31" t="b">
        <v>0</v>
      </c>
      <c r="D260" s="31" t="s">
        <v>4238</v>
      </c>
      <c r="E260" s="31" t="s">
        <v>4192</v>
      </c>
      <c r="F260" s="31" t="b">
        <v>0</v>
      </c>
      <c r="G260" s="31" t="s">
        <v>1512</v>
      </c>
      <c r="H260" s="31" t="s">
        <v>1353</v>
      </c>
      <c r="I260" s="31" t="s">
        <v>1353</v>
      </c>
      <c r="J260" s="30" t="s">
        <v>4271</v>
      </c>
      <c r="K260" s="30" t="s">
        <v>4232</v>
      </c>
      <c r="L260" s="30"/>
      <c r="M260" s="30"/>
      <c r="N260" s="31" t="str">
        <f>VLOOKUP(I260,'Active Employees'!$B$2:$B$498,1,false)</f>
        <v>temenuzhka.thede@docker.com</v>
      </c>
      <c r="O260" s="33" t="s">
        <v>1469</v>
      </c>
      <c r="P260" s="31"/>
      <c r="Q260" s="31"/>
      <c r="R260" s="31"/>
      <c r="S260" s="30"/>
      <c r="T260" s="30"/>
      <c r="U260" s="30"/>
      <c r="V260" s="30"/>
      <c r="W260" s="30"/>
      <c r="X260" s="30"/>
      <c r="Y260" s="30"/>
      <c r="Z260" s="30"/>
      <c r="AA260" s="30"/>
    </row>
    <row r="261">
      <c r="A261" s="30"/>
      <c r="B261" s="31" t="s">
        <v>4230</v>
      </c>
      <c r="C261" s="31" t="b">
        <v>0</v>
      </c>
      <c r="D261" s="31" t="s">
        <v>4196</v>
      </c>
      <c r="E261" s="31" t="s">
        <v>4192</v>
      </c>
      <c r="F261" s="31" t="b">
        <v>0</v>
      </c>
      <c r="G261" s="31" t="s">
        <v>1512</v>
      </c>
      <c r="H261" s="31" t="s">
        <v>1353</v>
      </c>
      <c r="I261" s="31" t="s">
        <v>1353</v>
      </c>
      <c r="J261" s="30" t="s">
        <v>4271</v>
      </c>
      <c r="K261" s="30" t="s">
        <v>4232</v>
      </c>
      <c r="L261" s="30"/>
      <c r="M261" s="30"/>
      <c r="N261" s="31" t="str">
        <f>VLOOKUP(I261,'Active Employees'!$B$2:$B$498,1,false)</f>
        <v>temenuzhka.thede@docker.com</v>
      </c>
      <c r="O261" s="33" t="s">
        <v>1469</v>
      </c>
      <c r="P261" s="31"/>
      <c r="Q261" s="31"/>
      <c r="R261" s="31"/>
      <c r="S261" s="30"/>
      <c r="T261" s="30"/>
      <c r="U261" s="30"/>
      <c r="V261" s="30"/>
      <c r="W261" s="30"/>
      <c r="X261" s="30"/>
      <c r="Y261" s="30"/>
      <c r="Z261" s="30"/>
      <c r="AA261" s="30"/>
    </row>
    <row r="262">
      <c r="A262" s="30"/>
      <c r="B262" s="31" t="s">
        <v>4230</v>
      </c>
      <c r="C262" s="31" t="b">
        <v>0</v>
      </c>
      <c r="D262" s="31" t="s">
        <v>4233</v>
      </c>
      <c r="E262" s="31" t="s">
        <v>4192</v>
      </c>
      <c r="F262" s="31" t="b">
        <v>0</v>
      </c>
      <c r="G262" s="31" t="s">
        <v>4278</v>
      </c>
      <c r="H262" s="31" t="s">
        <v>4279</v>
      </c>
      <c r="I262" s="31" t="s">
        <v>4279</v>
      </c>
      <c r="J262" s="30" t="s">
        <v>4280</v>
      </c>
      <c r="K262" s="30" t="s">
        <v>4232</v>
      </c>
      <c r="L262" s="30"/>
      <c r="M262" s="30"/>
      <c r="N262" s="31"/>
      <c r="O262" s="33" t="s">
        <v>2213</v>
      </c>
      <c r="P262" s="31"/>
      <c r="Q262" s="31"/>
      <c r="R262" s="31"/>
      <c r="S262" s="30"/>
      <c r="T262" s="30"/>
      <c r="U262" s="30"/>
      <c r="V262" s="30"/>
      <c r="W262" s="30"/>
      <c r="X262" s="30"/>
      <c r="Y262" s="30"/>
      <c r="Z262" s="30"/>
      <c r="AA262" s="30"/>
    </row>
    <row r="263">
      <c r="A263" s="30"/>
      <c r="B263" s="31" t="s">
        <v>4230</v>
      </c>
      <c r="C263" s="31" t="b">
        <v>0</v>
      </c>
      <c r="D263" s="31" t="s">
        <v>4231</v>
      </c>
      <c r="E263" s="31" t="s">
        <v>4192</v>
      </c>
      <c r="F263" s="31" t="b">
        <v>0</v>
      </c>
      <c r="G263" s="31" t="s">
        <v>4281</v>
      </c>
      <c r="H263" s="31" t="s">
        <v>4282</v>
      </c>
      <c r="I263" s="31" t="s">
        <v>4282</v>
      </c>
      <c r="J263" s="30" t="s">
        <v>4283</v>
      </c>
      <c r="K263" s="30" t="s">
        <v>4232</v>
      </c>
      <c r="L263" s="30"/>
      <c r="M263" s="30"/>
      <c r="N263" s="31" t="str">
        <f>VLOOKUP(I263,'Active Employees'!$B$2:$B$498,1,false)</f>
        <v>#N/A</v>
      </c>
      <c r="O263" s="33" t="s">
        <v>2213</v>
      </c>
      <c r="P263" s="31"/>
      <c r="Q263" s="31"/>
      <c r="R263" s="31"/>
      <c r="S263" s="30"/>
      <c r="T263" s="30"/>
      <c r="U263" s="30"/>
      <c r="V263" s="30"/>
      <c r="W263" s="30"/>
      <c r="X263" s="30"/>
      <c r="Y263" s="30"/>
      <c r="Z263" s="30"/>
      <c r="AA263" s="30"/>
    </row>
    <row r="264">
      <c r="A264" s="30"/>
      <c r="B264" s="31" t="s">
        <v>4230</v>
      </c>
      <c r="C264" s="31" t="b">
        <v>0</v>
      </c>
      <c r="D264" s="31" t="s">
        <v>4233</v>
      </c>
      <c r="E264" s="31" t="s">
        <v>4192</v>
      </c>
      <c r="F264" s="31" t="b">
        <v>0</v>
      </c>
      <c r="G264" s="31" t="s">
        <v>4284</v>
      </c>
      <c r="H264" s="31" t="s">
        <v>4285</v>
      </c>
      <c r="I264" s="31" t="s">
        <v>4285</v>
      </c>
      <c r="J264" s="30" t="s">
        <v>4286</v>
      </c>
      <c r="K264" s="30" t="s">
        <v>4232</v>
      </c>
      <c r="L264" s="30"/>
      <c r="M264" s="30"/>
      <c r="N264" s="31" t="str">
        <f>VLOOKUP(I264,'Active Employees'!$B$2:$B$498,1,false)</f>
        <v>#N/A</v>
      </c>
      <c r="O264" s="33" t="s">
        <v>2213</v>
      </c>
      <c r="P264" s="31"/>
      <c r="Q264" s="31"/>
      <c r="R264" s="31"/>
      <c r="S264" s="30"/>
      <c r="T264" s="30"/>
      <c r="U264" s="30"/>
      <c r="V264" s="30"/>
      <c r="W264" s="30"/>
      <c r="X264" s="30"/>
      <c r="Y264" s="30"/>
      <c r="Z264" s="30"/>
      <c r="AA264" s="30"/>
    </row>
    <row r="265">
      <c r="A265" s="30"/>
      <c r="B265" s="31" t="s">
        <v>4230</v>
      </c>
      <c r="C265" s="31" t="b">
        <v>0</v>
      </c>
      <c r="D265" s="31" t="s">
        <v>4233</v>
      </c>
      <c r="E265" s="31" t="s">
        <v>4192</v>
      </c>
      <c r="F265" s="31" t="b">
        <v>0</v>
      </c>
      <c r="G265" s="31" t="s">
        <v>4287</v>
      </c>
      <c r="H265" s="31" t="s">
        <v>4288</v>
      </c>
      <c r="I265" s="31" t="s">
        <v>4288</v>
      </c>
      <c r="J265" s="30" t="s">
        <v>4289</v>
      </c>
      <c r="K265" s="30" t="s">
        <v>4232</v>
      </c>
      <c r="L265" s="30"/>
      <c r="M265" s="30"/>
      <c r="N265" s="31" t="str">
        <f>VLOOKUP(I265,'Active Employees'!$B$2:$B$498,1,false)</f>
        <v>#N/A</v>
      </c>
      <c r="O265" s="33" t="s">
        <v>2213</v>
      </c>
      <c r="P265" s="31"/>
      <c r="Q265" s="31"/>
      <c r="R265" s="31"/>
      <c r="S265" s="30"/>
      <c r="T265" s="30"/>
      <c r="U265" s="30"/>
      <c r="V265" s="30"/>
      <c r="W265" s="30"/>
      <c r="X265" s="30"/>
      <c r="Y265" s="30"/>
      <c r="Z265" s="30"/>
      <c r="AA265" s="30"/>
    </row>
    <row r="266">
      <c r="A266" s="30"/>
      <c r="B266" s="31" t="s">
        <v>4230</v>
      </c>
      <c r="C266" s="31" t="b">
        <v>0</v>
      </c>
      <c r="D266" s="31" t="s">
        <v>4231</v>
      </c>
      <c r="E266" s="31" t="s">
        <v>4192</v>
      </c>
      <c r="F266" s="31" t="b">
        <v>0</v>
      </c>
      <c r="G266" s="31" t="s">
        <v>3912</v>
      </c>
      <c r="H266" s="31" t="s">
        <v>3913</v>
      </c>
      <c r="I266" s="31" t="s">
        <v>3913</v>
      </c>
      <c r="J266" s="30" t="s">
        <v>4290</v>
      </c>
      <c r="K266" s="30" t="s">
        <v>4232</v>
      </c>
      <c r="L266" s="30"/>
      <c r="M266" s="30"/>
      <c r="N266" s="31" t="str">
        <f>VLOOKUP(I266,'Active Employees'!$B$2:$B$498,1,false)</f>
        <v>#N/A</v>
      </c>
      <c r="O266" s="33" t="s">
        <v>2213</v>
      </c>
      <c r="P266" s="31"/>
      <c r="Q266" s="31"/>
      <c r="R266" s="31"/>
      <c r="S266" s="30"/>
      <c r="T266" s="30"/>
      <c r="U266" s="30"/>
      <c r="V266" s="30"/>
      <c r="W266" s="30"/>
      <c r="X266" s="30"/>
      <c r="Y266" s="30"/>
      <c r="Z266" s="30"/>
      <c r="AA266" s="30"/>
    </row>
    <row r="267">
      <c r="A267" s="30"/>
      <c r="B267" s="31" t="s">
        <v>4230</v>
      </c>
      <c r="C267" s="31" t="b">
        <v>0</v>
      </c>
      <c r="D267" s="31" t="s">
        <v>4233</v>
      </c>
      <c r="E267" s="31" t="s">
        <v>4192</v>
      </c>
      <c r="F267" s="31" t="b">
        <v>0</v>
      </c>
      <c r="G267" s="31" t="s">
        <v>4291</v>
      </c>
      <c r="H267" s="31" t="s">
        <v>4292</v>
      </c>
      <c r="I267" s="31" t="s">
        <v>4292</v>
      </c>
      <c r="J267" s="30" t="s">
        <v>4293</v>
      </c>
      <c r="K267" s="30" t="s">
        <v>4232</v>
      </c>
      <c r="L267" s="30"/>
      <c r="M267" s="30"/>
      <c r="N267" s="31" t="str">
        <f>VLOOKUP(I267,'Active Employees'!$B$2:$B$498,1,false)</f>
        <v>#N/A</v>
      </c>
      <c r="O267" s="33" t="s">
        <v>2213</v>
      </c>
      <c r="P267" s="31"/>
      <c r="Q267" s="31"/>
      <c r="R267" s="31"/>
      <c r="S267" s="30"/>
      <c r="T267" s="30"/>
      <c r="U267" s="30"/>
      <c r="V267" s="30"/>
      <c r="W267" s="30"/>
      <c r="X267" s="30"/>
      <c r="Y267" s="30"/>
      <c r="Z267" s="30"/>
      <c r="AA267" s="30"/>
    </row>
    <row r="268">
      <c r="A268" s="30"/>
      <c r="B268" s="31" t="s">
        <v>4230</v>
      </c>
      <c r="C268" s="31" t="b">
        <v>0</v>
      </c>
      <c r="D268" s="31" t="s">
        <v>4233</v>
      </c>
      <c r="E268" s="31" t="s">
        <v>4192</v>
      </c>
      <c r="F268" s="31" t="b">
        <v>0</v>
      </c>
      <c r="G268" s="31" t="s">
        <v>4294</v>
      </c>
      <c r="H268" s="31" t="s">
        <v>4295</v>
      </c>
      <c r="I268" s="31" t="s">
        <v>4295</v>
      </c>
      <c r="J268" s="30" t="s">
        <v>4296</v>
      </c>
      <c r="K268" s="30" t="s">
        <v>4232</v>
      </c>
      <c r="L268" s="30"/>
      <c r="M268" s="30"/>
      <c r="N268" s="31" t="str">
        <f>VLOOKUP(I268,'Active Employees'!$B$2:$B$498,1,false)</f>
        <v>#N/A</v>
      </c>
      <c r="O268" s="33" t="s">
        <v>2213</v>
      </c>
      <c r="P268" s="31"/>
      <c r="Q268" s="31"/>
      <c r="R268" s="31"/>
      <c r="S268" s="30"/>
      <c r="T268" s="30"/>
      <c r="U268" s="30"/>
      <c r="V268" s="30"/>
      <c r="W268" s="30"/>
      <c r="X268" s="30"/>
      <c r="Y268" s="30"/>
      <c r="Z268" s="30"/>
      <c r="AA268" s="30"/>
    </row>
    <row r="269">
      <c r="A269" s="30"/>
      <c r="B269" s="31" t="s">
        <v>4230</v>
      </c>
      <c r="C269" s="31" t="b">
        <v>0</v>
      </c>
      <c r="D269" s="31" t="s">
        <v>4233</v>
      </c>
      <c r="E269" s="31" t="s">
        <v>4192</v>
      </c>
      <c r="F269" s="31" t="b">
        <v>0</v>
      </c>
      <c r="G269" s="31" t="s">
        <v>4297</v>
      </c>
      <c r="H269" s="31" t="s">
        <v>4298</v>
      </c>
      <c r="I269" s="31" t="s">
        <v>4298</v>
      </c>
      <c r="J269" s="30" t="s">
        <v>4299</v>
      </c>
      <c r="K269" s="30" t="s">
        <v>4232</v>
      </c>
      <c r="L269" s="30"/>
      <c r="M269" s="30"/>
      <c r="N269" s="31" t="str">
        <f>VLOOKUP(I269,'Active Employees'!$B$2:$B$498,1,false)</f>
        <v>#N/A</v>
      </c>
      <c r="O269" s="33" t="s">
        <v>2213</v>
      </c>
      <c r="P269" s="31"/>
      <c r="Q269" s="31"/>
      <c r="R269" s="31"/>
      <c r="S269" s="30"/>
      <c r="T269" s="30"/>
      <c r="U269" s="30"/>
      <c r="V269" s="30"/>
      <c r="W269" s="30"/>
      <c r="X269" s="30"/>
      <c r="Y269" s="30"/>
      <c r="Z269" s="30"/>
      <c r="AA269" s="30"/>
    </row>
    <row r="270">
      <c r="A270" s="30"/>
      <c r="B270" s="31" t="s">
        <v>4230</v>
      </c>
      <c r="C270" s="31" t="b">
        <v>0</v>
      </c>
      <c r="D270" s="31" t="s">
        <v>4233</v>
      </c>
      <c r="E270" s="31" t="s">
        <v>4192</v>
      </c>
      <c r="F270" s="31" t="b">
        <v>0</v>
      </c>
      <c r="G270" s="31" t="s">
        <v>4300</v>
      </c>
      <c r="H270" s="31" t="s">
        <v>4301</v>
      </c>
      <c r="I270" s="31" t="s">
        <v>4301</v>
      </c>
      <c r="J270" s="30" t="s">
        <v>4302</v>
      </c>
      <c r="K270" s="30" t="s">
        <v>4232</v>
      </c>
      <c r="L270" s="30"/>
      <c r="M270" s="30"/>
      <c r="N270" s="31" t="str">
        <f>VLOOKUP(I270,'Active Employees'!$B$2:$B$498,1,false)</f>
        <v>#N/A</v>
      </c>
      <c r="O270" s="33" t="s">
        <v>2213</v>
      </c>
      <c r="P270" s="31"/>
      <c r="Q270" s="31"/>
      <c r="R270" s="31"/>
      <c r="S270" s="30"/>
      <c r="T270" s="30"/>
      <c r="U270" s="30"/>
      <c r="V270" s="30"/>
      <c r="W270" s="30"/>
      <c r="X270" s="30"/>
      <c r="Y270" s="30"/>
      <c r="Z270" s="30"/>
      <c r="AA270" s="30"/>
    </row>
    <row r="271">
      <c r="A271" s="30" t="s">
        <v>4303</v>
      </c>
      <c r="B271" s="31" t="s">
        <v>4304</v>
      </c>
      <c r="C271" s="31" t="b">
        <v>0</v>
      </c>
      <c r="D271" s="31" t="s">
        <v>4305</v>
      </c>
      <c r="E271" s="31" t="s">
        <v>4306</v>
      </c>
      <c r="F271" s="31" t="b">
        <v>0</v>
      </c>
      <c r="G271" s="31" t="s">
        <v>4307</v>
      </c>
      <c r="H271" s="31" t="s">
        <v>4308</v>
      </c>
      <c r="I271" s="31" t="s">
        <v>4308</v>
      </c>
      <c r="J271" s="30" t="s">
        <v>4309</v>
      </c>
      <c r="K271" s="30" t="s">
        <v>4232</v>
      </c>
      <c r="L271" s="30"/>
      <c r="M271" s="30"/>
      <c r="N271" s="31" t="str">
        <f>VLOOKUP(I271,'Active Employees'!$B$2:$B$498,1,false)</f>
        <v>#N/A</v>
      </c>
      <c r="O271" s="33" t="s">
        <v>2213</v>
      </c>
      <c r="P271" s="31"/>
      <c r="Q271" s="31"/>
      <c r="R271" s="31"/>
      <c r="S271" s="30"/>
      <c r="T271" s="30"/>
      <c r="U271" s="30"/>
      <c r="V271" s="30"/>
      <c r="W271" s="30"/>
      <c r="X271" s="30"/>
      <c r="Y271" s="30"/>
      <c r="Z271" s="30"/>
      <c r="AA271" s="30"/>
    </row>
    <row r="272">
      <c r="A272" s="30"/>
      <c r="B272" s="31" t="s">
        <v>4230</v>
      </c>
      <c r="C272" s="31" t="b">
        <v>0</v>
      </c>
      <c r="D272" s="31" t="s">
        <v>4231</v>
      </c>
      <c r="E272" s="31" t="s">
        <v>4192</v>
      </c>
      <c r="F272" s="31" t="b">
        <v>0</v>
      </c>
      <c r="G272" s="31" t="s">
        <v>2953</v>
      </c>
      <c r="H272" s="31" t="s">
        <v>1571</v>
      </c>
      <c r="I272" s="31" t="s">
        <v>1571</v>
      </c>
      <c r="J272" s="30" t="s">
        <v>4310</v>
      </c>
      <c r="K272" s="30" t="s">
        <v>4232</v>
      </c>
      <c r="L272" s="30"/>
      <c r="M272" s="30"/>
      <c r="N272" s="31" t="str">
        <f>VLOOKUP(I272,'Active Employees'!$B$2:$B$498,1,false)</f>
        <v>#N/A</v>
      </c>
      <c r="O272" s="33" t="s">
        <v>2213</v>
      </c>
      <c r="P272" s="31"/>
      <c r="Q272" s="31"/>
      <c r="R272" s="31"/>
      <c r="S272" s="30"/>
      <c r="T272" s="30"/>
      <c r="U272" s="30"/>
      <c r="V272" s="30"/>
      <c r="W272" s="30"/>
      <c r="X272" s="30"/>
      <c r="Y272" s="30"/>
      <c r="Z272" s="30"/>
      <c r="AA272" s="30"/>
    </row>
    <row r="273">
      <c r="A273" s="30"/>
      <c r="B273" s="31" t="s">
        <v>4230</v>
      </c>
      <c r="C273" s="31" t="b">
        <v>0</v>
      </c>
      <c r="D273" s="31" t="s">
        <v>4233</v>
      </c>
      <c r="E273" s="31" t="s">
        <v>4192</v>
      </c>
      <c r="F273" s="31" t="b">
        <v>0</v>
      </c>
      <c r="G273" s="31" t="s">
        <v>4311</v>
      </c>
      <c r="H273" s="31" t="s">
        <v>4312</v>
      </c>
      <c r="I273" s="31" t="s">
        <v>4312</v>
      </c>
      <c r="J273" s="30" t="s">
        <v>4313</v>
      </c>
      <c r="K273" s="30" t="s">
        <v>4232</v>
      </c>
      <c r="L273" s="30"/>
      <c r="M273" s="30"/>
      <c r="N273" s="31" t="str">
        <f>VLOOKUP(I273,'Active Employees'!$B$2:$B$498,1,false)</f>
        <v>#N/A</v>
      </c>
      <c r="O273" s="33" t="s">
        <v>2213</v>
      </c>
      <c r="P273" s="31"/>
      <c r="Q273" s="31"/>
      <c r="R273" s="31"/>
      <c r="S273" s="30"/>
      <c r="T273" s="30"/>
      <c r="U273" s="30"/>
      <c r="V273" s="30"/>
      <c r="W273" s="30"/>
      <c r="X273" s="30"/>
      <c r="Y273" s="30"/>
      <c r="Z273" s="30"/>
      <c r="AA273" s="30"/>
    </row>
    <row r="274">
      <c r="A274" s="30"/>
      <c r="B274" s="31" t="s">
        <v>4230</v>
      </c>
      <c r="C274" s="31" t="b">
        <v>0</v>
      </c>
      <c r="D274" s="31" t="s">
        <v>4314</v>
      </c>
      <c r="E274" s="31" t="s">
        <v>4192</v>
      </c>
      <c r="F274" s="31" t="b">
        <v>0</v>
      </c>
      <c r="G274" s="31" t="s">
        <v>4315</v>
      </c>
      <c r="H274" s="31" t="s">
        <v>4316</v>
      </c>
      <c r="I274" s="31" t="s">
        <v>4316</v>
      </c>
      <c r="J274" s="30" t="s">
        <v>4317</v>
      </c>
      <c r="K274" s="30" t="s">
        <v>4232</v>
      </c>
      <c r="L274" s="30"/>
      <c r="M274" s="30"/>
      <c r="N274" s="31" t="str">
        <f>VLOOKUP(I274,'Active Employees'!$B$2:$B$498,1,false)</f>
        <v>#N/A</v>
      </c>
      <c r="O274" s="33" t="s">
        <v>2213</v>
      </c>
      <c r="P274" s="31"/>
      <c r="Q274" s="31"/>
      <c r="R274" s="31"/>
      <c r="S274" s="30"/>
      <c r="T274" s="30"/>
      <c r="U274" s="30"/>
      <c r="V274" s="30"/>
      <c r="W274" s="30"/>
      <c r="X274" s="30"/>
      <c r="Y274" s="30"/>
      <c r="Z274" s="30"/>
      <c r="AA274" s="30"/>
    </row>
    <row r="275">
      <c r="A275" s="30"/>
      <c r="B275" s="31" t="s">
        <v>4230</v>
      </c>
      <c r="C275" s="31" t="b">
        <v>0</v>
      </c>
      <c r="D275" s="31" t="s">
        <v>4233</v>
      </c>
      <c r="E275" s="31" t="s">
        <v>4192</v>
      </c>
      <c r="F275" s="31" t="b">
        <v>0</v>
      </c>
      <c r="G275" s="31" t="s">
        <v>4318</v>
      </c>
      <c r="H275" s="31"/>
      <c r="I275" s="31"/>
      <c r="J275" s="30"/>
      <c r="K275" s="30" t="s">
        <v>4319</v>
      </c>
      <c r="L275" s="30"/>
      <c r="M275" s="30"/>
      <c r="N275" s="31" t="str">
        <f>VLOOKUP(I275,'Active Employees'!$B$2:$B$498,1,false)</f>
        <v>#N/A</v>
      </c>
      <c r="O275" s="33" t="s">
        <v>2213</v>
      </c>
      <c r="P275" s="31"/>
      <c r="Q275" s="31"/>
      <c r="R275" s="31"/>
      <c r="S275" s="30"/>
      <c r="T275" s="30"/>
      <c r="U275" s="30"/>
      <c r="V275" s="30"/>
      <c r="W275" s="30"/>
      <c r="X275" s="30"/>
      <c r="Y275" s="30"/>
      <c r="Z275" s="30"/>
      <c r="AA275" s="30"/>
    </row>
    <row r="276">
      <c r="A276" s="30"/>
      <c r="B276" s="31" t="s">
        <v>4230</v>
      </c>
      <c r="C276" s="31" t="b">
        <v>0</v>
      </c>
      <c r="D276" s="31" t="s">
        <v>4231</v>
      </c>
      <c r="E276" s="31" t="s">
        <v>4192</v>
      </c>
      <c r="F276" s="31" t="b">
        <v>0</v>
      </c>
      <c r="G276" s="31" t="s">
        <v>4320</v>
      </c>
      <c r="H276" s="31" t="s">
        <v>4321</v>
      </c>
      <c r="I276" s="31" t="s">
        <v>4321</v>
      </c>
      <c r="J276" s="30" t="s">
        <v>4322</v>
      </c>
      <c r="K276" s="30" t="s">
        <v>4232</v>
      </c>
      <c r="L276" s="30"/>
      <c r="M276" s="30"/>
      <c r="N276" s="31" t="str">
        <f>VLOOKUP(I276,'Active Employees'!$B$2:$B$498,1,false)</f>
        <v>#N/A</v>
      </c>
      <c r="O276" s="33" t="s">
        <v>2213</v>
      </c>
      <c r="P276" s="31"/>
      <c r="Q276" s="31"/>
      <c r="R276" s="31"/>
      <c r="S276" s="30"/>
      <c r="T276" s="30"/>
      <c r="U276" s="30"/>
      <c r="V276" s="30"/>
      <c r="W276" s="30"/>
      <c r="X276" s="30"/>
      <c r="Y276" s="30"/>
      <c r="Z276" s="30"/>
      <c r="AA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</row>
    <row r="986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</row>
    <row r="987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</row>
    <row r="988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</row>
    <row r="989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</row>
    <row r="990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</row>
    <row r="99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</row>
    <row r="992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</row>
    <row r="993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</row>
    <row r="994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</row>
    <row r="995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</row>
    <row r="996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</row>
    <row r="997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</row>
    <row r="998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</row>
    <row r="999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</row>
    <row r="1000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55.63"/>
    <col customWidth="1" min="3" max="3" width="25.63"/>
  </cols>
  <sheetData>
    <row r="1">
      <c r="A1" s="49" t="s">
        <v>3325</v>
      </c>
      <c r="B1" s="49" t="s">
        <v>2025</v>
      </c>
      <c r="C1" s="49" t="s">
        <v>2023</v>
      </c>
      <c r="D1" s="49" t="s">
        <v>1462</v>
      </c>
    </row>
    <row r="2">
      <c r="A2" s="49" t="s">
        <v>3125</v>
      </c>
      <c r="B2" s="49" t="s">
        <v>4323</v>
      </c>
      <c r="C2" s="49" t="s">
        <v>366</v>
      </c>
      <c r="D2" s="49" t="s">
        <v>4324</v>
      </c>
    </row>
    <row r="3">
      <c r="A3" s="49" t="s">
        <v>3085</v>
      </c>
      <c r="B3" s="49" t="s">
        <v>4325</v>
      </c>
      <c r="C3" s="49" t="s">
        <v>975</v>
      </c>
      <c r="D3" s="49" t="s">
        <v>4324</v>
      </c>
    </row>
    <row r="4">
      <c r="A4" s="49" t="s">
        <v>3250</v>
      </c>
      <c r="B4" s="49" t="s">
        <v>4323</v>
      </c>
      <c r="C4" s="49" t="s">
        <v>424</v>
      </c>
      <c r="D4" s="49" t="s">
        <v>4324</v>
      </c>
    </row>
    <row r="5">
      <c r="A5" s="49" t="s">
        <v>1936</v>
      </c>
      <c r="B5" s="49" t="s">
        <v>4325</v>
      </c>
      <c r="C5" s="49" t="s">
        <v>2117</v>
      </c>
      <c r="D5" s="49" t="s">
        <v>4324</v>
      </c>
    </row>
    <row r="6">
      <c r="A6" s="49" t="s">
        <v>4326</v>
      </c>
      <c r="B6" s="49" t="s">
        <v>4325</v>
      </c>
      <c r="C6" s="49" t="s">
        <v>306</v>
      </c>
      <c r="D6" s="49" t="s">
        <v>4324</v>
      </c>
    </row>
    <row r="7">
      <c r="A7" s="49" t="s">
        <v>1875</v>
      </c>
      <c r="B7" s="49" t="s">
        <v>4325</v>
      </c>
      <c r="C7" s="49" t="s">
        <v>1052</v>
      </c>
      <c r="D7" s="49" t="s">
        <v>4324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88"/>
    <col hidden="1" min="8" max="8" width="12.63"/>
  </cols>
  <sheetData>
    <row r="1">
      <c r="A1" s="49" t="s">
        <v>1475</v>
      </c>
      <c r="B1" s="49" t="s">
        <v>1476</v>
      </c>
      <c r="C1" s="49" t="s">
        <v>4092</v>
      </c>
      <c r="D1" s="49" t="s">
        <v>4093</v>
      </c>
      <c r="E1" s="49" t="s">
        <v>4094</v>
      </c>
      <c r="F1" s="49" t="s">
        <v>1477</v>
      </c>
      <c r="G1" s="49" t="s">
        <v>1478</v>
      </c>
      <c r="H1" s="49" t="s">
        <v>1479</v>
      </c>
      <c r="I1" s="49" t="s">
        <v>4095</v>
      </c>
      <c r="J1" s="49" t="s">
        <v>1462</v>
      </c>
    </row>
    <row r="2" hidden="1">
      <c r="A2" s="73" t="s">
        <v>4106</v>
      </c>
      <c r="B2" s="73" t="s">
        <v>4056</v>
      </c>
      <c r="C2" s="49" t="b">
        <v>1</v>
      </c>
      <c r="D2" s="49" t="s">
        <v>4101</v>
      </c>
      <c r="F2" s="49" t="b">
        <v>0</v>
      </c>
      <c r="G2" s="49" t="s">
        <v>4098</v>
      </c>
      <c r="I2" s="49">
        <v>0.0</v>
      </c>
      <c r="J2" s="49" t="s">
        <v>4324</v>
      </c>
    </row>
    <row r="3" hidden="1">
      <c r="A3" s="73" t="s">
        <v>4327</v>
      </c>
      <c r="B3" s="73" t="s">
        <v>3999</v>
      </c>
      <c r="C3" s="49" t="b">
        <v>1</v>
      </c>
      <c r="D3" s="49" t="s">
        <v>4101</v>
      </c>
      <c r="F3" s="49" t="b">
        <v>0</v>
      </c>
      <c r="G3" s="49" t="s">
        <v>4098</v>
      </c>
      <c r="I3" s="49">
        <v>0.0</v>
      </c>
      <c r="J3" s="49" t="s">
        <v>4324</v>
      </c>
    </row>
    <row r="4" hidden="1">
      <c r="A4" s="73" t="s">
        <v>4328</v>
      </c>
      <c r="B4" s="73" t="s">
        <v>3096</v>
      </c>
      <c r="C4" s="49" t="b">
        <v>1</v>
      </c>
      <c r="D4" s="49" t="s">
        <v>4101</v>
      </c>
      <c r="F4" s="49" t="b">
        <v>1</v>
      </c>
      <c r="G4" s="49" t="s">
        <v>4098</v>
      </c>
      <c r="I4" s="49">
        <v>0.0</v>
      </c>
      <c r="J4" s="49" t="s">
        <v>4324</v>
      </c>
    </row>
    <row r="5" hidden="1">
      <c r="A5" s="73" t="s">
        <v>4112</v>
      </c>
      <c r="B5" s="73" t="s">
        <v>3993</v>
      </c>
      <c r="C5" s="49" t="b">
        <v>1</v>
      </c>
      <c r="D5" s="49" t="s">
        <v>4097</v>
      </c>
      <c r="F5" s="49" t="b">
        <v>0</v>
      </c>
      <c r="G5" s="49" t="s">
        <v>4098</v>
      </c>
      <c r="I5" s="49">
        <v>0.0</v>
      </c>
      <c r="J5" s="49" t="s">
        <v>4324</v>
      </c>
    </row>
    <row r="6" hidden="1">
      <c r="A6" s="73" t="s">
        <v>4329</v>
      </c>
      <c r="B6" s="73" t="s">
        <v>3049</v>
      </c>
      <c r="C6" s="49" t="b">
        <v>1</v>
      </c>
      <c r="D6" s="49" t="s">
        <v>4101</v>
      </c>
      <c r="F6" s="49" t="b">
        <v>0</v>
      </c>
      <c r="G6" s="49" t="s">
        <v>4098</v>
      </c>
      <c r="I6" s="49">
        <v>0.0</v>
      </c>
      <c r="J6" s="49" t="s">
        <v>4324</v>
      </c>
    </row>
    <row r="7">
      <c r="A7" s="73" t="s">
        <v>1489</v>
      </c>
      <c r="B7" s="73" t="s">
        <v>1490</v>
      </c>
      <c r="C7" s="49" t="b">
        <v>1</v>
      </c>
      <c r="D7" s="49" t="s">
        <v>4097</v>
      </c>
      <c r="F7" s="49" t="b">
        <v>0</v>
      </c>
      <c r="G7" s="49" t="s">
        <v>1481</v>
      </c>
      <c r="I7" s="49">
        <v>0.0</v>
      </c>
      <c r="J7" s="49" t="s">
        <v>4324</v>
      </c>
    </row>
    <row r="8" hidden="1">
      <c r="A8" s="73" t="s">
        <v>4330</v>
      </c>
      <c r="B8" s="73" t="s">
        <v>4331</v>
      </c>
      <c r="C8" s="49" t="b">
        <v>1</v>
      </c>
      <c r="D8" s="49" t="s">
        <v>4101</v>
      </c>
      <c r="F8" s="49" t="b">
        <v>0</v>
      </c>
      <c r="G8" s="49" t="s">
        <v>4098</v>
      </c>
      <c r="I8" s="49">
        <v>0.0</v>
      </c>
      <c r="J8" s="49" t="s">
        <v>4324</v>
      </c>
    </row>
    <row r="9" hidden="1">
      <c r="A9" s="73" t="s">
        <v>4332</v>
      </c>
      <c r="B9" s="73" t="s">
        <v>4333</v>
      </c>
      <c r="C9" s="49" t="b">
        <v>1</v>
      </c>
      <c r="D9" s="49" t="s">
        <v>4097</v>
      </c>
      <c r="F9" s="49" t="b">
        <v>0</v>
      </c>
      <c r="G9" s="49" t="s">
        <v>4098</v>
      </c>
      <c r="I9" s="49">
        <v>0.0</v>
      </c>
      <c r="J9" s="49" t="s">
        <v>4324</v>
      </c>
    </row>
    <row r="10" hidden="1">
      <c r="A10" s="73" t="s">
        <v>4334</v>
      </c>
      <c r="B10" s="73" t="s">
        <v>195</v>
      </c>
      <c r="C10" s="49" t="b">
        <v>1</v>
      </c>
      <c r="D10" s="49" t="s">
        <v>4097</v>
      </c>
      <c r="F10" s="49" t="b">
        <v>0</v>
      </c>
      <c r="G10" s="49" t="s">
        <v>4098</v>
      </c>
      <c r="I10" s="49">
        <v>0.0</v>
      </c>
      <c r="J10" s="49" t="s">
        <v>4324</v>
      </c>
    </row>
    <row r="11">
      <c r="A11" s="73" t="s">
        <v>1495</v>
      </c>
      <c r="B11" s="73" t="s">
        <v>1496</v>
      </c>
      <c r="C11" s="49" t="b">
        <v>1</v>
      </c>
      <c r="D11" s="49" t="s">
        <v>4097</v>
      </c>
      <c r="F11" s="49" t="b">
        <v>0</v>
      </c>
      <c r="G11" s="49" t="s">
        <v>1481</v>
      </c>
      <c r="I11" s="49">
        <v>0.0</v>
      </c>
      <c r="J11" s="49" t="s">
        <v>4324</v>
      </c>
    </row>
    <row r="12" hidden="1">
      <c r="A12" s="73" t="s">
        <v>4335</v>
      </c>
      <c r="B12" s="73" t="s">
        <v>336</v>
      </c>
      <c r="C12" s="49" t="b">
        <v>1</v>
      </c>
      <c r="D12" s="49" t="s">
        <v>4097</v>
      </c>
      <c r="F12" s="49" t="b">
        <v>1</v>
      </c>
      <c r="G12" s="49" t="s">
        <v>4098</v>
      </c>
      <c r="I12" s="49">
        <v>0.0</v>
      </c>
      <c r="J12" s="49" t="s">
        <v>4324</v>
      </c>
    </row>
    <row r="13" hidden="1">
      <c r="A13" s="73" t="s">
        <v>4115</v>
      </c>
      <c r="B13" s="73" t="s">
        <v>4016</v>
      </c>
      <c r="C13" s="49" t="b">
        <v>1</v>
      </c>
      <c r="D13" s="49" t="s">
        <v>4101</v>
      </c>
      <c r="F13" s="49" t="b">
        <v>0</v>
      </c>
      <c r="G13" s="49" t="s">
        <v>4098</v>
      </c>
      <c r="I13" s="49">
        <v>0.0</v>
      </c>
      <c r="J13" s="49" t="s">
        <v>4324</v>
      </c>
    </row>
    <row r="14">
      <c r="A14" s="73" t="s">
        <v>4336</v>
      </c>
      <c r="B14" s="73" t="s">
        <v>3085</v>
      </c>
      <c r="C14" s="49" t="b">
        <v>1</v>
      </c>
      <c r="D14" s="49" t="s">
        <v>4097</v>
      </c>
      <c r="F14" s="49" t="b">
        <v>1</v>
      </c>
      <c r="G14" s="49" t="s">
        <v>1481</v>
      </c>
      <c r="I14" s="49">
        <v>0.0</v>
      </c>
      <c r="J14" s="49" t="s">
        <v>4324</v>
      </c>
    </row>
    <row r="15" hidden="1">
      <c r="A15" s="73" t="s">
        <v>4337</v>
      </c>
      <c r="B15" s="73" t="s">
        <v>4338</v>
      </c>
      <c r="C15" s="49" t="b">
        <v>1</v>
      </c>
      <c r="D15" s="49" t="s">
        <v>4101</v>
      </c>
      <c r="F15" s="49" t="b">
        <v>0</v>
      </c>
      <c r="G15" s="49" t="s">
        <v>4098</v>
      </c>
      <c r="I15" s="49">
        <v>0.0</v>
      </c>
      <c r="J15" s="49" t="s">
        <v>4324</v>
      </c>
    </row>
    <row r="16" hidden="1">
      <c r="A16" s="73" t="s">
        <v>4116</v>
      </c>
      <c r="B16" s="73" t="s">
        <v>4018</v>
      </c>
      <c r="C16" s="49" t="b">
        <v>1</v>
      </c>
      <c r="D16" s="49" t="s">
        <v>4101</v>
      </c>
      <c r="F16" s="49" t="b">
        <v>0</v>
      </c>
      <c r="G16" s="49" t="s">
        <v>4098</v>
      </c>
      <c r="I16" s="49">
        <v>0.0</v>
      </c>
      <c r="J16" s="49" t="s">
        <v>4324</v>
      </c>
    </row>
    <row r="17" hidden="1">
      <c r="A17" s="73" t="s">
        <v>4339</v>
      </c>
      <c r="B17" s="73" t="s">
        <v>3103</v>
      </c>
      <c r="C17" s="49" t="b">
        <v>1</v>
      </c>
      <c r="D17" s="49" t="s">
        <v>4097</v>
      </c>
      <c r="F17" s="49" t="b">
        <v>1</v>
      </c>
      <c r="G17" s="49" t="s">
        <v>4098</v>
      </c>
      <c r="I17" s="49">
        <v>0.0</v>
      </c>
      <c r="J17" s="49" t="s">
        <v>4324</v>
      </c>
    </row>
    <row r="18" hidden="1">
      <c r="A18" s="73" t="s">
        <v>4340</v>
      </c>
      <c r="B18" s="73" t="s">
        <v>3080</v>
      </c>
      <c r="C18" s="49" t="b">
        <v>1</v>
      </c>
      <c r="D18" s="49" t="s">
        <v>4101</v>
      </c>
      <c r="F18" s="49" t="b">
        <v>0</v>
      </c>
      <c r="G18" s="49" t="s">
        <v>4098</v>
      </c>
      <c r="I18" s="49">
        <v>0.0</v>
      </c>
      <c r="J18" s="49" t="s">
        <v>4324</v>
      </c>
    </row>
    <row r="19" hidden="1">
      <c r="A19" s="73" t="s">
        <v>4341</v>
      </c>
      <c r="B19" s="73" t="s">
        <v>3038</v>
      </c>
      <c r="C19" s="49" t="b">
        <v>1</v>
      </c>
      <c r="D19" s="49" t="s">
        <v>4101</v>
      </c>
      <c r="F19" s="49" t="b">
        <v>0</v>
      </c>
      <c r="G19" s="49" t="s">
        <v>4098</v>
      </c>
      <c r="I19" s="49">
        <v>0.0</v>
      </c>
      <c r="J19" s="49" t="s">
        <v>4324</v>
      </c>
    </row>
    <row r="20" hidden="1">
      <c r="A20" s="73" t="s">
        <v>4342</v>
      </c>
      <c r="B20" s="73" t="s">
        <v>3984</v>
      </c>
      <c r="C20" s="49" t="b">
        <v>1</v>
      </c>
      <c r="D20" s="49" t="s">
        <v>4097</v>
      </c>
      <c r="F20" s="49" t="b">
        <v>0</v>
      </c>
      <c r="G20" s="49" t="s">
        <v>4098</v>
      </c>
      <c r="I20" s="49">
        <v>0.0</v>
      </c>
      <c r="J20" s="49" t="s">
        <v>4324</v>
      </c>
    </row>
    <row r="21" hidden="1">
      <c r="A21" s="73" t="s">
        <v>4343</v>
      </c>
      <c r="B21" s="73" t="s">
        <v>2993</v>
      </c>
      <c r="C21" s="49" t="b">
        <v>1</v>
      </c>
      <c r="D21" s="49" t="s">
        <v>4101</v>
      </c>
      <c r="F21" s="49" t="b">
        <v>0</v>
      </c>
      <c r="G21" s="49" t="s">
        <v>4098</v>
      </c>
      <c r="I21" s="49">
        <v>0.0</v>
      </c>
      <c r="J21" s="49" t="s">
        <v>4324</v>
      </c>
    </row>
    <row r="22" hidden="1">
      <c r="A22" s="73" t="s">
        <v>4118</v>
      </c>
      <c r="B22" s="73" t="s">
        <v>4046</v>
      </c>
      <c r="C22" s="49" t="b">
        <v>1</v>
      </c>
      <c r="D22" s="49" t="s">
        <v>4101</v>
      </c>
      <c r="F22" s="49" t="b">
        <v>0</v>
      </c>
      <c r="G22" s="49" t="s">
        <v>4098</v>
      </c>
      <c r="I22" s="49">
        <v>0.0</v>
      </c>
      <c r="J22" s="49" t="s">
        <v>4324</v>
      </c>
    </row>
    <row r="23">
      <c r="A23" s="73" t="s">
        <v>4344</v>
      </c>
      <c r="B23" s="73" t="s">
        <v>1936</v>
      </c>
      <c r="C23" s="49" t="b">
        <v>1</v>
      </c>
      <c r="D23" s="49" t="s">
        <v>4097</v>
      </c>
      <c r="F23" s="49" t="b">
        <v>0</v>
      </c>
      <c r="G23" s="49" t="s">
        <v>1481</v>
      </c>
      <c r="I23" s="49">
        <v>0.0</v>
      </c>
      <c r="J23" s="49" t="s">
        <v>4324</v>
      </c>
    </row>
    <row r="24" hidden="1">
      <c r="A24" s="73" t="s">
        <v>4345</v>
      </c>
      <c r="B24" s="73" t="s">
        <v>4043</v>
      </c>
      <c r="C24" s="49" t="b">
        <v>1</v>
      </c>
      <c r="D24" s="49" t="s">
        <v>4101</v>
      </c>
      <c r="F24" s="49" t="b">
        <v>0</v>
      </c>
      <c r="G24" s="49" t="s">
        <v>4098</v>
      </c>
      <c r="I24" s="49">
        <v>0.0</v>
      </c>
      <c r="J24" s="49" t="s">
        <v>4324</v>
      </c>
    </row>
    <row r="25" hidden="1">
      <c r="A25" s="73" t="s">
        <v>4346</v>
      </c>
      <c r="B25" s="73" t="s">
        <v>3104</v>
      </c>
      <c r="C25" s="49" t="b">
        <v>1</v>
      </c>
      <c r="D25" s="49" t="s">
        <v>4101</v>
      </c>
      <c r="F25" s="49" t="b">
        <v>0</v>
      </c>
      <c r="G25" s="49" t="s">
        <v>4098</v>
      </c>
      <c r="I25" s="49">
        <v>0.0</v>
      </c>
      <c r="J25" s="49" t="s">
        <v>4324</v>
      </c>
    </row>
    <row r="26" hidden="1">
      <c r="A26" s="73" t="s">
        <v>4347</v>
      </c>
      <c r="B26" s="73" t="s">
        <v>1950</v>
      </c>
      <c r="C26" s="49" t="b">
        <v>1</v>
      </c>
      <c r="D26" s="49" t="s">
        <v>4097</v>
      </c>
      <c r="F26" s="49" t="b">
        <v>0</v>
      </c>
      <c r="G26" s="49" t="s">
        <v>4098</v>
      </c>
      <c r="I26" s="49">
        <v>0.0</v>
      </c>
      <c r="J26" s="49" t="s">
        <v>4324</v>
      </c>
    </row>
    <row r="27">
      <c r="A27" s="73" t="s">
        <v>1511</v>
      </c>
      <c r="B27" s="73" t="s">
        <v>1512</v>
      </c>
      <c r="C27" s="49" t="b">
        <v>1</v>
      </c>
      <c r="D27" s="49" t="s">
        <v>4101</v>
      </c>
      <c r="F27" s="49" t="b">
        <v>0</v>
      </c>
      <c r="G27" s="49" t="s">
        <v>1481</v>
      </c>
      <c r="I27" s="49">
        <v>0.0</v>
      </c>
      <c r="J27" s="49" t="s">
        <v>4324</v>
      </c>
    </row>
    <row r="28" hidden="1">
      <c r="A28" s="73" t="s">
        <v>4120</v>
      </c>
      <c r="B28" s="73" t="s">
        <v>4002</v>
      </c>
      <c r="C28" s="49" t="b">
        <v>1</v>
      </c>
      <c r="D28" s="49" t="s">
        <v>4097</v>
      </c>
      <c r="F28" s="49" t="b">
        <v>0</v>
      </c>
      <c r="G28" s="49" t="s">
        <v>4098</v>
      </c>
      <c r="I28" s="49">
        <v>0.0</v>
      </c>
      <c r="J28" s="49" t="s">
        <v>4324</v>
      </c>
    </row>
    <row r="29">
      <c r="A29" s="73" t="s">
        <v>1514</v>
      </c>
      <c r="B29" s="73" t="s">
        <v>1515</v>
      </c>
      <c r="C29" s="49" t="b">
        <v>1</v>
      </c>
      <c r="D29" s="49" t="s">
        <v>4097</v>
      </c>
      <c r="F29" s="49" t="b">
        <v>0</v>
      </c>
      <c r="G29" s="49" t="s">
        <v>1481</v>
      </c>
      <c r="I29" s="49">
        <v>0.0</v>
      </c>
      <c r="J29" s="49" t="s">
        <v>4324</v>
      </c>
    </row>
    <row r="30" hidden="1">
      <c r="A30" s="73" t="s">
        <v>4123</v>
      </c>
      <c r="B30" s="73" t="s">
        <v>4031</v>
      </c>
      <c r="C30" s="49" t="b">
        <v>1</v>
      </c>
      <c r="D30" s="49" t="s">
        <v>4097</v>
      </c>
      <c r="F30" s="49" t="b">
        <v>0</v>
      </c>
      <c r="G30" s="49" t="s">
        <v>4098</v>
      </c>
      <c r="I30" s="49">
        <v>0.0</v>
      </c>
      <c r="J30" s="49" t="s">
        <v>4324</v>
      </c>
    </row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G$1:$G$1000">
    <filterColumn colId="0">
      <filters>
        <filter val="Owner"/>
      </filters>
    </filterColumn>
  </autoFil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25"/>
    <col customWidth="1" min="2" max="2" width="32.25"/>
    <col customWidth="1" min="3" max="3" width="11.5"/>
    <col customWidth="1" hidden="1" min="4" max="5" width="13.5"/>
    <col customWidth="1" hidden="1" min="6" max="6" width="25.5"/>
    <col customWidth="1" min="7" max="7" width="13.88"/>
    <col customWidth="1" min="9" max="9" width="34.63"/>
  </cols>
  <sheetData>
    <row r="1">
      <c r="A1" s="82" t="s">
        <v>3325</v>
      </c>
      <c r="B1" s="83" t="s">
        <v>2023</v>
      </c>
      <c r="C1" s="83" t="s">
        <v>4086</v>
      </c>
      <c r="D1" s="83" t="s">
        <v>4348</v>
      </c>
      <c r="E1" s="83" t="s">
        <v>4349</v>
      </c>
      <c r="F1" s="82" t="s">
        <v>1463</v>
      </c>
      <c r="G1" s="84" t="s">
        <v>1462</v>
      </c>
      <c r="H1" s="6" t="s">
        <v>1459</v>
      </c>
      <c r="I1" s="6" t="s">
        <v>1460</v>
      </c>
      <c r="J1" s="6" t="s">
        <v>1461</v>
      </c>
    </row>
    <row r="2">
      <c r="A2" s="85" t="s">
        <v>4333</v>
      </c>
      <c r="B2" s="85" t="s">
        <v>4350</v>
      </c>
      <c r="C2" s="86" t="s">
        <v>3962</v>
      </c>
      <c r="D2" s="87">
        <v>45596.0</v>
      </c>
      <c r="E2" s="86" t="s">
        <v>4351</v>
      </c>
      <c r="F2" s="88" t="str">
        <f>VLOOKUP(B2,'Active Employees'!$B$2:$B$498,1,false)</f>
        <v>#N/A</v>
      </c>
      <c r="G2" s="89" t="s">
        <v>1466</v>
      </c>
      <c r="H2" s="11"/>
      <c r="I2" s="90" t="s">
        <v>4352</v>
      </c>
      <c r="J2" s="11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91" t="s">
        <v>3085</v>
      </c>
      <c r="B3" s="91" t="s">
        <v>975</v>
      </c>
      <c r="C3" s="92" t="s">
        <v>3962</v>
      </c>
      <c r="D3" s="93">
        <v>45596.0</v>
      </c>
      <c r="E3" s="92" t="s">
        <v>4351</v>
      </c>
      <c r="F3" s="94" t="str">
        <f>VLOOKUP(B3,'Active Employees'!$B$2:$B$498,1,false)</f>
        <v>kirill.merkushev@docker.com</v>
      </c>
      <c r="G3" s="49" t="s">
        <v>1469</v>
      </c>
      <c r="H3" s="19"/>
      <c r="I3" s="19"/>
      <c r="J3" s="19"/>
    </row>
    <row r="4">
      <c r="A4" s="91" t="s">
        <v>336</v>
      </c>
      <c r="B4" s="91" t="s">
        <v>1431</v>
      </c>
      <c r="C4" s="92" t="s">
        <v>3962</v>
      </c>
      <c r="D4" s="93">
        <v>45551.0</v>
      </c>
      <c r="E4" s="92" t="s">
        <v>4351</v>
      </c>
      <c r="F4" s="94" t="str">
        <f>VLOOKUP(B4,'Active Employees'!$B$2:$B$498,1,false)</f>
        <v>kevin.wittek@docker.com</v>
      </c>
      <c r="G4" s="49" t="s">
        <v>1469</v>
      </c>
      <c r="H4" s="19"/>
      <c r="I4" s="19"/>
      <c r="J4" s="19"/>
    </row>
    <row r="5">
      <c r="A5" s="91" t="s">
        <v>1936</v>
      </c>
      <c r="B5" s="91" t="s">
        <v>899</v>
      </c>
      <c r="C5" s="92" t="s">
        <v>3962</v>
      </c>
      <c r="D5" s="93">
        <v>45336.0</v>
      </c>
      <c r="E5" s="92" t="s">
        <v>4351</v>
      </c>
      <c r="F5" s="94" t="str">
        <f>VLOOKUP(B5,'Active Employees'!$B$2:$B$498,1,false)</f>
        <v>Robert.Lorimer@docker.com</v>
      </c>
      <c r="G5" s="49" t="s">
        <v>1469</v>
      </c>
      <c r="H5" s="19"/>
      <c r="I5" s="19"/>
      <c r="J5" s="19"/>
    </row>
    <row r="6">
      <c r="A6" s="91" t="s">
        <v>897</v>
      </c>
      <c r="B6" s="91" t="s">
        <v>897</v>
      </c>
      <c r="C6" s="92" t="s">
        <v>3962</v>
      </c>
      <c r="D6" s="93">
        <v>45365.0</v>
      </c>
      <c r="E6" s="92" t="s">
        <v>4351</v>
      </c>
      <c r="F6" s="94" t="str">
        <f>VLOOKUP(B6,'Active Employees'!$B$2:$B$498,1,false)</f>
        <v>ignacio.lopezluna@docker.com</v>
      </c>
      <c r="G6" s="49" t="s">
        <v>1469</v>
      </c>
      <c r="H6" s="19"/>
      <c r="I6" s="19"/>
      <c r="J6" s="19"/>
    </row>
    <row r="7">
      <c r="A7" s="91" t="s">
        <v>3250</v>
      </c>
      <c r="B7" s="91" t="s">
        <v>424</v>
      </c>
      <c r="C7" s="92" t="s">
        <v>3962</v>
      </c>
      <c r="D7" s="93">
        <v>45335.0</v>
      </c>
      <c r="E7" s="92" t="s">
        <v>4351</v>
      </c>
      <c r="F7" s="94" t="str">
        <f>VLOOKUP(B7,'Active Employees'!$B$2:$B$498,1,false)</f>
        <v>leo.cross@docker.com</v>
      </c>
      <c r="G7" s="49" t="s">
        <v>1469</v>
      </c>
      <c r="H7" s="19"/>
      <c r="I7" s="19"/>
      <c r="J7" s="19"/>
    </row>
    <row r="8">
      <c r="A8" s="91" t="s">
        <v>3103</v>
      </c>
      <c r="B8" s="91" t="s">
        <v>457</v>
      </c>
      <c r="C8" s="92" t="s">
        <v>3962</v>
      </c>
      <c r="D8" s="93">
        <v>45330.0</v>
      </c>
      <c r="E8" s="92" t="s">
        <v>4351</v>
      </c>
      <c r="F8" s="94" t="str">
        <f>VLOOKUP(B8,'Active Employees'!$B$2:$B$498,1,false)</f>
        <v>manuel.delapena@docker.com</v>
      </c>
      <c r="G8" s="49" t="s">
        <v>1469</v>
      </c>
      <c r="H8" s="19"/>
      <c r="I8" s="19"/>
      <c r="J8" s="19"/>
    </row>
    <row r="9">
      <c r="A9" s="91" t="s">
        <v>3096</v>
      </c>
      <c r="B9" s="91" t="s">
        <v>971</v>
      </c>
      <c r="C9" s="92" t="s">
        <v>3962</v>
      </c>
      <c r="D9" s="93">
        <v>45329.0</v>
      </c>
      <c r="E9" s="92" t="s">
        <v>4351</v>
      </c>
      <c r="F9" s="94" t="str">
        <f>VLOOKUP(B9,'Active Employees'!$B$2:$B$498,1,false)</f>
        <v>eddu.melendez@docker.com</v>
      </c>
      <c r="G9" s="49" t="s">
        <v>1469</v>
      </c>
      <c r="H9" s="19"/>
      <c r="I9" s="19"/>
      <c r="J9" s="19"/>
    </row>
    <row r="10">
      <c r="A10" s="85" t="s">
        <v>4353</v>
      </c>
      <c r="B10" s="85" t="s">
        <v>4354</v>
      </c>
      <c r="C10" s="86" t="s">
        <v>4355</v>
      </c>
      <c r="D10" s="87">
        <v>45817.0</v>
      </c>
      <c r="E10" s="86" t="s">
        <v>4351</v>
      </c>
      <c r="F10" s="88" t="str">
        <f>VLOOKUP(B10,'Active Employees'!$B$2:$B$498,1,false)</f>
        <v>#N/A</v>
      </c>
      <c r="G10" s="89" t="s">
        <v>1466</v>
      </c>
      <c r="H10" s="11"/>
      <c r="I10" s="90" t="s">
        <v>4352</v>
      </c>
      <c r="J10" s="11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85" t="s">
        <v>4356</v>
      </c>
      <c r="B11" s="85" t="s">
        <v>4357</v>
      </c>
      <c r="C11" s="86" t="s">
        <v>4355</v>
      </c>
      <c r="D11" s="87">
        <v>45719.0</v>
      </c>
      <c r="E11" s="86" t="s">
        <v>4351</v>
      </c>
      <c r="F11" s="88" t="str">
        <f>VLOOKUP(B11,'Active Employees'!$B$2:$B$498,1,false)</f>
        <v>#N/A</v>
      </c>
      <c r="G11" s="89" t="s">
        <v>1466</v>
      </c>
      <c r="H11" s="11"/>
      <c r="I11" s="90" t="s">
        <v>4352</v>
      </c>
      <c r="J11" s="11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85" t="s">
        <v>4358</v>
      </c>
      <c r="B12" s="85" t="s">
        <v>4359</v>
      </c>
      <c r="C12" s="86" t="s">
        <v>4355</v>
      </c>
      <c r="D12" s="87">
        <v>45679.0</v>
      </c>
      <c r="E12" s="86" t="s">
        <v>4351</v>
      </c>
      <c r="F12" s="88" t="str">
        <f>VLOOKUP(B12,'Active Employees'!$B$2:$B$498,1,false)</f>
        <v>#N/A</v>
      </c>
      <c r="G12" s="89" t="s">
        <v>1466</v>
      </c>
      <c r="H12" s="11"/>
      <c r="I12" s="90" t="s">
        <v>4352</v>
      </c>
      <c r="J12" s="11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85" t="s">
        <v>4360</v>
      </c>
      <c r="B13" s="85" t="s">
        <v>3346</v>
      </c>
      <c r="C13" s="86" t="s">
        <v>4355</v>
      </c>
      <c r="D13" s="87">
        <v>45665.0</v>
      </c>
      <c r="E13" s="86" t="s">
        <v>4351</v>
      </c>
      <c r="F13" s="88" t="str">
        <f>VLOOKUP(B13,'Active Employees'!$B$2:$B$498,1,false)</f>
        <v>#N/A</v>
      </c>
      <c r="G13" s="89" t="s">
        <v>1466</v>
      </c>
      <c r="H13" s="11"/>
      <c r="I13" s="90" t="s">
        <v>4352</v>
      </c>
      <c r="J13" s="11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85" t="s">
        <v>4361</v>
      </c>
      <c r="B14" s="85" t="s">
        <v>4362</v>
      </c>
      <c r="C14" s="86" t="s">
        <v>4355</v>
      </c>
      <c r="D14" s="87">
        <v>45643.0</v>
      </c>
      <c r="E14" s="86" t="s">
        <v>4351</v>
      </c>
      <c r="F14" s="88" t="str">
        <f>VLOOKUP(B14,'Active Employees'!$B$2:$B$498,1,false)</f>
        <v>#N/A</v>
      </c>
      <c r="G14" s="89" t="s">
        <v>1466</v>
      </c>
      <c r="H14" s="11"/>
      <c r="I14" s="90" t="s">
        <v>4352</v>
      </c>
      <c r="J14" s="11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85" t="s">
        <v>4363</v>
      </c>
      <c r="B15" s="85" t="s">
        <v>4364</v>
      </c>
      <c r="C15" s="86" t="s">
        <v>4355</v>
      </c>
      <c r="D15" s="87">
        <v>45608.0</v>
      </c>
      <c r="E15" s="86" t="s">
        <v>4351</v>
      </c>
      <c r="F15" s="88" t="str">
        <f>VLOOKUP(B15,'Active Employees'!$B$2:$B$498,1,false)</f>
        <v>#N/A</v>
      </c>
      <c r="G15" s="89" t="s">
        <v>1466</v>
      </c>
      <c r="H15" s="11"/>
      <c r="I15" s="90" t="s">
        <v>4352</v>
      </c>
      <c r="J15" s="11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85" t="s">
        <v>3016</v>
      </c>
      <c r="B16" s="85" t="s">
        <v>3966</v>
      </c>
      <c r="C16" s="86" t="s">
        <v>4355</v>
      </c>
      <c r="D16" s="87">
        <v>45607.0</v>
      </c>
      <c r="E16" s="86" t="s">
        <v>4351</v>
      </c>
      <c r="F16" s="88" t="str">
        <f>VLOOKUP(B16,'Active Employees'!$B$2:$B$498,1,false)</f>
        <v>#N/A</v>
      </c>
      <c r="G16" s="89" t="s">
        <v>1466</v>
      </c>
      <c r="H16" s="11"/>
      <c r="I16" s="90" t="s">
        <v>4352</v>
      </c>
      <c r="J16" s="11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85" t="s">
        <v>4365</v>
      </c>
      <c r="B17" s="85" t="s">
        <v>4366</v>
      </c>
      <c r="C17" s="86" t="s">
        <v>4355</v>
      </c>
      <c r="D17" s="87">
        <v>45607.0</v>
      </c>
      <c r="E17" s="86" t="s">
        <v>4351</v>
      </c>
      <c r="F17" s="88" t="str">
        <f>VLOOKUP(B17,'Active Employees'!$B$2:$B$498,1,false)</f>
        <v>#N/A</v>
      </c>
      <c r="G17" s="89" t="s">
        <v>1466</v>
      </c>
      <c r="H17" s="11"/>
      <c r="I17" s="90" t="s">
        <v>4352</v>
      </c>
      <c r="J17" s="11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85" t="s">
        <v>4367</v>
      </c>
      <c r="B18" s="85" t="s">
        <v>4368</v>
      </c>
      <c r="C18" s="86" t="s">
        <v>4355</v>
      </c>
      <c r="D18" s="87">
        <v>45603.0</v>
      </c>
      <c r="E18" s="86" t="s">
        <v>4351</v>
      </c>
      <c r="F18" s="88" t="str">
        <f>VLOOKUP(B18,'Active Employees'!$B$2:$B$498,1,false)</f>
        <v>#N/A</v>
      </c>
      <c r="G18" s="89" t="s">
        <v>1466</v>
      </c>
      <c r="H18" s="11"/>
      <c r="I18" s="90" t="s">
        <v>4352</v>
      </c>
      <c r="J18" s="11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85" t="s">
        <v>4369</v>
      </c>
      <c r="B19" s="85" t="s">
        <v>4370</v>
      </c>
      <c r="C19" s="86" t="s">
        <v>4355</v>
      </c>
      <c r="D19" s="87">
        <v>45560.0</v>
      </c>
      <c r="E19" s="86" t="s">
        <v>4351</v>
      </c>
      <c r="F19" s="88" t="str">
        <f>VLOOKUP(B19,'Active Employees'!$B$2:$B$498,1,false)</f>
        <v>#N/A</v>
      </c>
      <c r="G19" s="89" t="s">
        <v>1466</v>
      </c>
      <c r="H19" s="11"/>
      <c r="I19" s="90" t="s">
        <v>4352</v>
      </c>
      <c r="J19" s="11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85" t="s">
        <v>4371</v>
      </c>
      <c r="B20" s="85" t="s">
        <v>4372</v>
      </c>
      <c r="C20" s="86" t="s">
        <v>4355</v>
      </c>
      <c r="D20" s="87">
        <v>45559.0</v>
      </c>
      <c r="E20" s="86" t="s">
        <v>4351</v>
      </c>
      <c r="F20" s="88" t="str">
        <f>VLOOKUP(B20,'Active Employees'!$B$2:$B$498,1,false)</f>
        <v>#N/A</v>
      </c>
      <c r="G20" s="89" t="s">
        <v>1466</v>
      </c>
      <c r="H20" s="11"/>
      <c r="I20" s="90" t="s">
        <v>4352</v>
      </c>
      <c r="J20" s="11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85" t="s">
        <v>1725</v>
      </c>
      <c r="B21" s="85" t="s">
        <v>4373</v>
      </c>
      <c r="C21" s="86" t="s">
        <v>4355</v>
      </c>
      <c r="D21" s="87">
        <v>45559.0</v>
      </c>
      <c r="E21" s="86" t="s">
        <v>4351</v>
      </c>
      <c r="F21" s="88" t="str">
        <f>VLOOKUP(B21,'Active Employees'!$B$2:$B$498,1,false)</f>
        <v>#N/A</v>
      </c>
      <c r="G21" s="89" t="s">
        <v>1466</v>
      </c>
      <c r="H21" s="11"/>
      <c r="I21" s="90" t="s">
        <v>4352</v>
      </c>
      <c r="J21" s="11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85" t="s">
        <v>1715</v>
      </c>
      <c r="B22" s="85" t="s">
        <v>4374</v>
      </c>
      <c r="C22" s="86" t="s">
        <v>4355</v>
      </c>
      <c r="D22" s="87">
        <v>45498.0</v>
      </c>
      <c r="E22" s="86" t="s">
        <v>4351</v>
      </c>
      <c r="F22" s="88" t="str">
        <f>VLOOKUP(B22,'Active Employees'!$B$2:$B$498,1,false)</f>
        <v>#N/A</v>
      </c>
      <c r="G22" s="89" t="s">
        <v>1466</v>
      </c>
      <c r="H22" s="11"/>
      <c r="I22" s="90" t="s">
        <v>4352</v>
      </c>
      <c r="J22" s="11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85" t="s">
        <v>3263</v>
      </c>
      <c r="B23" s="85" t="s">
        <v>4375</v>
      </c>
      <c r="C23" s="86" t="s">
        <v>4355</v>
      </c>
      <c r="D23" s="87">
        <v>45363.0</v>
      </c>
      <c r="E23" s="86" t="s">
        <v>4351</v>
      </c>
      <c r="F23" s="88" t="str">
        <f>VLOOKUP(B23,'Active Employees'!$B$2:$B$498,1,false)</f>
        <v>#N/A</v>
      </c>
      <c r="G23" s="89" t="s">
        <v>1466</v>
      </c>
      <c r="H23" s="14"/>
      <c r="I23" s="90" t="s">
        <v>4352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85" t="s">
        <v>4376</v>
      </c>
      <c r="B24" s="85" t="s">
        <v>4377</v>
      </c>
      <c r="C24" s="86" t="s">
        <v>4355</v>
      </c>
      <c r="D24" s="87">
        <v>45334.0</v>
      </c>
      <c r="E24" s="86" t="s">
        <v>4351</v>
      </c>
      <c r="F24" s="88" t="str">
        <f>VLOOKUP(B24,'Active Employees'!$B$2:$B$498,1,false)</f>
        <v>#N/A</v>
      </c>
      <c r="G24" s="89" t="s">
        <v>1466</v>
      </c>
      <c r="H24" s="14"/>
      <c r="I24" s="90" t="s">
        <v>4352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85" t="s">
        <v>1803</v>
      </c>
      <c r="B25" s="85" t="s">
        <v>4378</v>
      </c>
      <c r="C25" s="86" t="s">
        <v>4355</v>
      </c>
      <c r="D25" s="87">
        <v>45330.0</v>
      </c>
      <c r="E25" s="86" t="s">
        <v>4351</v>
      </c>
      <c r="F25" s="88" t="str">
        <f>VLOOKUP(B25,'Active Employees'!$B$2:$B$498,1,false)</f>
        <v>#N/A</v>
      </c>
      <c r="G25" s="89" t="s">
        <v>1466</v>
      </c>
      <c r="H25" s="14"/>
      <c r="I25" s="90" t="s">
        <v>4352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91" t="s">
        <v>3079</v>
      </c>
      <c r="B26" s="91" t="s">
        <v>350</v>
      </c>
      <c r="C26" s="92" t="s">
        <v>4355</v>
      </c>
      <c r="D26" s="93">
        <v>45923.0</v>
      </c>
      <c r="E26" s="92" t="s">
        <v>4351</v>
      </c>
      <c r="F26" s="94" t="str">
        <f>VLOOKUP(B26,'Active Employees'!$B$2:$B$498,1,false)</f>
        <v>martin.cezar-george@docker.com</v>
      </c>
      <c r="G26" s="49" t="s">
        <v>1469</v>
      </c>
    </row>
    <row r="27">
      <c r="A27" s="91" t="s">
        <v>1759</v>
      </c>
      <c r="B27" s="91" t="s">
        <v>110</v>
      </c>
      <c r="C27" s="92" t="s">
        <v>4355</v>
      </c>
      <c r="D27" s="93">
        <v>45916.0</v>
      </c>
      <c r="E27" s="92" t="s">
        <v>4351</v>
      </c>
      <c r="F27" s="94" t="str">
        <f>VLOOKUP(B27,'Active Employees'!$B$2:$B$498,1,false)</f>
        <v>ashime.ashime@docker.com</v>
      </c>
      <c r="G27" s="49" t="s">
        <v>1469</v>
      </c>
    </row>
    <row r="28">
      <c r="A28" s="91" t="s">
        <v>3222</v>
      </c>
      <c r="B28" s="91" t="s">
        <v>709</v>
      </c>
      <c r="C28" s="92" t="s">
        <v>4355</v>
      </c>
      <c r="D28" s="93">
        <v>45916.0</v>
      </c>
      <c r="E28" s="92" t="s">
        <v>4351</v>
      </c>
      <c r="F28" s="94" t="str">
        <f>VLOOKUP(B28,'Active Employees'!$B$2:$B$498,1,false)</f>
        <v>colin.hemmings@docker.com</v>
      </c>
      <c r="G28" s="49" t="s">
        <v>1469</v>
      </c>
    </row>
    <row r="29">
      <c r="A29" s="91" t="s">
        <v>4044</v>
      </c>
      <c r="B29" s="91" t="s">
        <v>302</v>
      </c>
      <c r="C29" s="92" t="s">
        <v>4355</v>
      </c>
      <c r="D29" s="93">
        <v>45911.0</v>
      </c>
      <c r="E29" s="92" t="s">
        <v>4351</v>
      </c>
      <c r="F29" s="94" t="str">
        <f>VLOOKUP(B29,'Active Employees'!$B$2:$B$498,1,false)</f>
        <v>oleg.burov@docker.com</v>
      </c>
      <c r="G29" s="49" t="s">
        <v>1469</v>
      </c>
    </row>
    <row r="30">
      <c r="A30" s="91" t="s">
        <v>3270</v>
      </c>
      <c r="B30" s="91" t="s">
        <v>1143</v>
      </c>
      <c r="C30" s="92" t="s">
        <v>4355</v>
      </c>
      <c r="D30" s="93">
        <v>45896.0</v>
      </c>
      <c r="E30" s="92" t="s">
        <v>4351</v>
      </c>
      <c r="F30" s="94" t="str">
        <f>VLOOKUP(B30,'Active Employees'!$B$2:$B$498,1,false)</f>
        <v>kelsey.quirke@docker.com</v>
      </c>
      <c r="G30" s="49" t="s">
        <v>1469</v>
      </c>
    </row>
    <row r="31">
      <c r="A31" s="91" t="s">
        <v>3285</v>
      </c>
      <c r="B31" s="91" t="s">
        <v>1183</v>
      </c>
      <c r="C31" s="92" t="s">
        <v>4355</v>
      </c>
      <c r="D31" s="93">
        <v>45896.0</v>
      </c>
      <c r="E31" s="92" t="s">
        <v>4351</v>
      </c>
      <c r="F31" s="94" t="str">
        <f>VLOOKUP(B31,'Active Employees'!$B$2:$B$498,1,false)</f>
        <v>brandon.roth@docker.com</v>
      </c>
      <c r="G31" s="49" t="s">
        <v>1469</v>
      </c>
    </row>
    <row r="32">
      <c r="A32" s="91" t="s">
        <v>3318</v>
      </c>
      <c r="B32" s="91" t="s">
        <v>575</v>
      </c>
      <c r="C32" s="92" t="s">
        <v>4355</v>
      </c>
      <c r="D32" s="93">
        <v>45894.0</v>
      </c>
      <c r="E32" s="92" t="s">
        <v>4351</v>
      </c>
      <c r="F32" s="94" t="str">
        <f>VLOOKUP(B32,'Active Employees'!$B$2:$B$498,1,false)</f>
        <v>juan.fernandez@docker.com</v>
      </c>
      <c r="G32" s="49" t="s">
        <v>1469</v>
      </c>
    </row>
    <row r="33">
      <c r="A33" s="91" t="s">
        <v>183</v>
      </c>
      <c r="B33" s="91" t="s">
        <v>358</v>
      </c>
      <c r="C33" s="92" t="s">
        <v>4355</v>
      </c>
      <c r="D33" s="93">
        <v>45894.0</v>
      </c>
      <c r="E33" s="92" t="s">
        <v>4351</v>
      </c>
      <c r="F33" s="94" t="str">
        <f>VLOOKUP(B33,'Active Employees'!$B$2:$B$498,1,false)</f>
        <v>maja.chapus@docker.com</v>
      </c>
      <c r="G33" s="49" t="s">
        <v>1469</v>
      </c>
    </row>
    <row r="34">
      <c r="A34" s="91" t="s">
        <v>3024</v>
      </c>
      <c r="B34" s="91" t="s">
        <v>1041</v>
      </c>
      <c r="C34" s="92" t="s">
        <v>4355</v>
      </c>
      <c r="D34" s="93">
        <v>45875.0</v>
      </c>
      <c r="E34" s="92" t="s">
        <v>4351</v>
      </c>
      <c r="F34" s="94" t="str">
        <f>VLOOKUP(B34,'Active Employees'!$B$2:$B$498,1,false)</f>
        <v>bjorn.neergaard@docker.com</v>
      </c>
      <c r="G34" s="49" t="s">
        <v>1469</v>
      </c>
    </row>
    <row r="35">
      <c r="A35" s="91" t="s">
        <v>3215</v>
      </c>
      <c r="B35" s="91" t="s">
        <v>1278</v>
      </c>
      <c r="C35" s="92" t="s">
        <v>4355</v>
      </c>
      <c r="D35" s="93">
        <v>45862.0</v>
      </c>
      <c r="E35" s="92" t="s">
        <v>4351</v>
      </c>
      <c r="F35" s="94" t="str">
        <f>VLOOKUP(B35,'Active Employees'!$B$2:$B$498,1,false)</f>
        <v>trevor.smith@docker.com</v>
      </c>
      <c r="G35" s="49" t="s">
        <v>1469</v>
      </c>
    </row>
    <row r="36">
      <c r="A36" s="91" t="s">
        <v>360</v>
      </c>
      <c r="B36" s="91" t="s">
        <v>993</v>
      </c>
      <c r="C36" s="92" t="s">
        <v>4355</v>
      </c>
      <c r="D36" s="93">
        <v>45860.0</v>
      </c>
      <c r="E36" s="92" t="s">
        <v>4351</v>
      </c>
      <c r="F36" s="94" t="str">
        <f>VLOOKUP(B36,'Active Employees'!$B$2:$B$498,1,false)</f>
        <v>stuart.minchington@docker.com</v>
      </c>
      <c r="G36" s="49" t="s">
        <v>1469</v>
      </c>
    </row>
    <row r="37">
      <c r="A37" s="91" t="s">
        <v>3322</v>
      </c>
      <c r="B37" s="91" t="s">
        <v>1004</v>
      </c>
      <c r="C37" s="92" t="s">
        <v>4355</v>
      </c>
      <c r="D37" s="93">
        <v>45854.0</v>
      </c>
      <c r="E37" s="92" t="s">
        <v>4351</v>
      </c>
      <c r="F37" s="94" t="str">
        <f>VLOOKUP(B37,'Active Employees'!$B$2:$B$498,1,false)</f>
        <v>stephane.montri@docker.com</v>
      </c>
      <c r="G37" s="49" t="s">
        <v>1469</v>
      </c>
    </row>
    <row r="38">
      <c r="A38" s="91" t="s">
        <v>4043</v>
      </c>
      <c r="B38" s="91" t="s">
        <v>1116</v>
      </c>
      <c r="C38" s="92" t="s">
        <v>4355</v>
      </c>
      <c r="D38" s="93">
        <v>45853.0</v>
      </c>
      <c r="E38" s="92" t="s">
        <v>4351</v>
      </c>
      <c r="F38" s="94" t="str">
        <f>VLOOKUP(B38,'Active Employees'!$B$2:$B$498,1,false)</f>
        <v>ryan.phelps@docker.com</v>
      </c>
      <c r="G38" s="49" t="s">
        <v>1469</v>
      </c>
    </row>
    <row r="39">
      <c r="A39" s="91" t="s">
        <v>2982</v>
      </c>
      <c r="B39" s="91" t="s">
        <v>564</v>
      </c>
      <c r="C39" s="92" t="s">
        <v>4355</v>
      </c>
      <c r="D39" s="93">
        <v>45846.0</v>
      </c>
      <c r="E39" s="92" t="s">
        <v>4351</v>
      </c>
      <c r="F39" s="94" t="str">
        <f>VLOOKUP(B39,'Active Employees'!$B$2:$B$498,1,false)</f>
        <v>sylvia.favello@docker.com</v>
      </c>
      <c r="G39" s="49" t="s">
        <v>1469</v>
      </c>
    </row>
    <row r="40">
      <c r="A40" s="91" t="s">
        <v>1614</v>
      </c>
      <c r="B40" s="91" t="s">
        <v>3078</v>
      </c>
      <c r="C40" s="92" t="s">
        <v>4355</v>
      </c>
      <c r="D40" s="93">
        <v>45834.0</v>
      </c>
      <c r="E40" s="92" t="s">
        <v>4351</v>
      </c>
      <c r="F40" s="94" t="str">
        <f>VLOOKUP(B40,'Active Employees'!$B$2:$B$498,1,false)</f>
        <v>#N/A</v>
      </c>
      <c r="G40" s="49" t="s">
        <v>1469</v>
      </c>
    </row>
    <row r="41">
      <c r="A41" s="91" t="s">
        <v>2976</v>
      </c>
      <c r="B41" s="91" t="s">
        <v>2977</v>
      </c>
      <c r="C41" s="92" t="s">
        <v>4355</v>
      </c>
      <c r="D41" s="93">
        <v>45833.0</v>
      </c>
      <c r="E41" s="92" t="s">
        <v>4351</v>
      </c>
      <c r="F41" s="94" t="str">
        <f>VLOOKUP(B41,'Active Employees'!$B$2:$B$498,1,false)</f>
        <v>#N/A</v>
      </c>
      <c r="G41" s="49" t="s">
        <v>1469</v>
      </c>
    </row>
    <row r="42">
      <c r="A42" s="91" t="s">
        <v>3227</v>
      </c>
      <c r="B42" s="91" t="s">
        <v>3228</v>
      </c>
      <c r="C42" s="92" t="s">
        <v>4355</v>
      </c>
      <c r="D42" s="93">
        <v>45820.0</v>
      </c>
      <c r="E42" s="92" t="s">
        <v>4351</v>
      </c>
      <c r="F42" s="94" t="str">
        <f>VLOOKUP(B42,'Active Employees'!$B$2:$B$498,1,false)</f>
        <v>#N/A</v>
      </c>
      <c r="G42" s="49" t="s">
        <v>1469</v>
      </c>
    </row>
    <row r="43">
      <c r="A43" s="91" t="s">
        <v>3999</v>
      </c>
      <c r="B43" s="91" t="s">
        <v>895</v>
      </c>
      <c r="C43" s="92" t="s">
        <v>4355</v>
      </c>
      <c r="D43" s="93">
        <v>45818.0</v>
      </c>
      <c r="E43" s="92" t="s">
        <v>4351</v>
      </c>
      <c r="F43" s="94" t="str">
        <f>VLOOKUP(B43,'Active Employees'!$B$2:$B$498,1,false)</f>
        <v>forrest.loomis@docker.com</v>
      </c>
      <c r="G43" s="49" t="s">
        <v>1469</v>
      </c>
    </row>
    <row r="44">
      <c r="A44" s="91" t="s">
        <v>170</v>
      </c>
      <c r="B44" s="91" t="s">
        <v>654</v>
      </c>
      <c r="C44" s="92" t="s">
        <v>4355</v>
      </c>
      <c r="D44" s="93">
        <v>45817.0</v>
      </c>
      <c r="E44" s="92" t="s">
        <v>4351</v>
      </c>
      <c r="F44" s="94" t="str">
        <f>VLOOKUP(B44,'Active Employees'!$B$2:$B$498,1,false)</f>
        <v>cody.green@docker.com</v>
      </c>
      <c r="G44" s="49" t="s">
        <v>1469</v>
      </c>
    </row>
    <row r="45">
      <c r="A45" s="91" t="s">
        <v>3198</v>
      </c>
      <c r="B45" s="91" t="s">
        <v>1013</v>
      </c>
      <c r="C45" s="92" t="s">
        <v>4355</v>
      </c>
      <c r="D45" s="93">
        <v>45810.0</v>
      </c>
      <c r="E45" s="92" t="s">
        <v>4351</v>
      </c>
      <c r="F45" s="94" t="str">
        <f>VLOOKUP(B45,'Active Employees'!$B$2:$B$498,1,false)</f>
        <v>loren.muchnick@docker.com</v>
      </c>
      <c r="G45" s="49" t="s">
        <v>1469</v>
      </c>
    </row>
    <row r="46">
      <c r="A46" s="91" t="s">
        <v>4379</v>
      </c>
      <c r="B46" s="91" t="s">
        <v>4379</v>
      </c>
      <c r="C46" s="92" t="s">
        <v>4355</v>
      </c>
      <c r="D46" s="93">
        <v>45810.0</v>
      </c>
      <c r="E46" s="92" t="s">
        <v>4351</v>
      </c>
      <c r="F46" s="94" t="str">
        <f>VLOOKUP(B46,'Active Employees'!$B$2:$B$498,1,false)</f>
        <v>#N/A</v>
      </c>
      <c r="G46" s="49" t="s">
        <v>1469</v>
      </c>
    </row>
    <row r="47">
      <c r="A47" s="91" t="s">
        <v>3993</v>
      </c>
      <c r="B47" s="91" t="s">
        <v>1393</v>
      </c>
      <c r="C47" s="92" t="s">
        <v>4355</v>
      </c>
      <c r="D47" s="93">
        <v>45810.0</v>
      </c>
      <c r="E47" s="92" t="s">
        <v>4351</v>
      </c>
      <c r="F47" s="94" t="str">
        <f>VLOOKUP(B47,'Active Employees'!$B$2:$B$498,1,false)</f>
        <v>emre.ugurlu@docker.com</v>
      </c>
      <c r="G47" s="49" t="s">
        <v>1469</v>
      </c>
    </row>
    <row r="48">
      <c r="A48" s="91" t="s">
        <v>3289</v>
      </c>
      <c r="B48" s="91" t="s">
        <v>1167</v>
      </c>
      <c r="C48" s="92" t="s">
        <v>4355</v>
      </c>
      <c r="D48" s="93">
        <v>45797.0</v>
      </c>
      <c r="E48" s="92" t="s">
        <v>4351</v>
      </c>
      <c r="F48" s="94" t="str">
        <f>VLOOKUP(B48,'Active Employees'!$B$2:$B$498,1,false)</f>
        <v>camila.gonzalez@docker.com</v>
      </c>
      <c r="G48" s="49" t="s">
        <v>1469</v>
      </c>
    </row>
    <row r="49">
      <c r="A49" s="91" t="s">
        <v>4037</v>
      </c>
      <c r="B49" s="91" t="s">
        <v>1276</v>
      </c>
      <c r="C49" s="92" t="s">
        <v>4355</v>
      </c>
      <c r="D49" s="93">
        <v>45776.0</v>
      </c>
      <c r="E49" s="92" t="s">
        <v>4351</v>
      </c>
      <c r="F49" s="94" t="str">
        <f>VLOOKUP(B49,'Active Employees'!$B$2:$B$498,1,false)</f>
        <v>terry.smith@docker.com</v>
      </c>
      <c r="G49" s="49" t="s">
        <v>1469</v>
      </c>
    </row>
    <row r="50">
      <c r="A50" s="91" t="s">
        <v>3084</v>
      </c>
      <c r="B50" s="91" t="s">
        <v>1391</v>
      </c>
      <c r="C50" s="92" t="s">
        <v>4355</v>
      </c>
      <c r="D50" s="93">
        <v>45758.0</v>
      </c>
      <c r="E50" s="92" t="s">
        <v>4351</v>
      </c>
      <c r="F50" s="94" t="str">
        <f>VLOOKUP(B50,'Active Employees'!$B$2:$B$498,1,false)</f>
        <v>ekaterina.tugarinova@docker.com</v>
      </c>
      <c r="G50" s="49" t="s">
        <v>1469</v>
      </c>
    </row>
    <row r="51">
      <c r="A51" s="91" t="s">
        <v>4004</v>
      </c>
      <c r="B51" s="91" t="s">
        <v>371</v>
      </c>
      <c r="C51" s="92" t="s">
        <v>4355</v>
      </c>
      <c r="D51" s="93">
        <v>45733.0</v>
      </c>
      <c r="E51" s="92" t="s">
        <v>4351</v>
      </c>
      <c r="F51" s="94" t="str">
        <f>VLOOKUP(B51,'Active Employees'!$B$2:$B$498,1,false)</f>
        <v>james.childs@docker.com</v>
      </c>
      <c r="G51" s="49" t="s">
        <v>1469</v>
      </c>
    </row>
    <row r="52">
      <c r="A52" s="91" t="s">
        <v>2980</v>
      </c>
      <c r="B52" s="91" t="s">
        <v>362</v>
      </c>
      <c r="C52" s="92" t="s">
        <v>4355</v>
      </c>
      <c r="D52" s="93">
        <v>45726.0</v>
      </c>
      <c r="E52" s="92" t="s">
        <v>4351</v>
      </c>
      <c r="F52" s="94" t="str">
        <f>VLOOKUP(B52,'Active Employees'!$B$2:$B$498,1,false)</f>
        <v>philippe.charriere@docker.com</v>
      </c>
      <c r="G52" s="49" t="s">
        <v>1469</v>
      </c>
    </row>
    <row r="53">
      <c r="A53" s="91" t="s">
        <v>2994</v>
      </c>
      <c r="B53" s="91" t="s">
        <v>535</v>
      </c>
      <c r="C53" s="92" t="s">
        <v>4355</v>
      </c>
      <c r="D53" s="93">
        <v>45721.0</v>
      </c>
      <c r="E53" s="92" t="s">
        <v>4351</v>
      </c>
      <c r="F53" s="94" t="str">
        <f>VLOOKUP(B53,'Active Employees'!$B$2:$B$498,1,false)</f>
        <v>anita.dzre@docker.com</v>
      </c>
      <c r="G53" s="49" t="s">
        <v>1469</v>
      </c>
    </row>
    <row r="54">
      <c r="A54" s="91" t="s">
        <v>1824</v>
      </c>
      <c r="B54" s="91" t="s">
        <v>1039</v>
      </c>
      <c r="C54" s="92" t="s">
        <v>4355</v>
      </c>
      <c r="D54" s="93">
        <v>45721.0</v>
      </c>
      <c r="E54" s="92" t="s">
        <v>4351</v>
      </c>
      <c r="F54" s="94" t="str">
        <f>VLOOKUP(B54,'Active Employees'!$B$2:$B$498,1,false)</f>
        <v>fazlan.nazeem@docker.com</v>
      </c>
      <c r="G54" s="49" t="s">
        <v>1469</v>
      </c>
    </row>
    <row r="55">
      <c r="A55" s="91" t="s">
        <v>755</v>
      </c>
      <c r="B55" s="91" t="s">
        <v>1205</v>
      </c>
      <c r="C55" s="92" t="s">
        <v>4355</v>
      </c>
      <c r="D55" s="93">
        <v>45712.0</v>
      </c>
      <c r="E55" s="92" t="s">
        <v>4351</v>
      </c>
      <c r="F55" s="94" t="str">
        <f>VLOOKUP(B55,'Active Employees'!$B$2:$B$498,1,false)</f>
        <v>kenan.salihbegovic@docker.com</v>
      </c>
      <c r="G55" s="49" t="s">
        <v>1469</v>
      </c>
    </row>
    <row r="56">
      <c r="A56" s="91" t="s">
        <v>1875</v>
      </c>
      <c r="B56" s="91" t="s">
        <v>1052</v>
      </c>
      <c r="C56" s="92" t="s">
        <v>4355</v>
      </c>
      <c r="D56" s="93">
        <v>45707.0</v>
      </c>
      <c r="E56" s="92" t="s">
        <v>4351</v>
      </c>
      <c r="F56" s="94" t="str">
        <f>VLOOKUP(B56,'Active Employees'!$B$2:$B$498,1,false)</f>
        <v>josh.newman@docker.com</v>
      </c>
      <c r="G56" s="49" t="s">
        <v>1469</v>
      </c>
    </row>
    <row r="57">
      <c r="A57" s="91" t="s">
        <v>3209</v>
      </c>
      <c r="B57" s="91" t="s">
        <v>950</v>
      </c>
      <c r="C57" s="92" t="s">
        <v>4355</v>
      </c>
      <c r="D57" s="93">
        <v>45706.0</v>
      </c>
      <c r="E57" s="92" t="s">
        <v>4351</v>
      </c>
      <c r="F57" s="94" t="str">
        <f>VLOOKUP(B57,'Active Employees'!$B$2:$B$498,1,false)</f>
        <v>patrick.port@docker.com</v>
      </c>
      <c r="G57" s="49" t="s">
        <v>1469</v>
      </c>
    </row>
    <row r="58">
      <c r="A58" s="91" t="s">
        <v>4020</v>
      </c>
      <c r="B58" s="91" t="s">
        <v>102</v>
      </c>
      <c r="C58" s="92" t="s">
        <v>4355</v>
      </c>
      <c r="D58" s="93">
        <v>45699.0</v>
      </c>
      <c r="E58" s="92" t="s">
        <v>4351</v>
      </c>
      <c r="F58" s="94" t="str">
        <f>VLOOKUP(B58,'Active Employees'!$B$2:$B$498,1,false)</f>
        <v>manal.alsaif@docker.com</v>
      </c>
      <c r="G58" s="49" t="s">
        <v>1469</v>
      </c>
    </row>
    <row r="59">
      <c r="A59" s="91" t="s">
        <v>3003</v>
      </c>
      <c r="B59" s="91" t="s">
        <v>1422</v>
      </c>
      <c r="C59" s="92" t="s">
        <v>4355</v>
      </c>
      <c r="D59" s="93">
        <v>45691.0</v>
      </c>
      <c r="E59" s="92" t="s">
        <v>4351</v>
      </c>
      <c r="F59" s="94" t="str">
        <f>VLOOKUP(B59,'Active Employees'!$B$2:$B$498,1,false)</f>
        <v>jarris.wilkins@docker.com</v>
      </c>
      <c r="G59" s="49" t="s">
        <v>1469</v>
      </c>
    </row>
    <row r="60">
      <c r="A60" s="91" t="s">
        <v>3296</v>
      </c>
      <c r="B60" s="91" t="s">
        <v>1306</v>
      </c>
      <c r="C60" s="92" t="s">
        <v>4355</v>
      </c>
      <c r="D60" s="93">
        <v>45681.0</v>
      </c>
      <c r="E60" s="92" t="s">
        <v>4351</v>
      </c>
      <c r="F60" s="94" t="str">
        <f>VLOOKUP(B60,'Active Employees'!$B$2:$B$498,1,false)</f>
        <v>frank.steiler@docker.com</v>
      </c>
      <c r="G60" s="49" t="s">
        <v>1469</v>
      </c>
    </row>
    <row r="61">
      <c r="A61" s="91" t="s">
        <v>3280</v>
      </c>
      <c r="B61" s="91" t="s">
        <v>1280</v>
      </c>
      <c r="C61" s="92" t="s">
        <v>4355</v>
      </c>
      <c r="D61" s="93">
        <v>45679.0</v>
      </c>
      <c r="E61" s="92" t="s">
        <v>4351</v>
      </c>
      <c r="F61" s="94" t="str">
        <f>VLOOKUP(B61,'Active Employees'!$B$2:$B$498,1,false)</f>
        <v>alexander.snelling@docker.com</v>
      </c>
      <c r="G61" s="49" t="s">
        <v>1469</v>
      </c>
    </row>
    <row r="62">
      <c r="A62" s="91" t="s">
        <v>3213</v>
      </c>
      <c r="B62" s="91" t="s">
        <v>1416</v>
      </c>
      <c r="C62" s="92" t="s">
        <v>4355</v>
      </c>
      <c r="D62" s="93">
        <v>45679.0</v>
      </c>
      <c r="E62" s="92" t="s">
        <v>4351</v>
      </c>
      <c r="F62" s="94" t="str">
        <f>VLOOKUP(B62,'Active Employees'!$B$2:$B$498,1,false)</f>
        <v>nicola.watson@docker.com</v>
      </c>
      <c r="G62" s="49" t="s">
        <v>1469</v>
      </c>
    </row>
    <row r="63">
      <c r="A63" s="91" t="s">
        <v>2993</v>
      </c>
      <c r="B63" s="91" t="s">
        <v>413</v>
      </c>
      <c r="C63" s="92" t="s">
        <v>4355</v>
      </c>
      <c r="D63" s="93">
        <v>45671.0</v>
      </c>
      <c r="E63" s="92" t="s">
        <v>4351</v>
      </c>
      <c r="F63" s="94" t="str">
        <f>VLOOKUP(B63,'Active Employees'!$B$2:$B$498,1,false)</f>
        <v>aaron.cordova@docker.com</v>
      </c>
      <c r="G63" s="49" t="s">
        <v>1469</v>
      </c>
    </row>
    <row r="64">
      <c r="A64" s="91" t="s">
        <v>4030</v>
      </c>
      <c r="B64" s="91" t="s">
        <v>998</v>
      </c>
      <c r="C64" s="92" t="s">
        <v>4355</v>
      </c>
      <c r="D64" s="93">
        <v>45670.0</v>
      </c>
      <c r="E64" s="92" t="s">
        <v>4351</v>
      </c>
      <c r="F64" s="94" t="str">
        <f>VLOOKUP(B64,'Active Employees'!$B$2:$B$498,1,false)</f>
        <v>rodny.molina@docker.com</v>
      </c>
      <c r="G64" s="49" t="s">
        <v>1469</v>
      </c>
    </row>
    <row r="65">
      <c r="A65" s="91" t="s">
        <v>3154</v>
      </c>
      <c r="B65" s="91" t="s">
        <v>446</v>
      </c>
      <c r="C65" s="92" t="s">
        <v>4355</v>
      </c>
      <c r="D65" s="93">
        <v>45663.0</v>
      </c>
      <c r="E65" s="92" t="s">
        <v>4351</v>
      </c>
      <c r="F65" s="94" t="str">
        <f>VLOOKUP(B65,'Active Employees'!$B$2:$B$498,1,false)</f>
        <v>william.dane@docker.com</v>
      </c>
      <c r="G65" s="49" t="s">
        <v>1469</v>
      </c>
    </row>
    <row r="66">
      <c r="A66" s="91" t="s">
        <v>3081</v>
      </c>
      <c r="B66" s="91" t="s">
        <v>194</v>
      </c>
      <c r="C66" s="92" t="s">
        <v>4355</v>
      </c>
      <c r="D66" s="93">
        <v>45646.0</v>
      </c>
      <c r="E66" s="92" t="s">
        <v>4351</v>
      </c>
      <c r="F66" s="94" t="str">
        <f>VLOOKUP(B66,'Active Employees'!$B$2:$B$498,1,false)</f>
        <v>nicolas.beck@docker.com</v>
      </c>
      <c r="G66" s="49" t="s">
        <v>1469</v>
      </c>
    </row>
    <row r="67">
      <c r="A67" s="91" t="s">
        <v>3181</v>
      </c>
      <c r="B67" s="91" t="s">
        <v>977</v>
      </c>
      <c r="C67" s="92" t="s">
        <v>4355</v>
      </c>
      <c r="D67" s="93">
        <v>45638.0</v>
      </c>
      <c r="E67" s="92" t="s">
        <v>4351</v>
      </c>
      <c r="F67" s="94" t="str">
        <f>VLOOKUP(B67,'Active Employees'!$B$2:$B$498,1,false)</f>
        <v>merinne.mesku@docker.com</v>
      </c>
      <c r="G67" s="49" t="s">
        <v>1469</v>
      </c>
    </row>
    <row r="68">
      <c r="A68" s="91" t="s">
        <v>3184</v>
      </c>
      <c r="B68" s="91" t="s">
        <v>200</v>
      </c>
      <c r="C68" s="92" t="s">
        <v>4355</v>
      </c>
      <c r="D68" s="93">
        <v>45636.0</v>
      </c>
      <c r="E68" s="92" t="s">
        <v>4351</v>
      </c>
      <c r="F68" s="94" t="str">
        <f>VLOOKUP(B68,'Active Employees'!$B$2:$B$498,1,false)</f>
        <v>will.bell@docker.com</v>
      </c>
      <c r="G68" s="49" t="s">
        <v>1469</v>
      </c>
    </row>
    <row r="69">
      <c r="A69" s="91" t="s">
        <v>3992</v>
      </c>
      <c r="B69" s="91" t="s">
        <v>641</v>
      </c>
      <c r="C69" s="92" t="s">
        <v>4355</v>
      </c>
      <c r="D69" s="93">
        <v>45635.0</v>
      </c>
      <c r="E69" s="92" t="s">
        <v>4351</v>
      </c>
      <c r="F69" s="94" t="str">
        <f>VLOOKUP(B69,'Active Employees'!$B$2:$B$498,1,false)</f>
        <v>elizabeth.granai@docker.com</v>
      </c>
      <c r="G69" s="49" t="s">
        <v>1469</v>
      </c>
    </row>
    <row r="70">
      <c r="A70" s="91" t="s">
        <v>3030</v>
      </c>
      <c r="B70" s="91" t="s">
        <v>311</v>
      </c>
      <c r="C70" s="92" t="s">
        <v>4355</v>
      </c>
      <c r="D70" s="93">
        <v>45632.0</v>
      </c>
      <c r="E70" s="92" t="s">
        <v>4351</v>
      </c>
      <c r="F70" s="94" t="str">
        <f>VLOOKUP(B70,'Active Employees'!$B$2:$B$498,1,false)</f>
        <v>iain.camacho@docker.com</v>
      </c>
      <c r="G70" s="49" t="s">
        <v>1469</v>
      </c>
    </row>
    <row r="71">
      <c r="A71" s="91" t="s">
        <v>3312</v>
      </c>
      <c r="B71" s="91" t="s">
        <v>1018</v>
      </c>
      <c r="C71" s="92" t="s">
        <v>4355</v>
      </c>
      <c r="D71" s="93">
        <v>45630.0</v>
      </c>
      <c r="E71" s="92" t="s">
        <v>4351</v>
      </c>
      <c r="F71" s="94" t="str">
        <f>VLOOKUP(B71,'Active Employees'!$B$2:$B$498,1,false)</f>
        <v>ali.mulla@docker.com</v>
      </c>
      <c r="G71" s="49" t="s">
        <v>1469</v>
      </c>
    </row>
    <row r="72">
      <c r="A72" s="91" t="s">
        <v>352</v>
      </c>
      <c r="B72" s="91" t="s">
        <v>1375</v>
      </c>
      <c r="C72" s="92" t="s">
        <v>4355</v>
      </c>
      <c r="D72" s="93">
        <v>45630.0</v>
      </c>
      <c r="E72" s="92" t="s">
        <v>4351</v>
      </c>
      <c r="F72" s="94" t="str">
        <f>VLOOKUP(B72,'Active Employees'!$B$2:$B$498,1,false)</f>
        <v>kristel.touron@docker.com</v>
      </c>
      <c r="G72" s="49" t="s">
        <v>1469</v>
      </c>
    </row>
    <row r="73">
      <c r="A73" s="91" t="s">
        <v>3022</v>
      </c>
      <c r="B73" s="91" t="s">
        <v>1211</v>
      </c>
      <c r="C73" s="92" t="s">
        <v>4355</v>
      </c>
      <c r="D73" s="93">
        <v>45629.0</v>
      </c>
      <c r="E73" s="92" t="s">
        <v>4351</v>
      </c>
      <c r="F73" s="94" t="str">
        <f>VLOOKUP(B73,'Active Employees'!$B$2:$B$498,1,false)</f>
        <v>sarah.sanders@docker.com</v>
      </c>
      <c r="G73" s="49" t="s">
        <v>1469</v>
      </c>
    </row>
    <row r="74">
      <c r="A74" s="91" t="s">
        <v>3138</v>
      </c>
      <c r="B74" s="91" t="s">
        <v>1123</v>
      </c>
      <c r="C74" s="92" t="s">
        <v>4355</v>
      </c>
      <c r="D74" s="93">
        <v>45628.0</v>
      </c>
      <c r="E74" s="92" t="s">
        <v>4351</v>
      </c>
      <c r="F74" s="94" t="str">
        <f>VLOOKUP(B74,'Active Employees'!$B$2:$B$498,1,false)</f>
        <v>sam.platt@docker.com</v>
      </c>
      <c r="G74" s="49" t="s">
        <v>1469</v>
      </c>
    </row>
    <row r="75">
      <c r="A75" s="91" t="s">
        <v>637</v>
      </c>
      <c r="B75" s="91" t="s">
        <v>378</v>
      </c>
      <c r="C75" s="92" t="s">
        <v>4355</v>
      </c>
      <c r="D75" s="93">
        <v>45628.0</v>
      </c>
      <c r="E75" s="92" t="s">
        <v>4351</v>
      </c>
      <c r="F75" s="94" t="str">
        <f>VLOOKUP(B75,'Active Employees'!$B$2:$B$498,1,false)</f>
        <v>nick.christou@docker.com</v>
      </c>
      <c r="G75" s="49" t="s">
        <v>1469</v>
      </c>
    </row>
    <row r="76">
      <c r="A76" s="91" t="s">
        <v>3049</v>
      </c>
      <c r="B76" s="91" t="s">
        <v>622</v>
      </c>
      <c r="C76" s="92" t="s">
        <v>4355</v>
      </c>
      <c r="D76" s="93">
        <v>45625.0</v>
      </c>
      <c r="E76" s="92" t="s">
        <v>4351</v>
      </c>
      <c r="F76" s="94" t="str">
        <f>VLOOKUP(B76,'Active Employees'!$B$2:$B$498,1,false)</f>
        <v>damaso.hierro@docker.com</v>
      </c>
      <c r="G76" s="49" t="s">
        <v>1469</v>
      </c>
    </row>
    <row r="77">
      <c r="A77" s="91" t="s">
        <v>3967</v>
      </c>
      <c r="B77" s="91" t="s">
        <v>2107</v>
      </c>
      <c r="C77" s="92" t="s">
        <v>4355</v>
      </c>
      <c r="D77" s="93">
        <v>45618.0</v>
      </c>
      <c r="E77" s="92" t="s">
        <v>4351</v>
      </c>
      <c r="F77" s="94" t="str">
        <f>VLOOKUP(B77,'Active Employees'!$B$2:$B$498,1,false)</f>
        <v>#N/A</v>
      </c>
      <c r="G77" s="49" t="s">
        <v>1469</v>
      </c>
    </row>
    <row r="78">
      <c r="A78" s="91" t="s">
        <v>3166</v>
      </c>
      <c r="B78" s="91" t="s">
        <v>88</v>
      </c>
      <c r="C78" s="92" t="s">
        <v>4355</v>
      </c>
      <c r="D78" s="93">
        <v>45614.0</v>
      </c>
      <c r="E78" s="92" t="s">
        <v>4351</v>
      </c>
      <c r="F78" s="94" t="str">
        <f>VLOOKUP(B78,'Active Employees'!$B$2:$B$498,1,false)</f>
        <v>mark.allen@docker.com</v>
      </c>
      <c r="G78" s="49" t="s">
        <v>1469</v>
      </c>
    </row>
    <row r="79">
      <c r="A79" s="91" t="s">
        <v>265</v>
      </c>
      <c r="B79" s="91" t="s">
        <v>934</v>
      </c>
      <c r="C79" s="92" t="s">
        <v>4355</v>
      </c>
      <c r="D79" s="93">
        <v>45614.0</v>
      </c>
      <c r="E79" s="92" t="s">
        <v>4351</v>
      </c>
      <c r="F79" s="94" t="str">
        <f>VLOOKUP(B79,'Active Employees'!$B$2:$B$498,1,false)</f>
        <v>joey.marrone@docker.com</v>
      </c>
      <c r="G79" s="49" t="s">
        <v>1469</v>
      </c>
    </row>
    <row r="80">
      <c r="A80" s="91" t="s">
        <v>3244</v>
      </c>
      <c r="B80" s="91" t="s">
        <v>1171</v>
      </c>
      <c r="C80" s="92" t="s">
        <v>4355</v>
      </c>
      <c r="D80" s="93">
        <v>45611.0</v>
      </c>
      <c r="E80" s="92" t="s">
        <v>4351</v>
      </c>
      <c r="F80" s="94" t="str">
        <f>VLOOKUP(B80,'Active Employees'!$B$2:$B$498,1,false)</f>
        <v>chris.rihm@docker.com</v>
      </c>
      <c r="G80" s="49" t="s">
        <v>1469</v>
      </c>
    </row>
    <row r="81">
      <c r="A81" s="91" t="s">
        <v>3206</v>
      </c>
      <c r="B81" s="91" t="s">
        <v>1439</v>
      </c>
      <c r="C81" s="92" t="s">
        <v>4355</v>
      </c>
      <c r="D81" s="93">
        <v>45608.0</v>
      </c>
      <c r="E81" s="92" t="s">
        <v>4351</v>
      </c>
      <c r="F81" s="94" t="str">
        <f>VLOOKUP(B81,'Active Employees'!$B$2:$B$498,1,false)</f>
        <v>yiwen.xu@docker.com</v>
      </c>
      <c r="G81" s="49" t="s">
        <v>1469</v>
      </c>
    </row>
    <row r="82">
      <c r="A82" s="91" t="s">
        <v>3994</v>
      </c>
      <c r="B82" s="91" t="s">
        <v>813</v>
      </c>
      <c r="C82" s="92" t="s">
        <v>4355</v>
      </c>
      <c r="D82" s="93">
        <v>45604.0</v>
      </c>
      <c r="E82" s="92" t="s">
        <v>4351</v>
      </c>
      <c r="F82" s="94" t="str">
        <f>VLOOKUP(B82,'Active Employees'!$B$2:$B$498,1,false)</f>
        <v>eric.karnis@docker.com</v>
      </c>
      <c r="G82" s="49" t="s">
        <v>1469</v>
      </c>
    </row>
    <row r="83">
      <c r="A83" s="91" t="s">
        <v>3039</v>
      </c>
      <c r="B83" s="91" t="s">
        <v>921</v>
      </c>
      <c r="C83" s="92" t="s">
        <v>4355</v>
      </c>
      <c r="D83" s="93">
        <v>45603.0</v>
      </c>
      <c r="E83" s="92" t="s">
        <v>4351</v>
      </c>
      <c r="F83" s="94" t="str">
        <f>VLOOKUP(B83,'Active Employees'!$B$2:$B$498,1,false)</f>
        <v>chris.maki@docker.com</v>
      </c>
      <c r="G83" s="49" t="s">
        <v>1469</v>
      </c>
    </row>
    <row r="84">
      <c r="A84" s="91" t="s">
        <v>3008</v>
      </c>
      <c r="B84" s="91" t="s">
        <v>846</v>
      </c>
      <c r="C84" s="92" t="s">
        <v>4355</v>
      </c>
      <c r="D84" s="93">
        <v>45603.0</v>
      </c>
      <c r="E84" s="92" t="s">
        <v>4351</v>
      </c>
      <c r="F84" s="94" t="str">
        <f>VLOOKUP(B84,'Active Employees'!$B$2:$B$498,1,false)</f>
        <v>daniel.kolev@docker.com</v>
      </c>
      <c r="G84" s="49" t="s">
        <v>1469</v>
      </c>
    </row>
    <row r="85">
      <c r="A85" s="91" t="s">
        <v>1078</v>
      </c>
      <c r="B85" s="91" t="s">
        <v>928</v>
      </c>
      <c r="C85" s="92" t="s">
        <v>4355</v>
      </c>
      <c r="D85" s="93">
        <v>45595.0</v>
      </c>
      <c r="E85" s="92" t="s">
        <v>4351</v>
      </c>
      <c r="F85" s="94" t="str">
        <f>VLOOKUP(B85,'Active Employees'!$B$2:$B$498,1,false)</f>
        <v>usha.mandya@docker.com</v>
      </c>
      <c r="G85" s="49" t="s">
        <v>1469</v>
      </c>
    </row>
    <row r="86">
      <c r="A86" s="91" t="s">
        <v>3115</v>
      </c>
      <c r="B86" s="91" t="s">
        <v>3965</v>
      </c>
      <c r="C86" s="92" t="s">
        <v>4355</v>
      </c>
      <c r="D86" s="93">
        <v>45593.0</v>
      </c>
      <c r="E86" s="92" t="s">
        <v>4351</v>
      </c>
      <c r="F86" s="94" t="str">
        <f>VLOOKUP(B86,'Active Employees'!$B$2:$B$498,1,false)</f>
        <v>#N/A</v>
      </c>
      <c r="G86" s="49" t="s">
        <v>1469</v>
      </c>
    </row>
    <row r="87">
      <c r="A87" s="91" t="s">
        <v>3005</v>
      </c>
      <c r="B87" s="91" t="s">
        <v>952</v>
      </c>
      <c r="C87" s="92" t="s">
        <v>4355</v>
      </c>
      <c r="D87" s="93">
        <v>45590.0</v>
      </c>
      <c r="E87" s="92" t="s">
        <v>4351</v>
      </c>
      <c r="F87" s="94" t="str">
        <f>VLOOKUP(B87,'Active Employees'!$B$2:$B$498,1,false)</f>
        <v>beck.matuszek@docker.com</v>
      </c>
      <c r="G87" s="49" t="s">
        <v>1469</v>
      </c>
    </row>
    <row r="88">
      <c r="A88" s="91" t="s">
        <v>3151</v>
      </c>
      <c r="B88" s="91" t="s">
        <v>1000</v>
      </c>
      <c r="C88" s="92" t="s">
        <v>4355</v>
      </c>
      <c r="D88" s="93">
        <v>45590.0</v>
      </c>
      <c r="E88" s="92" t="s">
        <v>4351</v>
      </c>
      <c r="F88" s="94" t="str">
        <f>VLOOKUP(B88,'Active Employees'!$B$2:$B$498,1,false)</f>
        <v>hilda.monterrubio@docker.com</v>
      </c>
      <c r="G88" s="49" t="s">
        <v>1469</v>
      </c>
    </row>
    <row r="89">
      <c r="A89" s="91" t="s">
        <v>1856</v>
      </c>
      <c r="B89" s="91" t="s">
        <v>619</v>
      </c>
      <c r="C89" s="92" t="s">
        <v>4355</v>
      </c>
      <c r="D89" s="93">
        <v>45589.0</v>
      </c>
      <c r="E89" s="92" t="s">
        <v>4351</v>
      </c>
      <c r="F89" s="94" t="str">
        <f>VLOOKUP(B89,'Active Employees'!$B$2:$B$498,1,false)</f>
        <v>javier.garcia@docker.com</v>
      </c>
      <c r="G89" s="49" t="s">
        <v>1469</v>
      </c>
    </row>
    <row r="90">
      <c r="A90" s="91" t="s">
        <v>1853</v>
      </c>
      <c r="B90" s="91" t="s">
        <v>500</v>
      </c>
      <c r="C90" s="92" t="s">
        <v>4355</v>
      </c>
      <c r="D90" s="93">
        <v>45582.0</v>
      </c>
      <c r="E90" s="92" t="s">
        <v>4351</v>
      </c>
      <c r="F90" s="94" t="str">
        <f>VLOOKUP(B90,'Active Employees'!$B$2:$B$498,1,false)</f>
        <v>james.hall@docker.com</v>
      </c>
      <c r="G90" s="49" t="s">
        <v>1469</v>
      </c>
    </row>
    <row r="91">
      <c r="A91" s="91" t="s">
        <v>3054</v>
      </c>
      <c r="B91" s="91" t="s">
        <v>914</v>
      </c>
      <c r="C91" s="92" t="s">
        <v>4355</v>
      </c>
      <c r="D91" s="93">
        <v>45581.0</v>
      </c>
      <c r="E91" s="92" t="s">
        <v>4351</v>
      </c>
      <c r="F91" s="94" t="str">
        <f>VLOOKUP(B91,'Active Employees'!$B$2:$B$498,1,false)</f>
        <v>amanda.maderic@docker.com</v>
      </c>
      <c r="G91" s="49" t="s">
        <v>1469</v>
      </c>
    </row>
    <row r="92">
      <c r="A92" s="91" t="s">
        <v>3097</v>
      </c>
      <c r="B92" s="91" t="s">
        <v>1189</v>
      </c>
      <c r="C92" s="92" t="s">
        <v>4355</v>
      </c>
      <c r="D92" s="93">
        <v>45581.0</v>
      </c>
      <c r="E92" s="92" t="s">
        <v>4351</v>
      </c>
      <c r="F92" s="94" t="str">
        <f>VLOOKUP(B92,'Active Employees'!$B$2:$B$498,1,false)</f>
        <v>daniel.royalty@docker.com</v>
      </c>
      <c r="G92" s="49" t="s">
        <v>1469</v>
      </c>
    </row>
    <row r="93">
      <c r="A93" s="91" t="s">
        <v>3247</v>
      </c>
      <c r="B93" s="91" t="s">
        <v>339</v>
      </c>
      <c r="C93" s="92" t="s">
        <v>4355</v>
      </c>
      <c r="D93" s="93">
        <v>45574.0</v>
      </c>
      <c r="E93" s="92" t="s">
        <v>4351</v>
      </c>
      <c r="F93" s="94" t="str">
        <f>VLOOKUP(B93,'Active Employees'!$B$2:$B$498,1,false)</f>
        <v>devin.castaneda@docker.com</v>
      </c>
      <c r="G93" s="49" t="s">
        <v>1469</v>
      </c>
    </row>
    <row r="94">
      <c r="A94" s="91" t="s">
        <v>3311</v>
      </c>
      <c r="B94" s="91" t="s">
        <v>1271</v>
      </c>
      <c r="C94" s="92" t="s">
        <v>4355</v>
      </c>
      <c r="D94" s="93">
        <v>45569.0</v>
      </c>
      <c r="E94" s="92" t="s">
        <v>4351</v>
      </c>
      <c r="F94" s="94" t="str">
        <f>VLOOKUP(B94,'Active Employees'!$B$2:$B$498,1,false)</f>
        <v>abhi.singh@docker.com</v>
      </c>
      <c r="G94" s="49" t="s">
        <v>1469</v>
      </c>
    </row>
    <row r="95">
      <c r="A95" s="91" t="s">
        <v>1111</v>
      </c>
      <c r="B95" s="91" t="s">
        <v>1111</v>
      </c>
      <c r="C95" s="92" t="s">
        <v>4355</v>
      </c>
      <c r="D95" s="93">
        <v>45569.0</v>
      </c>
      <c r="E95" s="92" t="s">
        <v>4351</v>
      </c>
      <c r="F95" s="94" t="str">
        <f>VLOOKUP(B95,'Active Employees'!$B$2:$B$498,1,false)</f>
        <v>christopher.petito@docker.com</v>
      </c>
      <c r="G95" s="49" t="s">
        <v>1469</v>
      </c>
    </row>
    <row r="96">
      <c r="A96" s="91" t="s">
        <v>3032</v>
      </c>
      <c r="B96" s="91" t="s">
        <v>732</v>
      </c>
      <c r="C96" s="92" t="s">
        <v>4355</v>
      </c>
      <c r="D96" s="93">
        <v>45567.0</v>
      </c>
      <c r="E96" s="92" t="s">
        <v>4351</v>
      </c>
      <c r="F96" s="94" t="str">
        <f>VLOOKUP(B96,'Active Employees'!$B$2:$B$498,1,false)</f>
        <v>robert.house@docker.com</v>
      </c>
      <c r="G96" s="49" t="s">
        <v>1469</v>
      </c>
    </row>
    <row r="97">
      <c r="A97" s="91" t="s">
        <v>3153</v>
      </c>
      <c r="B97" s="91" t="s">
        <v>1410</v>
      </c>
      <c r="C97" s="92" t="s">
        <v>4355</v>
      </c>
      <c r="D97" s="93">
        <v>45565.0</v>
      </c>
      <c r="E97" s="92" t="s">
        <v>4351</v>
      </c>
      <c r="F97" s="94" t="str">
        <f>VLOOKUP(B97,'Active Employees'!$B$2:$B$498,1,false)</f>
        <v>stephanie.walker@docker.com</v>
      </c>
      <c r="G97" s="49" t="s">
        <v>1469</v>
      </c>
    </row>
    <row r="98">
      <c r="A98" s="91" t="s">
        <v>457</v>
      </c>
      <c r="B98" s="91" t="s">
        <v>457</v>
      </c>
      <c r="C98" s="92" t="s">
        <v>4355</v>
      </c>
      <c r="D98" s="93">
        <v>45559.0</v>
      </c>
      <c r="E98" s="92" t="s">
        <v>4351</v>
      </c>
      <c r="F98" s="94" t="str">
        <f>VLOOKUP(B98,'Active Employees'!$B$2:$B$498,1,false)</f>
        <v>manuel.delapena@docker.com</v>
      </c>
      <c r="G98" s="49" t="s">
        <v>1469</v>
      </c>
    </row>
    <row r="99">
      <c r="A99" s="91" t="s">
        <v>72</v>
      </c>
      <c r="B99" s="91" t="s">
        <v>72</v>
      </c>
      <c r="C99" s="92" t="s">
        <v>4355</v>
      </c>
      <c r="D99" s="93">
        <v>45539.0</v>
      </c>
      <c r="E99" s="92" t="s">
        <v>4351</v>
      </c>
      <c r="F99" s="94" t="str">
        <f>VLOOKUP(B99,'Active Employees'!$B$2:$B$498,1,false)</f>
        <v>Elia.Aleyner@docker.com</v>
      </c>
      <c r="G99" s="49" t="s">
        <v>1469</v>
      </c>
    </row>
    <row r="100">
      <c r="A100" s="91" t="s">
        <v>401</v>
      </c>
      <c r="B100" s="91" t="s">
        <v>401</v>
      </c>
      <c r="C100" s="92" t="s">
        <v>4355</v>
      </c>
      <c r="D100" s="93">
        <v>45530.0</v>
      </c>
      <c r="E100" s="92" t="s">
        <v>4351</v>
      </c>
      <c r="F100" s="94" t="str">
        <f>VLOOKUP(B100,'Active Employees'!$B$2:$B$498,1,false)</f>
        <v>mike.coleman@docker.com</v>
      </c>
      <c r="G100" s="49" t="s">
        <v>1469</v>
      </c>
    </row>
    <row r="101">
      <c r="A101" s="91" t="s">
        <v>304</v>
      </c>
      <c r="B101" s="91" t="s">
        <v>146</v>
      </c>
      <c r="C101" s="92" t="s">
        <v>4355</v>
      </c>
      <c r="D101" s="93">
        <v>45527.0</v>
      </c>
      <c r="E101" s="92" t="s">
        <v>4351</v>
      </c>
      <c r="F101" s="94" t="str">
        <f>VLOOKUP(B101,'Active Employees'!$B$2:$B$498,1,false)</f>
        <v>shawn.axsom@docker.com</v>
      </c>
      <c r="G101" s="49" t="s">
        <v>1469</v>
      </c>
    </row>
    <row r="102">
      <c r="A102" s="91" t="s">
        <v>3111</v>
      </c>
      <c r="B102" s="91" t="s">
        <v>1046</v>
      </c>
      <c r="C102" s="92" t="s">
        <v>4355</v>
      </c>
      <c r="D102" s="93">
        <v>45520.0</v>
      </c>
      <c r="E102" s="92" t="s">
        <v>4351</v>
      </c>
      <c r="F102" s="94" t="str">
        <f>VLOOKUP(B102,'Active Employees'!$B$2:$B$498,1,false)</f>
        <v>tadashi.nemoto@docker.com</v>
      </c>
      <c r="G102" s="49" t="s">
        <v>1469</v>
      </c>
    </row>
    <row r="103">
      <c r="A103" s="91" t="s">
        <v>1361</v>
      </c>
      <c r="B103" s="91" t="s">
        <v>1361</v>
      </c>
      <c r="C103" s="92" t="s">
        <v>4355</v>
      </c>
      <c r="D103" s="93">
        <v>45513.0</v>
      </c>
      <c r="E103" s="92" t="s">
        <v>4351</v>
      </c>
      <c r="F103" s="94" t="str">
        <f>VLOOKUP(B103,'Active Employees'!$B$2:$B$498,1,false)</f>
        <v>shaun.thompson@docker.com</v>
      </c>
      <c r="G103" s="49" t="s">
        <v>1469</v>
      </c>
    </row>
    <row r="104">
      <c r="A104" s="91" t="s">
        <v>3106</v>
      </c>
      <c r="B104" s="91" t="s">
        <v>1428</v>
      </c>
      <c r="C104" s="92" t="s">
        <v>4355</v>
      </c>
      <c r="D104" s="93">
        <v>45483.0</v>
      </c>
      <c r="E104" s="92" t="s">
        <v>4351</v>
      </c>
      <c r="F104" s="94" t="str">
        <f>VLOOKUP(B104,'Active Employees'!$B$2:$B$498,1,false)</f>
        <v>mat.wilson@docker.com</v>
      </c>
      <c r="G104" s="49" t="s">
        <v>1469</v>
      </c>
    </row>
    <row r="105">
      <c r="A105" s="91" t="s">
        <v>410</v>
      </c>
      <c r="B105" s="91" t="s">
        <v>460</v>
      </c>
      <c r="C105" s="92" t="s">
        <v>4355</v>
      </c>
      <c r="D105" s="93">
        <v>45483.0</v>
      </c>
      <c r="E105" s="92" t="s">
        <v>4351</v>
      </c>
      <c r="F105" s="94" t="str">
        <f>VLOOKUP(B105,'Active Employees'!$B$2:$B$498,1,false)</f>
        <v>jeanlaurent@docker.com</v>
      </c>
      <c r="G105" s="49" t="s">
        <v>1469</v>
      </c>
    </row>
    <row r="106">
      <c r="A106" s="91" t="s">
        <v>3023</v>
      </c>
      <c r="B106" s="91" t="s">
        <v>1401</v>
      </c>
      <c r="C106" s="92" t="s">
        <v>4355</v>
      </c>
      <c r="D106" s="93">
        <v>45481.0</v>
      </c>
      <c r="E106" s="92" t="s">
        <v>4351</v>
      </c>
      <c r="F106" s="94" t="str">
        <f>VLOOKUP(B106,'Active Employees'!$B$2:$B$498,1,false)</f>
        <v>sebastiaan.vanstijn@docker.com</v>
      </c>
      <c r="G106" s="49" t="s">
        <v>1469</v>
      </c>
    </row>
    <row r="107">
      <c r="A107" s="91" t="s">
        <v>963</v>
      </c>
      <c r="B107" s="91" t="s">
        <v>963</v>
      </c>
      <c r="C107" s="92" t="s">
        <v>4355</v>
      </c>
      <c r="D107" s="93">
        <v>45474.0</v>
      </c>
      <c r="E107" s="92" t="s">
        <v>4351</v>
      </c>
      <c r="F107" s="94" t="str">
        <f>VLOOKUP(B107,'Active Employees'!$B$2:$B$498,1,false)</f>
        <v>chris.mclellan@docker.com</v>
      </c>
      <c r="G107" s="49" t="s">
        <v>1469</v>
      </c>
    </row>
    <row r="108">
      <c r="A108" s="91" t="s">
        <v>3038</v>
      </c>
      <c r="B108" s="91" t="s">
        <v>1262</v>
      </c>
      <c r="C108" s="92" t="s">
        <v>4355</v>
      </c>
      <c r="D108" s="93">
        <v>45471.0</v>
      </c>
      <c r="E108" s="92" t="s">
        <v>4351</v>
      </c>
      <c r="F108" s="94" t="str">
        <f>VLOOKUP(B108,'Active Employees'!$B$2:$B$498,1,false)</f>
        <v>nick.sieger@docker.com</v>
      </c>
      <c r="G108" s="49" t="s">
        <v>1469</v>
      </c>
    </row>
    <row r="109">
      <c r="A109" s="91" t="s">
        <v>869</v>
      </c>
      <c r="B109" s="91" t="s">
        <v>869</v>
      </c>
      <c r="C109" s="92" t="s">
        <v>4355</v>
      </c>
      <c r="D109" s="93">
        <v>45470.0</v>
      </c>
      <c r="E109" s="92" t="s">
        <v>4351</v>
      </c>
      <c r="F109" s="94" t="str">
        <f>VLOOKUP(B109,'Active Employees'!$B$2:$B$498,1,false)</f>
        <v>matt.landis@docker.com</v>
      </c>
      <c r="G109" s="49" t="s">
        <v>1469</v>
      </c>
    </row>
    <row r="110">
      <c r="A110" s="91" t="s">
        <v>1214</v>
      </c>
      <c r="B110" s="91" t="s">
        <v>1214</v>
      </c>
      <c r="C110" s="92" t="s">
        <v>4355</v>
      </c>
      <c r="D110" s="93">
        <v>45470.0</v>
      </c>
      <c r="E110" s="92" t="s">
        <v>4351</v>
      </c>
      <c r="F110" s="94" t="str">
        <f>VLOOKUP(B110,'Active Employees'!$B$2:$B$498,1,false)</f>
        <v>nick.santos@docker.com</v>
      </c>
      <c r="G110" s="49" t="s">
        <v>1469</v>
      </c>
    </row>
    <row r="111">
      <c r="A111" s="91" t="s">
        <v>1445</v>
      </c>
      <c r="B111" s="91" t="s">
        <v>1445</v>
      </c>
      <c r="C111" s="92" t="s">
        <v>4355</v>
      </c>
      <c r="D111" s="93">
        <v>45467.0</v>
      </c>
      <c r="E111" s="92" t="s">
        <v>4351</v>
      </c>
      <c r="F111" s="94" t="str">
        <f>VLOOKUP(B111,'Active Employees'!$B$2:$B$498,1,false)</f>
        <v>akhilesh.yarabarla@docker.com</v>
      </c>
      <c r="G111" s="49" t="s">
        <v>1469</v>
      </c>
    </row>
    <row r="112">
      <c r="A112" s="91" t="s">
        <v>1895</v>
      </c>
      <c r="B112" s="91" t="s">
        <v>748</v>
      </c>
      <c r="C112" s="92" t="s">
        <v>4355</v>
      </c>
      <c r="D112" s="93">
        <v>45467.0</v>
      </c>
      <c r="E112" s="92" t="s">
        <v>4351</v>
      </c>
      <c r="F112" s="94" t="str">
        <f>VLOOKUP(B112,'Active Employees'!$B$2:$B$498,1,false)</f>
        <v>manh.huynh@docker.com</v>
      </c>
      <c r="G112" s="49" t="s">
        <v>1469</v>
      </c>
    </row>
    <row r="113">
      <c r="A113" s="91" t="s">
        <v>153</v>
      </c>
      <c r="B113" s="91" t="s">
        <v>153</v>
      </c>
      <c r="C113" s="92" t="s">
        <v>4355</v>
      </c>
      <c r="D113" s="93">
        <v>45467.0</v>
      </c>
      <c r="E113" s="92" t="s">
        <v>4351</v>
      </c>
      <c r="F113" s="94" t="str">
        <f>VLOOKUP(B113,'Active Employees'!$B$2:$B$498,1,false)</f>
        <v>hugo.azevedo@docker.com</v>
      </c>
      <c r="G113" s="49" t="s">
        <v>1469</v>
      </c>
    </row>
    <row r="114">
      <c r="A114" s="91" t="s">
        <v>1502</v>
      </c>
      <c r="B114" s="91" t="s">
        <v>1214</v>
      </c>
      <c r="C114" s="92" t="s">
        <v>4355</v>
      </c>
      <c r="D114" s="93">
        <v>45456.0</v>
      </c>
      <c r="E114" s="92" t="s">
        <v>4351</v>
      </c>
      <c r="F114" s="94" t="str">
        <f>VLOOKUP(B114,'Active Employees'!$B$2:$B$498,1,false)</f>
        <v>nick.santos@docker.com</v>
      </c>
      <c r="G114" s="49" t="s">
        <v>1469</v>
      </c>
    </row>
    <row r="115">
      <c r="A115" s="91" t="s">
        <v>3011</v>
      </c>
      <c r="B115" s="91" t="s">
        <v>1340</v>
      </c>
      <c r="C115" s="92" t="s">
        <v>4355</v>
      </c>
      <c r="D115" s="93">
        <v>45455.0</v>
      </c>
      <c r="E115" s="92" t="s">
        <v>4351</v>
      </c>
      <c r="F115" s="94" t="str">
        <f>VLOOKUP(B115,'Active Employees'!$B$2:$B$498,1,false)</f>
        <v>cesar.talledo@docker.com</v>
      </c>
      <c r="G115" s="49" t="s">
        <v>1469</v>
      </c>
    </row>
    <row r="116">
      <c r="A116" s="91" t="s">
        <v>753</v>
      </c>
      <c r="B116" s="91" t="s">
        <v>753</v>
      </c>
      <c r="C116" s="92" t="s">
        <v>4355</v>
      </c>
      <c r="D116" s="93">
        <v>45454.0</v>
      </c>
      <c r="E116" s="92" t="s">
        <v>4351</v>
      </c>
      <c r="F116" s="94" t="str">
        <f>VLOOKUP(B116,'Active Employees'!$B$2:$B$498,1,false)</f>
        <v>michael.irwin@docker.com</v>
      </c>
      <c r="G116" s="49" t="s">
        <v>1469</v>
      </c>
    </row>
    <row r="117">
      <c r="A117" s="91" t="s">
        <v>458</v>
      </c>
      <c r="B117" s="91" t="s">
        <v>293</v>
      </c>
      <c r="C117" s="92" t="s">
        <v>4355</v>
      </c>
      <c r="D117" s="93">
        <v>45449.0</v>
      </c>
      <c r="E117" s="92" t="s">
        <v>4351</v>
      </c>
      <c r="F117" s="94" t="str">
        <f>VLOOKUP(B117,'Active Employees'!$B$2:$B$498,1,false)</f>
        <v>william.bunselmeyer@docker.com</v>
      </c>
      <c r="G117" s="49" t="s">
        <v>1469</v>
      </c>
    </row>
    <row r="118">
      <c r="A118" s="91" t="s">
        <v>3276</v>
      </c>
      <c r="B118" s="91" t="s">
        <v>1161</v>
      </c>
      <c r="C118" s="92" t="s">
        <v>4355</v>
      </c>
      <c r="D118" s="93">
        <v>45448.0</v>
      </c>
      <c r="E118" s="92" t="s">
        <v>4351</v>
      </c>
      <c r="F118" s="94" t="str">
        <f>VLOOKUP(B118,'Active Employees'!$B$2:$B$498,1,false)</f>
        <v>rickey.reed@docker.com</v>
      </c>
      <c r="G118" s="49" t="s">
        <v>1469</v>
      </c>
    </row>
    <row r="119">
      <c r="A119" s="91" t="s">
        <v>1062</v>
      </c>
      <c r="B119" s="91" t="s">
        <v>1062</v>
      </c>
      <c r="C119" s="92" t="s">
        <v>4355</v>
      </c>
      <c r="D119" s="93">
        <v>45429.0</v>
      </c>
      <c r="E119" s="92" t="s">
        <v>4351</v>
      </c>
      <c r="F119" s="94" t="str">
        <f>VLOOKUP(B119,'Active Employees'!$B$2:$B$498,1,false)</f>
        <v>steven.novick@docker.com</v>
      </c>
      <c r="G119" s="49" t="s">
        <v>1469</v>
      </c>
    </row>
    <row r="120">
      <c r="A120" s="91" t="s">
        <v>1886</v>
      </c>
      <c r="B120" s="91" t="s">
        <v>1351</v>
      </c>
      <c r="C120" s="92" t="s">
        <v>4355</v>
      </c>
      <c r="D120" s="93">
        <v>45412.0</v>
      </c>
      <c r="E120" s="92" t="s">
        <v>4351</v>
      </c>
      <c r="F120" s="94" t="str">
        <f>VLOOKUP(B120,'Active Employees'!$B$2:$B$498,1,false)</f>
        <v>lizz.thabet@docker.com</v>
      </c>
      <c r="G120" s="49" t="s">
        <v>1469</v>
      </c>
    </row>
    <row r="121">
      <c r="A121" s="91" t="s">
        <v>1508</v>
      </c>
      <c r="B121" s="91" t="s">
        <v>386</v>
      </c>
      <c r="C121" s="92" t="s">
        <v>4355</v>
      </c>
      <c r="D121" s="93">
        <v>45387.0</v>
      </c>
      <c r="E121" s="92" t="s">
        <v>4351</v>
      </c>
      <c r="F121" s="94" t="str">
        <f>VLOOKUP(B121,'Active Employees'!$B$2:$B$498,1,false)</f>
        <v>jim.clark@docker.com</v>
      </c>
      <c r="G121" s="49" t="s">
        <v>1469</v>
      </c>
    </row>
    <row r="122">
      <c r="A122" s="91" t="s">
        <v>3021</v>
      </c>
      <c r="B122" s="91" t="s">
        <v>522</v>
      </c>
      <c r="C122" s="92" t="s">
        <v>4355</v>
      </c>
      <c r="D122" s="93">
        <v>45363.0</v>
      </c>
      <c r="E122" s="92" t="s">
        <v>4351</v>
      </c>
      <c r="F122" s="94" t="str">
        <f>VLOOKUP(B122,'Active Employees'!$B$2:$B$498,1,false)</f>
        <v>luca.druda@docker.com</v>
      </c>
      <c r="G122" s="49" t="s">
        <v>1469</v>
      </c>
    </row>
    <row r="123">
      <c r="A123" s="91" t="s">
        <v>2996</v>
      </c>
      <c r="B123" s="91" t="s">
        <v>469</v>
      </c>
      <c r="C123" s="92" t="s">
        <v>4355</v>
      </c>
      <c r="D123" s="93">
        <v>45347.0</v>
      </c>
      <c r="E123" s="92" t="s">
        <v>4351</v>
      </c>
      <c r="F123" s="94" t="str">
        <f>VLOOKUP(B123,'Active Employees'!$B$2:$B$498,1,false)</f>
        <v>nicolas.deloof@docker.com</v>
      </c>
      <c r="G123" s="49" t="s">
        <v>1469</v>
      </c>
    </row>
    <row r="124">
      <c r="A124" s="91" t="s">
        <v>52</v>
      </c>
      <c r="B124" s="91" t="s">
        <v>712</v>
      </c>
      <c r="C124" s="92" t="s">
        <v>4355</v>
      </c>
      <c r="D124" s="93">
        <v>45337.0</v>
      </c>
      <c r="E124" s="92" t="s">
        <v>4351</v>
      </c>
      <c r="F124" s="94" t="str">
        <f>VLOOKUP(B124,'Active Employees'!$B$2:$B$498,1,false)</f>
        <v>stephanie.hertrich@docker.com</v>
      </c>
      <c r="G124" s="49" t="s">
        <v>1469</v>
      </c>
    </row>
    <row r="125">
      <c r="A125" s="91" t="s">
        <v>1950</v>
      </c>
      <c r="B125" s="91" t="s">
        <v>905</v>
      </c>
      <c r="C125" s="92" t="s">
        <v>4355</v>
      </c>
      <c r="D125" s="93">
        <v>45334.0</v>
      </c>
      <c r="E125" s="92" t="s">
        <v>4351</v>
      </c>
      <c r="F125" s="94" t="str">
        <f>VLOOKUP(B125,'Active Employees'!$B$2:$B$498,1,false)</f>
        <v>silvin.lubecki@docker.com</v>
      </c>
      <c r="G125" s="49" t="s">
        <v>1469</v>
      </c>
    </row>
    <row r="126">
      <c r="A126" s="91" t="s">
        <v>3104</v>
      </c>
      <c r="B126" s="91" t="s">
        <v>617</v>
      </c>
      <c r="C126" s="92" t="s">
        <v>4355</v>
      </c>
      <c r="D126" s="93">
        <v>45334.0</v>
      </c>
      <c r="E126" s="92" t="s">
        <v>4351</v>
      </c>
      <c r="F126" s="94" t="str">
        <f>VLOOKUP(B126,'Active Employees'!$B$2:$B$498,1,false)</f>
        <v>sergio.garcez@docker.com</v>
      </c>
      <c r="G126" s="49" t="s">
        <v>1469</v>
      </c>
    </row>
    <row r="127">
      <c r="A127" s="91" t="s">
        <v>2961</v>
      </c>
      <c r="B127" s="91" t="s">
        <v>669</v>
      </c>
      <c r="C127" s="92" t="s">
        <v>4355</v>
      </c>
      <c r="D127" s="93">
        <v>45331.0</v>
      </c>
      <c r="E127" s="92" t="s">
        <v>4351</v>
      </c>
      <c r="F127" s="94" t="str">
        <f>VLOOKUP(B127,'Active Employees'!$B$2:$B$498,1,false)</f>
        <v>pawel.gronowski@docker.com</v>
      </c>
      <c r="G127" s="49" t="s">
        <v>1469</v>
      </c>
    </row>
    <row r="128">
      <c r="A128" s="91" t="s">
        <v>1492</v>
      </c>
      <c r="B128" s="91" t="s">
        <v>1100</v>
      </c>
      <c r="C128" s="92" t="s">
        <v>4355</v>
      </c>
      <c r="D128" s="93">
        <v>45331.0</v>
      </c>
      <c r="E128" s="92" t="s">
        <v>4351</v>
      </c>
      <c r="F128" s="94" t="str">
        <f>VLOOKUP(B128,'Active Employees'!$B$2:$B$498,1,false)</f>
        <v>ivan.pedrazas@docker.com</v>
      </c>
      <c r="G128" s="49" t="s">
        <v>1469</v>
      </c>
    </row>
    <row r="129">
      <c r="A129" s="91" t="s">
        <v>271</v>
      </c>
      <c r="B129" s="91" t="s">
        <v>131</v>
      </c>
      <c r="C129" s="92" t="s">
        <v>4355</v>
      </c>
      <c r="D129" s="93">
        <v>45330.0</v>
      </c>
      <c r="E129" s="92" t="s">
        <v>4351</v>
      </c>
      <c r="F129" s="94" t="str">
        <f>VLOOKUP(B129,'Active Employees'!$B$2:$B$498,1,false)</f>
        <v>eileen.ani@docker.com</v>
      </c>
      <c r="G129" s="49" t="s">
        <v>1469</v>
      </c>
    </row>
    <row r="130">
      <c r="A130" s="91" t="s">
        <v>4049</v>
      </c>
      <c r="B130" s="91" t="s">
        <v>335</v>
      </c>
      <c r="C130" s="92" t="s">
        <v>4355</v>
      </c>
      <c r="D130" s="93">
        <v>45330.0</v>
      </c>
      <c r="E130" s="92" t="s">
        <v>4351</v>
      </c>
      <c r="F130" s="94" t="str">
        <f>VLOOKUP(B130,'Active Employees'!$B$2:$B$498,1,false)</f>
        <v>emily.casey@docker.com</v>
      </c>
      <c r="G130" s="49" t="s">
        <v>1469</v>
      </c>
    </row>
    <row r="131">
      <c r="A131" s="91" t="s">
        <v>1921</v>
      </c>
      <c r="B131" s="91" t="s">
        <v>407</v>
      </c>
      <c r="C131" s="92" t="s">
        <v>4355</v>
      </c>
      <c r="D131" s="93">
        <v>45330.0</v>
      </c>
      <c r="E131" s="92" t="s">
        <v>4351</v>
      </c>
      <c r="F131" s="94" t="str">
        <f>VLOOKUP(B131,'Active Employees'!$B$2:$B$498,1,false)</f>
        <v>nuno.coracao@docker.com</v>
      </c>
      <c r="G131" s="49" t="s">
        <v>1469</v>
      </c>
    </row>
    <row r="132">
      <c r="A132" s="91" t="s">
        <v>3986</v>
      </c>
      <c r="B132" s="91" t="s">
        <v>1181</v>
      </c>
      <c r="C132" s="92" t="s">
        <v>4355</v>
      </c>
      <c r="D132" s="93">
        <v>45330.0</v>
      </c>
      <c r="E132" s="92" t="s">
        <v>4351</v>
      </c>
      <c r="F132" s="94" t="str">
        <f>VLOOKUP(B132,'Active Employees'!$B$2:$B$498,1,false)</f>
        <v>bryan.ross@docker.com</v>
      </c>
      <c r="G132" s="49" t="s">
        <v>1469</v>
      </c>
    </row>
    <row r="133">
      <c r="A133" s="91" t="s">
        <v>3037</v>
      </c>
      <c r="B133" s="91" t="s">
        <v>96</v>
      </c>
      <c r="C133" s="92" t="s">
        <v>4355</v>
      </c>
      <c r="D133" s="93">
        <v>45330.0</v>
      </c>
      <c r="E133" s="92" t="s">
        <v>4351</v>
      </c>
      <c r="F133" s="94" t="str">
        <f>VLOOKUP(B133,'Active Employees'!$B$2:$B$498,1,false)</f>
        <v>javier.alonso@docker.com</v>
      </c>
      <c r="G133" s="49" t="s">
        <v>1469</v>
      </c>
    </row>
    <row r="134">
      <c r="A134" s="91" t="s">
        <v>1744</v>
      </c>
      <c r="B134" s="91" t="s">
        <v>724</v>
      </c>
      <c r="C134" s="92" t="s">
        <v>4355</v>
      </c>
      <c r="D134" s="93">
        <v>45330.0</v>
      </c>
      <c r="E134" s="92" t="s">
        <v>4351</v>
      </c>
      <c r="F134" s="94" t="str">
        <f>VLOOKUP(B134,'Active Employees'!$B$2:$B$498,1,false)</f>
        <v>alex.hokanson@docker.com</v>
      </c>
      <c r="G134" s="49" t="s">
        <v>1469</v>
      </c>
    </row>
    <row r="135">
      <c r="A135" s="91" t="s">
        <v>3035</v>
      </c>
      <c r="B135" s="91" t="s">
        <v>1299</v>
      </c>
      <c r="C135" s="92" t="s">
        <v>4355</v>
      </c>
      <c r="D135" s="93">
        <v>45330.0</v>
      </c>
      <c r="E135" s="92" t="s">
        <v>4351</v>
      </c>
      <c r="F135" s="94" t="str">
        <f>VLOOKUP(B135,'Active Employees'!$B$2:$B$498,1,false)</f>
        <v>guillaume.stpierre@docker.com</v>
      </c>
      <c r="G135" s="49" t="s">
        <v>1469</v>
      </c>
    </row>
    <row r="136">
      <c r="A136" s="91" t="s">
        <v>4037</v>
      </c>
      <c r="B136" s="91" t="s">
        <v>1276</v>
      </c>
      <c r="C136" s="92" t="s">
        <v>4355</v>
      </c>
      <c r="D136" s="93">
        <v>45330.0</v>
      </c>
      <c r="E136" s="92" t="s">
        <v>4351</v>
      </c>
      <c r="F136" s="94" t="str">
        <f>VLOOKUP(B136,'Active Employees'!$B$2:$B$498,1,false)</f>
        <v>terry.smith@docker.com</v>
      </c>
      <c r="G136" s="49" t="s">
        <v>1469</v>
      </c>
    </row>
    <row r="137">
      <c r="A137" s="91" t="s">
        <v>3127</v>
      </c>
      <c r="B137" s="91" t="s">
        <v>306</v>
      </c>
      <c r="C137" s="92" t="s">
        <v>4355</v>
      </c>
      <c r="D137" s="93">
        <v>45330.0</v>
      </c>
      <c r="E137" s="92" t="s">
        <v>4351</v>
      </c>
      <c r="F137" s="94" t="str">
        <f>VLOOKUP(B137,'Active Employees'!$B$2:$B$498,1,false)</f>
        <v>ivan.californias@docker.com</v>
      </c>
      <c r="G137" s="49" t="s">
        <v>1469</v>
      </c>
    </row>
    <row r="138">
      <c r="A138" s="91" t="s">
        <v>3263</v>
      </c>
      <c r="B138" s="91" t="s">
        <v>645</v>
      </c>
      <c r="C138" s="92" t="s">
        <v>4355</v>
      </c>
      <c r="D138" s="93">
        <v>45330.0</v>
      </c>
      <c r="E138" s="92" t="s">
        <v>4351</v>
      </c>
      <c r="F138" s="94" t="str">
        <f>VLOOKUP(B138,'Active Employees'!$B$2:$B$498,1,false)</f>
        <v>benjamin.grandfond@docker.com</v>
      </c>
      <c r="G138" s="49" t="s">
        <v>1469</v>
      </c>
    </row>
    <row r="139">
      <c r="A139" s="91" t="s">
        <v>1790</v>
      </c>
      <c r="B139" s="91" t="s">
        <v>1241</v>
      </c>
      <c r="C139" s="92" t="s">
        <v>4355</v>
      </c>
      <c r="D139" s="93">
        <v>45330.0</v>
      </c>
      <c r="E139" s="92" t="s">
        <v>4351</v>
      </c>
      <c r="F139" s="94" t="str">
        <f>VLOOKUP(B139,'Active Employees'!$B$2:$B$498,1,false)</f>
        <v>dave.scott@docker.com</v>
      </c>
      <c r="G139" s="49" t="s">
        <v>1469</v>
      </c>
    </row>
    <row r="140">
      <c r="A140" s="91" t="s">
        <v>2978</v>
      </c>
      <c r="B140" s="91" t="s">
        <v>1253</v>
      </c>
      <c r="C140" s="92" t="s">
        <v>4355</v>
      </c>
      <c r="D140" s="93">
        <v>45330.0</v>
      </c>
      <c r="E140" s="92" t="s">
        <v>4351</v>
      </c>
      <c r="F140" s="94" t="str">
        <f>VLOOKUP(B140,'Active Employees'!$B$2:$B$498,1,false)</f>
        <v>gurleen.sethi@docker.com</v>
      </c>
      <c r="G140" s="49" t="s">
        <v>1469</v>
      </c>
    </row>
    <row r="141">
      <c r="A141" s="91" t="s">
        <v>1953</v>
      </c>
      <c r="B141" s="91" t="s">
        <v>1225</v>
      </c>
      <c r="C141" s="92" t="s">
        <v>4355</v>
      </c>
      <c r="D141" s="93">
        <v>45330.0</v>
      </c>
      <c r="E141" s="92" t="s">
        <v>4351</v>
      </c>
      <c r="F141" s="94" t="str">
        <f>VLOOKUP(B141,'Active Employees'!$B$2:$B$498,1,false)</f>
        <v>stefan.scherer@docker.com</v>
      </c>
      <c r="G141" s="49" t="s">
        <v>1469</v>
      </c>
    </row>
    <row r="142">
      <c r="A142" s="91" t="s">
        <v>1776</v>
      </c>
      <c r="B142" s="91" t="s">
        <v>1169</v>
      </c>
      <c r="C142" s="92" t="s">
        <v>4355</v>
      </c>
      <c r="D142" s="93">
        <v>45330.0</v>
      </c>
      <c r="E142" s="92" t="s">
        <v>4351</v>
      </c>
      <c r="F142" s="94" t="str">
        <f>VLOOKUP(B142,'Active Employees'!$B$2:$B$498,1,false)</f>
        <v>cody.rigney@docker.com</v>
      </c>
      <c r="G142" s="49" t="s">
        <v>1469</v>
      </c>
    </row>
    <row r="143">
      <c r="A143" s="91" t="s">
        <v>3089</v>
      </c>
      <c r="B143" s="91" t="s">
        <v>1111</v>
      </c>
      <c r="C143" s="92" t="s">
        <v>4355</v>
      </c>
      <c r="D143" s="93">
        <v>45330.0</v>
      </c>
      <c r="E143" s="92" t="s">
        <v>4351</v>
      </c>
      <c r="F143" s="94" t="str">
        <f>VLOOKUP(B143,'Active Employees'!$B$2:$B$498,1,false)</f>
        <v>christopher.petito@docker.com</v>
      </c>
      <c r="G143" s="49" t="s">
        <v>1469</v>
      </c>
    </row>
    <row r="144">
      <c r="A144" s="91" t="s">
        <v>568</v>
      </c>
      <c r="B144" s="91" t="s">
        <v>510</v>
      </c>
      <c r="C144" s="92" t="s">
        <v>4355</v>
      </c>
      <c r="D144" s="93">
        <v>45330.0</v>
      </c>
      <c r="E144" s="92" t="s">
        <v>4351</v>
      </c>
      <c r="F144" s="94" t="str">
        <f>VLOOKUP(B144,'Active Employees'!$B$2:$B$498,1,false)</f>
        <v>david.dooling@docker.com</v>
      </c>
      <c r="G144" s="49" t="s">
        <v>1469</v>
      </c>
      <c r="I144" s="90" t="s">
        <v>4352</v>
      </c>
      <c r="J144" s="49" t="s">
        <v>4380</v>
      </c>
    </row>
    <row r="145">
      <c r="A145" s="95"/>
      <c r="F145" s="21"/>
    </row>
    <row r="146">
      <c r="A146" s="96"/>
      <c r="F146" s="21"/>
    </row>
    <row r="147">
      <c r="A147" s="97"/>
      <c r="F147" s="21"/>
    </row>
    <row r="148">
      <c r="A148" s="97"/>
      <c r="F148" s="21"/>
    </row>
    <row r="149">
      <c r="A149" s="97"/>
      <c r="F149" s="21"/>
    </row>
    <row r="150">
      <c r="A150" s="95"/>
      <c r="F150" s="21"/>
    </row>
    <row r="151">
      <c r="A151" s="96"/>
      <c r="F151" s="21"/>
    </row>
    <row r="152">
      <c r="A152" s="97"/>
      <c r="F152" s="21"/>
    </row>
    <row r="153">
      <c r="A153" s="97"/>
      <c r="F153" s="21"/>
    </row>
    <row r="154">
      <c r="A154" s="97"/>
      <c r="F154" s="21"/>
    </row>
    <row r="155">
      <c r="A155" s="95"/>
      <c r="F155" s="21"/>
    </row>
    <row r="156">
      <c r="A156" s="96"/>
      <c r="F156" s="21"/>
    </row>
    <row r="157">
      <c r="A157" s="97"/>
      <c r="F157" s="21"/>
    </row>
    <row r="158">
      <c r="A158" s="97"/>
      <c r="F158" s="21"/>
    </row>
    <row r="159">
      <c r="A159" s="97"/>
      <c r="F159" s="21"/>
    </row>
    <row r="160">
      <c r="A160" s="95"/>
      <c r="F160" s="21"/>
    </row>
    <row r="161">
      <c r="A161" s="96"/>
      <c r="F161" s="21"/>
    </row>
    <row r="162">
      <c r="A162" s="97"/>
      <c r="F162" s="21"/>
    </row>
    <row r="163">
      <c r="A163" s="97"/>
      <c r="F163" s="21"/>
    </row>
    <row r="164">
      <c r="A164" s="97"/>
      <c r="F164" s="21"/>
    </row>
    <row r="165">
      <c r="A165" s="95"/>
      <c r="F165" s="21"/>
    </row>
    <row r="166">
      <c r="A166" s="96"/>
      <c r="F166" s="21"/>
    </row>
    <row r="167">
      <c r="A167" s="97"/>
      <c r="F167" s="21"/>
    </row>
    <row r="168">
      <c r="A168" s="97"/>
      <c r="F168" s="21"/>
    </row>
    <row r="169">
      <c r="A169" s="97"/>
      <c r="F169" s="21"/>
    </row>
    <row r="170">
      <c r="A170" s="95"/>
      <c r="F170" s="21"/>
    </row>
    <row r="171">
      <c r="A171" s="96"/>
      <c r="F171" s="21"/>
    </row>
    <row r="172">
      <c r="A172" s="97"/>
      <c r="F172" s="21"/>
    </row>
    <row r="173">
      <c r="A173" s="97"/>
      <c r="F173" s="21"/>
    </row>
    <row r="174">
      <c r="A174" s="97"/>
      <c r="F174" s="21"/>
    </row>
    <row r="175">
      <c r="A175" s="95"/>
      <c r="F175" s="21"/>
    </row>
    <row r="176">
      <c r="A176" s="96"/>
      <c r="F176" s="21"/>
    </row>
    <row r="177">
      <c r="A177" s="97"/>
      <c r="F177" s="21"/>
    </row>
    <row r="178">
      <c r="A178" s="97"/>
      <c r="F178" s="21"/>
    </row>
    <row r="179">
      <c r="A179" s="97"/>
      <c r="F179" s="21"/>
    </row>
    <row r="180">
      <c r="A180" s="95"/>
      <c r="F180" s="21"/>
    </row>
    <row r="181">
      <c r="A181" s="96"/>
      <c r="F181" s="21"/>
    </row>
    <row r="182">
      <c r="A182" s="97"/>
      <c r="F182" s="21"/>
    </row>
    <row r="183">
      <c r="A183" s="97"/>
      <c r="F183" s="21"/>
    </row>
    <row r="184">
      <c r="A184" s="97"/>
      <c r="F184" s="21"/>
    </row>
    <row r="185">
      <c r="A185" s="95"/>
      <c r="F185" s="21"/>
    </row>
    <row r="186">
      <c r="A186" s="96"/>
      <c r="F186" s="21"/>
    </row>
    <row r="187">
      <c r="A187" s="97"/>
      <c r="F187" s="21"/>
    </row>
    <row r="188">
      <c r="A188" s="97"/>
      <c r="F188" s="21"/>
    </row>
    <row r="189">
      <c r="A189" s="97"/>
      <c r="F189" s="21"/>
    </row>
    <row r="190">
      <c r="A190" s="95"/>
      <c r="F190" s="21"/>
    </row>
    <row r="191">
      <c r="A191" s="96"/>
      <c r="F191" s="21"/>
    </row>
    <row r="192">
      <c r="A192" s="97"/>
      <c r="F192" s="21"/>
    </row>
    <row r="193">
      <c r="A193" s="97"/>
      <c r="F193" s="21"/>
    </row>
    <row r="194">
      <c r="A194" s="97"/>
      <c r="F194" s="21"/>
    </row>
    <row r="195">
      <c r="A195" s="95"/>
      <c r="F195" s="21"/>
    </row>
    <row r="196">
      <c r="A196" s="96"/>
      <c r="F196" s="21"/>
    </row>
    <row r="197">
      <c r="A197" s="97"/>
      <c r="F197" s="21"/>
    </row>
    <row r="198">
      <c r="A198" s="97"/>
      <c r="F198" s="21"/>
    </row>
    <row r="199">
      <c r="A199" s="97"/>
      <c r="F199" s="21"/>
    </row>
    <row r="200">
      <c r="A200" s="95"/>
      <c r="F200" s="21"/>
    </row>
    <row r="201">
      <c r="A201" s="96"/>
      <c r="F201" s="21"/>
    </row>
    <row r="202">
      <c r="A202" s="97"/>
      <c r="F202" s="21"/>
    </row>
    <row r="203">
      <c r="A203" s="97"/>
      <c r="F203" s="21"/>
    </row>
    <row r="204">
      <c r="A204" s="97"/>
      <c r="F204" s="21"/>
    </row>
    <row r="205">
      <c r="A205" s="95"/>
      <c r="F205" s="21"/>
    </row>
    <row r="206">
      <c r="A206" s="96"/>
      <c r="F206" s="21"/>
    </row>
    <row r="207">
      <c r="A207" s="97"/>
      <c r="F207" s="21"/>
    </row>
    <row r="208">
      <c r="A208" s="97"/>
      <c r="F208" s="21"/>
    </row>
    <row r="209">
      <c r="A209" s="97"/>
      <c r="F209" s="21"/>
    </row>
    <row r="210">
      <c r="A210" s="95"/>
      <c r="F210" s="21"/>
    </row>
    <row r="211">
      <c r="A211" s="96"/>
      <c r="F211" s="21"/>
    </row>
    <row r="212">
      <c r="A212" s="97"/>
      <c r="F212" s="21"/>
    </row>
    <row r="213">
      <c r="A213" s="97"/>
      <c r="F213" s="21"/>
    </row>
    <row r="214">
      <c r="A214" s="97"/>
      <c r="F214" s="21"/>
    </row>
    <row r="215">
      <c r="A215" s="95"/>
      <c r="F215" s="21"/>
    </row>
    <row r="216">
      <c r="A216" s="96"/>
      <c r="F216" s="21"/>
    </row>
    <row r="217">
      <c r="A217" s="97"/>
      <c r="F217" s="21"/>
    </row>
    <row r="218">
      <c r="A218" s="97"/>
      <c r="F218" s="21"/>
    </row>
    <row r="219">
      <c r="A219" s="97"/>
      <c r="F219" s="21"/>
    </row>
    <row r="220">
      <c r="A220" s="95"/>
      <c r="F220" s="21"/>
    </row>
    <row r="221">
      <c r="A221" s="96"/>
      <c r="F221" s="21"/>
    </row>
    <row r="222">
      <c r="A222" s="97"/>
      <c r="F222" s="21"/>
    </row>
    <row r="223">
      <c r="A223" s="97"/>
      <c r="F223" s="21"/>
    </row>
    <row r="224">
      <c r="A224" s="97"/>
      <c r="F224" s="21"/>
    </row>
    <row r="225">
      <c r="A225" s="95"/>
      <c r="F225" s="21"/>
    </row>
    <row r="226">
      <c r="A226" s="96"/>
      <c r="F226" s="21"/>
    </row>
    <row r="227">
      <c r="A227" s="97"/>
      <c r="F227" s="21"/>
    </row>
    <row r="228">
      <c r="A228" s="97"/>
      <c r="F228" s="21"/>
    </row>
    <row r="229">
      <c r="A229" s="97"/>
      <c r="F229" s="21"/>
    </row>
    <row r="230">
      <c r="A230" s="95"/>
      <c r="F230" s="21"/>
    </row>
    <row r="231">
      <c r="A231" s="96"/>
      <c r="F231" s="21"/>
    </row>
    <row r="232">
      <c r="A232" s="97"/>
      <c r="F232" s="21"/>
    </row>
    <row r="233">
      <c r="A233" s="97"/>
      <c r="F233" s="21"/>
    </row>
    <row r="234">
      <c r="A234" s="97"/>
      <c r="F234" s="21"/>
    </row>
    <row r="235">
      <c r="A235" s="95"/>
      <c r="F235" s="21"/>
    </row>
    <row r="236">
      <c r="A236" s="96"/>
      <c r="F236" s="21"/>
    </row>
    <row r="237">
      <c r="A237" s="97"/>
      <c r="F237" s="21"/>
    </row>
    <row r="238">
      <c r="A238" s="97"/>
      <c r="F238" s="21"/>
    </row>
    <row r="239">
      <c r="A239" s="97"/>
      <c r="F239" s="21"/>
    </row>
    <row r="240">
      <c r="A240" s="95"/>
      <c r="F240" s="21"/>
    </row>
    <row r="241">
      <c r="A241" s="96"/>
      <c r="F241" s="21"/>
    </row>
    <row r="242">
      <c r="A242" s="97"/>
      <c r="F242" s="21"/>
    </row>
    <row r="243">
      <c r="A243" s="97"/>
      <c r="F243" s="21"/>
    </row>
    <row r="244">
      <c r="A244" s="97"/>
      <c r="F244" s="21"/>
    </row>
    <row r="245">
      <c r="A245" s="95"/>
      <c r="F245" s="21"/>
    </row>
    <row r="246">
      <c r="A246" s="96"/>
      <c r="F246" s="21"/>
    </row>
    <row r="247">
      <c r="A247" s="97"/>
      <c r="F247" s="21"/>
    </row>
    <row r="248">
      <c r="A248" s="97"/>
      <c r="F248" s="21"/>
    </row>
    <row r="249">
      <c r="A249" s="97"/>
      <c r="F249" s="21"/>
    </row>
    <row r="250">
      <c r="A250" s="95"/>
      <c r="F250" s="21"/>
    </row>
    <row r="251">
      <c r="A251" s="96"/>
      <c r="F251" s="21"/>
    </row>
    <row r="252">
      <c r="A252" s="97"/>
      <c r="F252" s="21"/>
    </row>
    <row r="253">
      <c r="A253" s="97"/>
      <c r="F253" s="21"/>
    </row>
    <row r="254">
      <c r="A254" s="97"/>
      <c r="F254" s="21"/>
    </row>
    <row r="255">
      <c r="A255" s="95"/>
      <c r="F255" s="21"/>
    </row>
    <row r="256">
      <c r="A256" s="96"/>
      <c r="F256" s="21"/>
    </row>
    <row r="257">
      <c r="A257" s="97"/>
      <c r="F257" s="21"/>
    </row>
    <row r="258">
      <c r="A258" s="97"/>
      <c r="F258" s="21"/>
    </row>
    <row r="259">
      <c r="A259" s="97"/>
      <c r="F259" s="21"/>
    </row>
    <row r="260">
      <c r="A260" s="95"/>
      <c r="F260" s="21"/>
    </row>
    <row r="261">
      <c r="A261" s="96"/>
      <c r="F261" s="21"/>
    </row>
    <row r="262">
      <c r="A262" s="97"/>
      <c r="F262" s="21"/>
    </row>
    <row r="263">
      <c r="A263" s="97"/>
      <c r="F263" s="21"/>
    </row>
    <row r="264">
      <c r="A264" s="97"/>
      <c r="F264" s="21"/>
    </row>
    <row r="265">
      <c r="A265" s="95"/>
      <c r="F265" s="21"/>
    </row>
    <row r="266">
      <c r="A266" s="96"/>
      <c r="F266" s="21"/>
    </row>
    <row r="267">
      <c r="A267" s="97"/>
      <c r="F267" s="21"/>
    </row>
    <row r="268">
      <c r="A268" s="97"/>
      <c r="F268" s="21"/>
    </row>
    <row r="269">
      <c r="A269" s="97"/>
      <c r="F269" s="21"/>
    </row>
    <row r="270">
      <c r="A270" s="95"/>
      <c r="F270" s="21"/>
    </row>
    <row r="271">
      <c r="A271" s="96"/>
      <c r="F271" s="21"/>
    </row>
    <row r="272">
      <c r="A272" s="97"/>
      <c r="F272" s="21"/>
    </row>
    <row r="273">
      <c r="A273" s="97"/>
      <c r="F273" s="21"/>
    </row>
    <row r="274">
      <c r="A274" s="97"/>
      <c r="F274" s="21"/>
    </row>
    <row r="275">
      <c r="A275" s="95"/>
      <c r="F275" s="21"/>
    </row>
    <row r="276">
      <c r="A276" s="96"/>
      <c r="F276" s="21"/>
    </row>
    <row r="277">
      <c r="A277" s="97"/>
      <c r="F277" s="21"/>
    </row>
    <row r="278">
      <c r="A278" s="97"/>
      <c r="F278" s="21"/>
    </row>
    <row r="279">
      <c r="A279" s="97"/>
      <c r="F279" s="21"/>
    </row>
    <row r="280">
      <c r="A280" s="95"/>
      <c r="F280" s="21"/>
    </row>
    <row r="281">
      <c r="A281" s="96"/>
      <c r="F281" s="21"/>
    </row>
    <row r="282">
      <c r="A282" s="97"/>
      <c r="F282" s="21"/>
    </row>
    <row r="283">
      <c r="A283" s="97"/>
      <c r="F283" s="21"/>
    </row>
    <row r="284">
      <c r="A284" s="97"/>
      <c r="F284" s="21"/>
    </row>
    <row r="285">
      <c r="A285" s="95"/>
      <c r="F285" s="21"/>
    </row>
    <row r="286">
      <c r="A286" s="96"/>
      <c r="F286" s="21"/>
    </row>
    <row r="287">
      <c r="A287" s="97"/>
      <c r="F287" s="21"/>
    </row>
    <row r="288">
      <c r="A288" s="97"/>
      <c r="F288" s="21"/>
    </row>
    <row r="289">
      <c r="A289" s="97"/>
      <c r="F289" s="21"/>
    </row>
    <row r="290">
      <c r="A290" s="95"/>
      <c r="F290" s="21"/>
    </row>
    <row r="291">
      <c r="A291" s="96"/>
      <c r="F291" s="21"/>
    </row>
    <row r="292">
      <c r="A292" s="97"/>
      <c r="F292" s="21"/>
    </row>
    <row r="293">
      <c r="A293" s="97"/>
      <c r="F293" s="21"/>
    </row>
    <row r="294">
      <c r="A294" s="97"/>
      <c r="F294" s="21"/>
    </row>
    <row r="295">
      <c r="A295" s="95"/>
      <c r="F295" s="21"/>
    </row>
    <row r="296">
      <c r="A296" s="96"/>
      <c r="F296" s="21"/>
    </row>
    <row r="297">
      <c r="A297" s="97"/>
      <c r="F297" s="21"/>
    </row>
    <row r="298">
      <c r="A298" s="97"/>
      <c r="F298" s="21"/>
    </row>
    <row r="299">
      <c r="A299" s="97"/>
      <c r="F299" s="21"/>
    </row>
    <row r="300">
      <c r="A300" s="95"/>
      <c r="F300" s="21"/>
    </row>
    <row r="301">
      <c r="A301" s="96"/>
      <c r="F301" s="21"/>
    </row>
    <row r="302">
      <c r="A302" s="97"/>
      <c r="F302" s="21"/>
    </row>
    <row r="303">
      <c r="A303" s="97"/>
      <c r="F303" s="21"/>
    </row>
    <row r="304">
      <c r="A304" s="97"/>
      <c r="F304" s="21"/>
    </row>
    <row r="305">
      <c r="A305" s="95"/>
      <c r="F305" s="21"/>
    </row>
    <row r="306">
      <c r="A306" s="96"/>
      <c r="F306" s="21"/>
    </row>
    <row r="307">
      <c r="A307" s="97"/>
      <c r="F307" s="21"/>
    </row>
    <row r="308">
      <c r="A308" s="97"/>
      <c r="F308" s="21"/>
    </row>
    <row r="309">
      <c r="A309" s="97"/>
      <c r="F309" s="21"/>
    </row>
    <row r="310">
      <c r="A310" s="95"/>
      <c r="F310" s="21"/>
    </row>
    <row r="311">
      <c r="A311" s="96"/>
      <c r="F311" s="21"/>
    </row>
    <row r="312">
      <c r="A312" s="97"/>
      <c r="F312" s="21"/>
    </row>
    <row r="313">
      <c r="A313" s="97"/>
      <c r="F313" s="21"/>
    </row>
    <row r="314">
      <c r="A314" s="97"/>
      <c r="F314" s="21"/>
    </row>
    <row r="315">
      <c r="A315" s="95"/>
      <c r="F315" s="21"/>
    </row>
    <row r="316">
      <c r="A316" s="96"/>
      <c r="F316" s="21"/>
    </row>
    <row r="317">
      <c r="A317" s="97"/>
      <c r="F317" s="21"/>
    </row>
    <row r="318">
      <c r="A318" s="97"/>
      <c r="F318" s="21"/>
    </row>
    <row r="319">
      <c r="A319" s="97"/>
      <c r="F319" s="21"/>
    </row>
    <row r="320">
      <c r="A320" s="95"/>
      <c r="F320" s="21"/>
    </row>
    <row r="321">
      <c r="A321" s="96"/>
      <c r="F321" s="21"/>
    </row>
    <row r="322">
      <c r="A322" s="97"/>
      <c r="F322" s="21"/>
    </row>
    <row r="323">
      <c r="A323" s="97"/>
      <c r="F323" s="21"/>
    </row>
    <row r="324">
      <c r="A324" s="97"/>
      <c r="F324" s="21"/>
    </row>
    <row r="325">
      <c r="A325" s="95"/>
      <c r="F325" s="21"/>
    </row>
    <row r="326">
      <c r="A326" s="96"/>
      <c r="F326" s="21"/>
    </row>
    <row r="327">
      <c r="A327" s="97"/>
      <c r="F327" s="21"/>
    </row>
    <row r="328">
      <c r="A328" s="97"/>
      <c r="F328" s="21"/>
    </row>
    <row r="329">
      <c r="A329" s="97"/>
      <c r="F329" s="21"/>
    </row>
    <row r="330">
      <c r="A330" s="95"/>
      <c r="F330" s="21"/>
    </row>
    <row r="331">
      <c r="A331" s="96"/>
      <c r="F331" s="21"/>
    </row>
    <row r="332">
      <c r="A332" s="97"/>
      <c r="F332" s="21"/>
    </row>
    <row r="333">
      <c r="A333" s="97"/>
      <c r="F333" s="21"/>
    </row>
    <row r="334">
      <c r="A334" s="97"/>
      <c r="F334" s="21"/>
    </row>
    <row r="335">
      <c r="A335" s="95"/>
      <c r="F335" s="21"/>
    </row>
    <row r="336">
      <c r="A336" s="96"/>
      <c r="F336" s="21"/>
    </row>
    <row r="337">
      <c r="A337" s="97"/>
      <c r="F337" s="21"/>
    </row>
    <row r="338">
      <c r="A338" s="97"/>
      <c r="F338" s="21"/>
    </row>
    <row r="339">
      <c r="A339" s="97"/>
      <c r="F339" s="21"/>
    </row>
    <row r="340">
      <c r="A340" s="95"/>
      <c r="F340" s="21"/>
    </row>
    <row r="341">
      <c r="A341" s="96"/>
      <c r="F341" s="21"/>
    </row>
    <row r="342">
      <c r="A342" s="97"/>
      <c r="F342" s="21"/>
    </row>
    <row r="343">
      <c r="A343" s="97"/>
      <c r="F343" s="21"/>
    </row>
    <row r="344">
      <c r="A344" s="97"/>
      <c r="F344" s="21"/>
    </row>
    <row r="345">
      <c r="A345" s="95"/>
      <c r="F345" s="21"/>
    </row>
    <row r="346">
      <c r="A346" s="96"/>
      <c r="F346" s="21"/>
    </row>
    <row r="347">
      <c r="A347" s="97"/>
      <c r="F347" s="21"/>
    </row>
    <row r="348">
      <c r="A348" s="97"/>
      <c r="F348" s="21"/>
    </row>
    <row r="349">
      <c r="A349" s="97"/>
      <c r="F349" s="21"/>
    </row>
    <row r="350">
      <c r="A350" s="95"/>
      <c r="F350" s="21"/>
    </row>
    <row r="351">
      <c r="A351" s="96"/>
      <c r="F351" s="21"/>
    </row>
    <row r="352">
      <c r="A352" s="97"/>
      <c r="F352" s="21"/>
    </row>
    <row r="353">
      <c r="A353" s="97"/>
      <c r="F353" s="21"/>
    </row>
    <row r="354">
      <c r="A354" s="97"/>
      <c r="F354" s="21"/>
    </row>
    <row r="355">
      <c r="A355" s="95"/>
      <c r="F355" s="21"/>
    </row>
    <row r="356">
      <c r="A356" s="96"/>
      <c r="F356" s="21"/>
    </row>
    <row r="357">
      <c r="A357" s="97"/>
      <c r="F357" s="21"/>
    </row>
    <row r="358">
      <c r="A358" s="97"/>
      <c r="F358" s="21"/>
    </row>
    <row r="359">
      <c r="A359" s="97"/>
      <c r="F359" s="21"/>
    </row>
    <row r="360">
      <c r="A360" s="95"/>
      <c r="F360" s="21"/>
    </row>
    <row r="361">
      <c r="A361" s="96"/>
      <c r="F361" s="21"/>
    </row>
    <row r="362">
      <c r="A362" s="97"/>
      <c r="F362" s="21"/>
    </row>
    <row r="363">
      <c r="A363" s="97"/>
      <c r="F363" s="21"/>
    </row>
    <row r="364">
      <c r="A364" s="97"/>
      <c r="F364" s="21"/>
    </row>
    <row r="365">
      <c r="A365" s="95"/>
      <c r="F365" s="21"/>
    </row>
    <row r="366">
      <c r="A366" s="96"/>
      <c r="F366" s="21"/>
    </row>
    <row r="367">
      <c r="A367" s="97"/>
      <c r="F367" s="21"/>
    </row>
    <row r="368">
      <c r="A368" s="97"/>
      <c r="F368" s="21"/>
    </row>
    <row r="369">
      <c r="A369" s="97"/>
      <c r="F369" s="21"/>
    </row>
    <row r="370">
      <c r="A370" s="95"/>
      <c r="F370" s="21"/>
    </row>
    <row r="371">
      <c r="A371" s="96"/>
      <c r="F371" s="21"/>
    </row>
    <row r="372">
      <c r="A372" s="97"/>
      <c r="F372" s="21"/>
    </row>
    <row r="373">
      <c r="A373" s="97"/>
      <c r="F373" s="21"/>
    </row>
    <row r="374">
      <c r="A374" s="97"/>
      <c r="F374" s="21"/>
    </row>
    <row r="375">
      <c r="A375" s="95"/>
      <c r="F375" s="21"/>
    </row>
    <row r="376">
      <c r="A376" s="96"/>
      <c r="F376" s="21"/>
    </row>
    <row r="377">
      <c r="A377" s="97"/>
      <c r="F377" s="21"/>
    </row>
    <row r="378">
      <c r="A378" s="97"/>
      <c r="F378" s="21"/>
    </row>
    <row r="379">
      <c r="A379" s="97"/>
      <c r="F379" s="21"/>
    </row>
    <row r="380">
      <c r="A380" s="95"/>
      <c r="F380" s="21"/>
    </row>
    <row r="381">
      <c r="A381" s="96"/>
      <c r="F381" s="21"/>
    </row>
    <row r="382">
      <c r="A382" s="97"/>
      <c r="F382" s="21"/>
    </row>
    <row r="383">
      <c r="A383" s="97"/>
      <c r="F383" s="21"/>
    </row>
    <row r="384">
      <c r="A384" s="97"/>
      <c r="F384" s="21"/>
    </row>
    <row r="385">
      <c r="A385" s="95"/>
      <c r="F385" s="21"/>
    </row>
    <row r="386">
      <c r="A386" s="96"/>
      <c r="F386" s="21"/>
    </row>
    <row r="387">
      <c r="A387" s="97"/>
      <c r="F387" s="21"/>
    </row>
    <row r="388">
      <c r="A388" s="97"/>
      <c r="F388" s="21"/>
    </row>
    <row r="389">
      <c r="A389" s="97"/>
      <c r="F389" s="21"/>
    </row>
    <row r="390">
      <c r="A390" s="95"/>
      <c r="F390" s="21"/>
    </row>
    <row r="391">
      <c r="A391" s="96"/>
      <c r="F391" s="21"/>
    </row>
    <row r="392">
      <c r="A392" s="97"/>
      <c r="F392" s="21"/>
    </row>
    <row r="393">
      <c r="A393" s="97"/>
      <c r="F393" s="21"/>
    </row>
    <row r="394">
      <c r="A394" s="97"/>
      <c r="F394" s="21"/>
    </row>
    <row r="395">
      <c r="A395" s="95"/>
      <c r="F395" s="21"/>
    </row>
    <row r="396">
      <c r="A396" s="96"/>
      <c r="F396" s="21"/>
    </row>
    <row r="397">
      <c r="A397" s="97"/>
      <c r="F397" s="21"/>
    </row>
    <row r="398">
      <c r="A398" s="97"/>
      <c r="F398" s="21"/>
    </row>
    <row r="399">
      <c r="A399" s="97"/>
      <c r="F399" s="21"/>
    </row>
    <row r="400">
      <c r="A400" s="95"/>
      <c r="F400" s="21"/>
    </row>
    <row r="401">
      <c r="A401" s="96"/>
      <c r="F401" s="21"/>
    </row>
    <row r="402">
      <c r="A402" s="98"/>
      <c r="F402" s="21"/>
    </row>
    <row r="403">
      <c r="A403" s="98"/>
      <c r="F403" s="21"/>
    </row>
    <row r="404">
      <c r="A404" s="99"/>
      <c r="F404" s="21"/>
    </row>
    <row r="405">
      <c r="A405" s="96"/>
      <c r="F405" s="21"/>
    </row>
    <row r="406">
      <c r="A406" s="97"/>
      <c r="F406" s="21"/>
    </row>
    <row r="407">
      <c r="A407" s="97"/>
      <c r="F407" s="21"/>
    </row>
    <row r="408">
      <c r="A408" s="97"/>
      <c r="F408" s="21"/>
    </row>
    <row r="409">
      <c r="A409" s="95"/>
      <c r="F409" s="21"/>
    </row>
    <row r="410">
      <c r="A410" s="96"/>
      <c r="F410" s="21"/>
    </row>
    <row r="411">
      <c r="A411" s="97"/>
      <c r="F411" s="21"/>
    </row>
    <row r="412">
      <c r="A412" s="97"/>
      <c r="F412" s="21"/>
    </row>
    <row r="413">
      <c r="A413" s="97"/>
      <c r="F413" s="21"/>
    </row>
    <row r="414">
      <c r="A414" s="95"/>
      <c r="F414" s="21"/>
    </row>
    <row r="415">
      <c r="A415" s="96"/>
      <c r="F415" s="21"/>
    </row>
    <row r="416">
      <c r="A416" s="97"/>
      <c r="F416" s="21"/>
    </row>
    <row r="417">
      <c r="A417" s="97"/>
      <c r="F417" s="21"/>
    </row>
    <row r="418">
      <c r="A418" s="97"/>
      <c r="F418" s="21"/>
    </row>
    <row r="419">
      <c r="A419" s="95"/>
      <c r="F419" s="21"/>
    </row>
    <row r="420">
      <c r="A420" s="96"/>
      <c r="F420" s="21"/>
    </row>
    <row r="421">
      <c r="A421" s="98"/>
      <c r="F421" s="21"/>
    </row>
    <row r="422">
      <c r="A422" s="98"/>
      <c r="F422" s="21"/>
    </row>
    <row r="423">
      <c r="A423" s="99"/>
      <c r="F423" s="21"/>
    </row>
    <row r="424">
      <c r="A424" s="96"/>
      <c r="F424" s="21"/>
    </row>
    <row r="425">
      <c r="A425" s="97"/>
      <c r="F425" s="21"/>
    </row>
    <row r="426">
      <c r="A426" s="97"/>
      <c r="F426" s="21"/>
    </row>
    <row r="427">
      <c r="A427" s="97"/>
      <c r="F427" s="21"/>
    </row>
    <row r="428">
      <c r="A428" s="95"/>
      <c r="F428" s="21"/>
    </row>
    <row r="429">
      <c r="A429" s="96"/>
      <c r="F429" s="21"/>
    </row>
    <row r="430">
      <c r="A430" s="97"/>
      <c r="F430" s="21"/>
    </row>
    <row r="431">
      <c r="A431" s="97"/>
      <c r="F431" s="21"/>
    </row>
    <row r="432">
      <c r="A432" s="97"/>
      <c r="F432" s="21"/>
    </row>
    <row r="433">
      <c r="A433" s="95"/>
      <c r="F433" s="21"/>
    </row>
    <row r="434">
      <c r="A434" s="96"/>
      <c r="F434" s="21"/>
    </row>
    <row r="435">
      <c r="A435" s="97"/>
      <c r="F435" s="21"/>
    </row>
    <row r="436">
      <c r="A436" s="97"/>
      <c r="F436" s="21"/>
    </row>
    <row r="437">
      <c r="A437" s="97"/>
      <c r="F437" s="21"/>
    </row>
    <row r="438">
      <c r="A438" s="95"/>
      <c r="F438" s="21"/>
    </row>
    <row r="439">
      <c r="A439" s="96"/>
      <c r="F439" s="21"/>
    </row>
    <row r="440">
      <c r="A440" s="98"/>
      <c r="F440" s="21"/>
    </row>
    <row r="441">
      <c r="A441" s="98"/>
      <c r="F441" s="21"/>
    </row>
    <row r="442">
      <c r="A442" s="99"/>
      <c r="F442" s="21"/>
    </row>
    <row r="443">
      <c r="A443" s="96"/>
      <c r="F443" s="21"/>
    </row>
    <row r="444">
      <c r="A444" s="98"/>
      <c r="F444" s="21"/>
    </row>
    <row r="445">
      <c r="A445" s="98"/>
      <c r="F445" s="21"/>
    </row>
    <row r="446">
      <c r="A446" s="99"/>
      <c r="F446" s="21"/>
    </row>
    <row r="447">
      <c r="A447" s="96"/>
      <c r="F447" s="21"/>
    </row>
    <row r="448">
      <c r="A448" s="97"/>
      <c r="F448" s="21"/>
    </row>
    <row r="449">
      <c r="A449" s="97"/>
      <c r="F449" s="21"/>
    </row>
    <row r="450">
      <c r="A450" s="97"/>
      <c r="F450" s="21"/>
    </row>
    <row r="451">
      <c r="A451" s="95"/>
      <c r="F451" s="21"/>
    </row>
    <row r="452">
      <c r="A452" s="96"/>
      <c r="F452" s="21"/>
    </row>
    <row r="453">
      <c r="A453" s="97"/>
      <c r="F453" s="21"/>
    </row>
    <row r="454">
      <c r="A454" s="97"/>
      <c r="F454" s="21"/>
    </row>
    <row r="455">
      <c r="A455" s="97"/>
      <c r="F455" s="21"/>
    </row>
    <row r="456">
      <c r="A456" s="95"/>
      <c r="F456" s="21"/>
    </row>
    <row r="457">
      <c r="A457" s="96"/>
      <c r="F457" s="21"/>
    </row>
    <row r="458">
      <c r="A458" s="98"/>
      <c r="F458" s="21"/>
    </row>
    <row r="459">
      <c r="A459" s="98"/>
      <c r="F459" s="21"/>
    </row>
    <row r="460">
      <c r="A460" s="99"/>
      <c r="F460" s="21"/>
    </row>
    <row r="461">
      <c r="A461" s="96"/>
      <c r="F461" s="21"/>
    </row>
    <row r="462">
      <c r="A462" s="97"/>
      <c r="F462" s="21"/>
    </row>
    <row r="463">
      <c r="A463" s="97"/>
      <c r="F463" s="21"/>
    </row>
    <row r="464">
      <c r="A464" s="97"/>
      <c r="F464" s="21"/>
    </row>
    <row r="465">
      <c r="A465" s="95"/>
      <c r="F465" s="21"/>
    </row>
    <row r="466">
      <c r="A466" s="96"/>
      <c r="F466" s="21"/>
    </row>
    <row r="467">
      <c r="A467" s="97"/>
      <c r="F467" s="21"/>
    </row>
    <row r="468">
      <c r="A468" s="97"/>
      <c r="F468" s="21"/>
    </row>
    <row r="469">
      <c r="A469" s="97"/>
      <c r="F469" s="21"/>
    </row>
    <row r="470">
      <c r="A470" s="95"/>
      <c r="F470" s="21"/>
    </row>
    <row r="471">
      <c r="A471" s="96"/>
      <c r="F471" s="21"/>
    </row>
    <row r="472">
      <c r="A472" s="97"/>
      <c r="F472" s="21"/>
    </row>
    <row r="473">
      <c r="A473" s="97"/>
      <c r="F473" s="21"/>
    </row>
    <row r="474">
      <c r="A474" s="97"/>
      <c r="F474" s="21"/>
    </row>
    <row r="475">
      <c r="A475" s="95"/>
      <c r="F475" s="21"/>
    </row>
    <row r="476">
      <c r="A476" s="96"/>
      <c r="F476" s="21"/>
    </row>
    <row r="477">
      <c r="A477" s="97"/>
      <c r="F477" s="21"/>
    </row>
    <row r="478">
      <c r="A478" s="97"/>
      <c r="F478" s="21"/>
    </row>
    <row r="479">
      <c r="A479" s="97"/>
      <c r="F479" s="21"/>
    </row>
    <row r="480">
      <c r="A480" s="95"/>
      <c r="F480" s="21"/>
    </row>
    <row r="481">
      <c r="A481" s="96"/>
      <c r="F481" s="21"/>
    </row>
    <row r="482">
      <c r="A482" s="98"/>
      <c r="F482" s="21"/>
    </row>
    <row r="483">
      <c r="A483" s="98"/>
      <c r="F483" s="21"/>
    </row>
    <row r="484">
      <c r="A484" s="99"/>
      <c r="F484" s="21"/>
    </row>
    <row r="485">
      <c r="A485" s="96"/>
      <c r="F485" s="21"/>
    </row>
    <row r="486">
      <c r="A486" s="97"/>
      <c r="F486" s="21"/>
    </row>
    <row r="487">
      <c r="A487" s="97"/>
      <c r="F487" s="21"/>
    </row>
    <row r="488">
      <c r="A488" s="97"/>
      <c r="F488" s="21"/>
    </row>
    <row r="489">
      <c r="A489" s="95"/>
      <c r="F489" s="21"/>
    </row>
    <row r="490">
      <c r="A490" s="96"/>
      <c r="F490" s="21"/>
    </row>
    <row r="491">
      <c r="A491" s="98"/>
      <c r="F491" s="21"/>
    </row>
    <row r="492">
      <c r="A492" s="98"/>
      <c r="F492" s="21"/>
    </row>
    <row r="493">
      <c r="A493" s="99"/>
      <c r="F493" s="21"/>
    </row>
    <row r="494">
      <c r="A494" s="96"/>
      <c r="F494" s="21"/>
    </row>
    <row r="495">
      <c r="A495" s="97"/>
      <c r="F495" s="21"/>
    </row>
    <row r="496">
      <c r="A496" s="97"/>
      <c r="F496" s="21"/>
    </row>
    <row r="497">
      <c r="A497" s="97"/>
      <c r="F497" s="21"/>
    </row>
    <row r="498">
      <c r="A498" s="95"/>
      <c r="F498" s="21"/>
    </row>
    <row r="499">
      <c r="A499" s="96"/>
      <c r="F499" s="21"/>
    </row>
    <row r="500">
      <c r="A500" s="98"/>
      <c r="F500" s="21"/>
    </row>
    <row r="501">
      <c r="A501" s="98"/>
      <c r="F501" s="21"/>
    </row>
    <row r="502">
      <c r="A502" s="99"/>
      <c r="F502" s="21"/>
    </row>
    <row r="503">
      <c r="A503" s="96"/>
      <c r="F503" s="21"/>
    </row>
    <row r="504">
      <c r="A504" s="98"/>
      <c r="F504" s="21"/>
    </row>
    <row r="505">
      <c r="A505" s="98"/>
      <c r="F505" s="21"/>
    </row>
    <row r="506">
      <c r="A506" s="99"/>
      <c r="F506" s="21"/>
    </row>
    <row r="507">
      <c r="A507" s="96"/>
      <c r="F507" s="21"/>
    </row>
    <row r="508">
      <c r="A508" s="97"/>
      <c r="F508" s="21"/>
    </row>
    <row r="509">
      <c r="A509" s="97"/>
      <c r="F509" s="21"/>
    </row>
    <row r="510">
      <c r="A510" s="97"/>
      <c r="F510" s="21"/>
    </row>
    <row r="511">
      <c r="A511" s="95"/>
      <c r="F511" s="21"/>
    </row>
    <row r="512">
      <c r="A512" s="96"/>
      <c r="F512" s="21"/>
    </row>
    <row r="513">
      <c r="A513" s="98"/>
      <c r="F513" s="21"/>
    </row>
    <row r="514">
      <c r="A514" s="98"/>
      <c r="F514" s="21"/>
    </row>
    <row r="515">
      <c r="A515" s="99"/>
      <c r="F515" s="21"/>
    </row>
    <row r="516">
      <c r="A516" s="96"/>
      <c r="F516" s="21"/>
    </row>
    <row r="517">
      <c r="A517" s="97"/>
      <c r="F517" s="21"/>
    </row>
    <row r="518">
      <c r="A518" s="97"/>
      <c r="F518" s="21"/>
    </row>
    <row r="519">
      <c r="A519" s="97"/>
      <c r="F519" s="21"/>
    </row>
    <row r="520">
      <c r="A520" s="95"/>
      <c r="F520" s="21"/>
    </row>
    <row r="521">
      <c r="A521" s="96"/>
      <c r="F521" s="21"/>
    </row>
    <row r="522">
      <c r="A522" s="97"/>
      <c r="F522" s="21"/>
    </row>
    <row r="523">
      <c r="A523" s="97"/>
      <c r="F523" s="21"/>
    </row>
    <row r="524">
      <c r="A524" s="97"/>
      <c r="F524" s="21"/>
    </row>
    <row r="525">
      <c r="A525" s="95"/>
      <c r="F525" s="21"/>
    </row>
    <row r="526">
      <c r="A526" s="96"/>
      <c r="F526" s="21"/>
    </row>
    <row r="527">
      <c r="A527" s="98"/>
      <c r="F527" s="21"/>
    </row>
    <row r="528">
      <c r="A528" s="98"/>
      <c r="F528" s="21"/>
    </row>
    <row r="529">
      <c r="A529" s="99"/>
      <c r="F529" s="21"/>
    </row>
    <row r="530">
      <c r="A530" s="96"/>
      <c r="F530" s="21"/>
    </row>
    <row r="531">
      <c r="A531" s="97"/>
      <c r="F531" s="21"/>
    </row>
    <row r="532">
      <c r="A532" s="97"/>
      <c r="F532" s="21"/>
    </row>
    <row r="533">
      <c r="A533" s="97"/>
      <c r="F533" s="21"/>
    </row>
    <row r="534">
      <c r="A534" s="95"/>
      <c r="F534" s="21"/>
    </row>
    <row r="535">
      <c r="A535" s="96"/>
      <c r="F535" s="21"/>
    </row>
    <row r="536">
      <c r="A536" s="97"/>
      <c r="F536" s="21"/>
    </row>
    <row r="537">
      <c r="A537" s="97"/>
      <c r="F537" s="21"/>
    </row>
    <row r="538">
      <c r="A538" s="97"/>
      <c r="F538" s="21"/>
    </row>
    <row r="539">
      <c r="A539" s="95"/>
      <c r="F539" s="21"/>
    </row>
    <row r="540">
      <c r="A540" s="96"/>
      <c r="F540" s="21"/>
    </row>
    <row r="541">
      <c r="A541" s="98"/>
      <c r="F541" s="21"/>
    </row>
    <row r="542">
      <c r="A542" s="98"/>
      <c r="F542" s="21"/>
    </row>
    <row r="543">
      <c r="A543" s="99"/>
      <c r="F543" s="21"/>
    </row>
    <row r="544">
      <c r="A544" s="96"/>
      <c r="F544" s="21"/>
    </row>
    <row r="545">
      <c r="A545" s="97"/>
      <c r="F545" s="21"/>
    </row>
    <row r="546">
      <c r="A546" s="97"/>
      <c r="F546" s="21"/>
    </row>
    <row r="547">
      <c r="A547" s="97"/>
      <c r="F547" s="21"/>
    </row>
    <row r="548">
      <c r="A548" s="95"/>
      <c r="F548" s="21"/>
    </row>
    <row r="549">
      <c r="A549" s="96"/>
      <c r="F549" s="21"/>
    </row>
    <row r="550">
      <c r="A550" s="97"/>
      <c r="F550" s="21"/>
    </row>
    <row r="551">
      <c r="A551" s="97"/>
      <c r="F551" s="21"/>
    </row>
    <row r="552">
      <c r="A552" s="97"/>
      <c r="F552" s="21"/>
    </row>
    <row r="553">
      <c r="A553" s="95"/>
      <c r="F553" s="21"/>
    </row>
    <row r="554">
      <c r="A554" s="96"/>
      <c r="F554" s="21"/>
    </row>
    <row r="555">
      <c r="A555" s="98"/>
      <c r="F555" s="21"/>
    </row>
    <row r="556">
      <c r="A556" s="98"/>
      <c r="F556" s="21"/>
    </row>
    <row r="557">
      <c r="A557" s="99"/>
      <c r="F557" s="21"/>
    </row>
    <row r="558">
      <c r="A558" s="96"/>
      <c r="F558" s="21"/>
    </row>
    <row r="559">
      <c r="A559" s="97"/>
      <c r="F559" s="21"/>
    </row>
    <row r="560">
      <c r="A560" s="97"/>
      <c r="F560" s="21"/>
    </row>
    <row r="561">
      <c r="A561" s="97"/>
      <c r="F561" s="21"/>
    </row>
    <row r="562">
      <c r="A562" s="95"/>
      <c r="F562" s="21"/>
    </row>
    <row r="563">
      <c r="A563" s="96"/>
      <c r="F563" s="21"/>
    </row>
    <row r="564">
      <c r="A564" s="97"/>
      <c r="F564" s="21"/>
    </row>
    <row r="565">
      <c r="A565" s="97"/>
      <c r="F565" s="21"/>
    </row>
    <row r="566">
      <c r="A566" s="97"/>
      <c r="F566" s="21"/>
    </row>
    <row r="567">
      <c r="A567" s="95"/>
      <c r="F567" s="21"/>
    </row>
    <row r="568">
      <c r="A568" s="96"/>
      <c r="F568" s="21"/>
    </row>
    <row r="569">
      <c r="A569" s="97"/>
      <c r="F569" s="21"/>
    </row>
    <row r="570">
      <c r="A570" s="97"/>
      <c r="F570" s="21"/>
    </row>
    <row r="571">
      <c r="A571" s="97"/>
      <c r="F571" s="21"/>
    </row>
    <row r="572">
      <c r="A572" s="95"/>
      <c r="F572" s="21"/>
    </row>
    <row r="573">
      <c r="A573" s="96"/>
      <c r="F573" s="21"/>
    </row>
    <row r="574">
      <c r="A574" s="97"/>
      <c r="F574" s="21"/>
    </row>
    <row r="575">
      <c r="A575" s="97"/>
      <c r="F575" s="21"/>
    </row>
    <row r="576">
      <c r="A576" s="97"/>
      <c r="F576" s="21"/>
    </row>
    <row r="577">
      <c r="A577" s="95"/>
      <c r="F577" s="21"/>
    </row>
    <row r="578">
      <c r="A578" s="96"/>
      <c r="F578" s="21"/>
    </row>
    <row r="579">
      <c r="A579" s="97"/>
      <c r="F579" s="21"/>
    </row>
    <row r="580">
      <c r="A580" s="97"/>
      <c r="F580" s="21"/>
    </row>
    <row r="581">
      <c r="A581" s="97"/>
      <c r="F581" s="21"/>
    </row>
    <row r="582">
      <c r="A582" s="95"/>
      <c r="F582" s="21"/>
    </row>
    <row r="583">
      <c r="A583" s="96"/>
      <c r="F583" s="21"/>
    </row>
    <row r="584">
      <c r="A584" s="97"/>
      <c r="F584" s="21"/>
    </row>
    <row r="585">
      <c r="A585" s="97"/>
      <c r="F585" s="21"/>
    </row>
    <row r="586">
      <c r="A586" s="97"/>
      <c r="F586" s="21"/>
    </row>
    <row r="587">
      <c r="A587" s="95"/>
      <c r="F587" s="21"/>
    </row>
    <row r="588">
      <c r="A588" s="96"/>
      <c r="F588" s="21"/>
    </row>
    <row r="589">
      <c r="A589" s="97"/>
      <c r="F589" s="21"/>
    </row>
    <row r="590">
      <c r="A590" s="97"/>
      <c r="F590" s="21"/>
    </row>
    <row r="591">
      <c r="A591" s="97"/>
      <c r="F591" s="21"/>
    </row>
    <row r="592">
      <c r="A592" s="95"/>
      <c r="F592" s="21"/>
    </row>
    <row r="593">
      <c r="A593" s="96"/>
      <c r="F593" s="21"/>
    </row>
    <row r="594">
      <c r="A594" s="97"/>
      <c r="F594" s="21"/>
    </row>
    <row r="595">
      <c r="A595" s="97"/>
      <c r="F595" s="21"/>
    </row>
    <row r="596">
      <c r="A596" s="97"/>
      <c r="F596" s="21"/>
    </row>
    <row r="597">
      <c r="A597" s="95"/>
      <c r="F597" s="21"/>
    </row>
    <row r="598">
      <c r="A598" s="96"/>
      <c r="F598" s="21"/>
    </row>
    <row r="599">
      <c r="A599" s="97"/>
      <c r="F599" s="21"/>
    </row>
    <row r="600">
      <c r="A600" s="97"/>
      <c r="F600" s="21"/>
    </row>
    <row r="601">
      <c r="A601" s="97"/>
      <c r="F601" s="21"/>
    </row>
    <row r="602">
      <c r="A602" s="95"/>
      <c r="F602" s="21"/>
    </row>
    <row r="603">
      <c r="A603" s="96"/>
      <c r="F603" s="21"/>
    </row>
    <row r="604">
      <c r="A604" s="97"/>
      <c r="F604" s="21"/>
    </row>
    <row r="605">
      <c r="A605" s="97"/>
      <c r="F605" s="21"/>
    </row>
    <row r="606">
      <c r="A606" s="97"/>
      <c r="F606" s="21"/>
    </row>
    <row r="607">
      <c r="A607" s="95"/>
      <c r="F607" s="21"/>
    </row>
    <row r="608">
      <c r="A608" s="96"/>
      <c r="F608" s="21"/>
    </row>
    <row r="609">
      <c r="A609" s="97"/>
      <c r="F609" s="21"/>
    </row>
    <row r="610">
      <c r="A610" s="97"/>
      <c r="F610" s="21"/>
    </row>
    <row r="611">
      <c r="A611" s="97"/>
      <c r="F611" s="21"/>
    </row>
    <row r="612">
      <c r="A612" s="95"/>
      <c r="F612" s="21"/>
    </row>
    <row r="613">
      <c r="A613" s="96"/>
      <c r="F613" s="21"/>
    </row>
    <row r="614">
      <c r="A614" s="97"/>
      <c r="F614" s="21"/>
    </row>
    <row r="615">
      <c r="A615" s="97"/>
      <c r="F615" s="21"/>
    </row>
    <row r="616">
      <c r="A616" s="97"/>
      <c r="F616" s="21"/>
    </row>
    <row r="617">
      <c r="A617" s="95"/>
      <c r="F617" s="21"/>
    </row>
    <row r="618">
      <c r="A618" s="96"/>
      <c r="F618" s="21"/>
    </row>
    <row r="619">
      <c r="A619" s="97"/>
      <c r="F619" s="21"/>
    </row>
    <row r="620">
      <c r="A620" s="97"/>
      <c r="F620" s="21"/>
    </row>
    <row r="621">
      <c r="A621" s="97"/>
      <c r="F621" s="21"/>
    </row>
    <row r="622">
      <c r="A622" s="95"/>
      <c r="F622" s="21"/>
    </row>
    <row r="623">
      <c r="A623" s="96"/>
      <c r="F623" s="21"/>
    </row>
    <row r="624">
      <c r="A624" s="97"/>
      <c r="F624" s="21"/>
    </row>
    <row r="625">
      <c r="A625" s="97"/>
      <c r="F625" s="21"/>
    </row>
    <row r="626">
      <c r="A626" s="97"/>
      <c r="F626" s="21"/>
    </row>
    <row r="627">
      <c r="A627" s="95"/>
      <c r="F627" s="21"/>
    </row>
    <row r="628">
      <c r="A628" s="96"/>
      <c r="F628" s="21"/>
    </row>
    <row r="629">
      <c r="A629" s="97"/>
      <c r="F629" s="21"/>
    </row>
    <row r="630">
      <c r="A630" s="97"/>
      <c r="F630" s="21"/>
    </row>
    <row r="631">
      <c r="A631" s="97"/>
      <c r="F631" s="21"/>
    </row>
    <row r="632">
      <c r="A632" s="95"/>
      <c r="F632" s="21"/>
    </row>
    <row r="633">
      <c r="A633" s="96"/>
      <c r="F633" s="21"/>
    </row>
    <row r="634">
      <c r="A634" s="97"/>
      <c r="F634" s="21"/>
    </row>
    <row r="635">
      <c r="A635" s="97"/>
      <c r="F635" s="21"/>
    </row>
    <row r="636">
      <c r="A636" s="97"/>
      <c r="F636" s="21"/>
    </row>
    <row r="637">
      <c r="A637" s="95"/>
      <c r="F637" s="21"/>
    </row>
    <row r="638">
      <c r="A638" s="96"/>
      <c r="F638" s="21"/>
    </row>
    <row r="639">
      <c r="A639" s="97"/>
      <c r="F639" s="21"/>
    </row>
    <row r="640">
      <c r="A640" s="97"/>
      <c r="F640" s="21"/>
    </row>
    <row r="641">
      <c r="A641" s="97"/>
      <c r="F641" s="21"/>
    </row>
    <row r="642">
      <c r="A642" s="95"/>
      <c r="F642" s="21"/>
    </row>
    <row r="643">
      <c r="A643" s="96"/>
      <c r="F643" s="21"/>
    </row>
    <row r="644">
      <c r="A644" s="97"/>
      <c r="F644" s="21"/>
    </row>
    <row r="645">
      <c r="A645" s="97"/>
      <c r="F645" s="21"/>
    </row>
    <row r="646">
      <c r="A646" s="97"/>
      <c r="F646" s="21"/>
    </row>
    <row r="647">
      <c r="A647" s="95"/>
      <c r="F647" s="21"/>
    </row>
    <row r="648">
      <c r="A648" s="96"/>
      <c r="F648" s="21"/>
    </row>
    <row r="649">
      <c r="A649" s="97"/>
      <c r="F649" s="21"/>
    </row>
    <row r="650">
      <c r="A650" s="97"/>
      <c r="F650" s="21"/>
    </row>
    <row r="651">
      <c r="A651" s="97"/>
      <c r="F651" s="21"/>
    </row>
    <row r="652">
      <c r="A652" s="95"/>
      <c r="F652" s="21"/>
    </row>
    <row r="653">
      <c r="A653" s="96"/>
      <c r="F653" s="21"/>
    </row>
    <row r="654">
      <c r="A654" s="97"/>
      <c r="F654" s="21"/>
    </row>
    <row r="655">
      <c r="A655" s="97"/>
      <c r="F655" s="21"/>
    </row>
    <row r="656">
      <c r="A656" s="97"/>
      <c r="F656" s="21"/>
    </row>
    <row r="657">
      <c r="A657" s="95"/>
      <c r="F657" s="21"/>
    </row>
    <row r="658">
      <c r="A658" s="96"/>
      <c r="F658" s="21"/>
    </row>
    <row r="659">
      <c r="A659" s="97"/>
      <c r="F659" s="21"/>
    </row>
    <row r="660">
      <c r="A660" s="97"/>
      <c r="F660" s="21"/>
    </row>
    <row r="661">
      <c r="A661" s="97"/>
      <c r="F661" s="21"/>
    </row>
    <row r="662">
      <c r="A662" s="95"/>
      <c r="F662" s="21"/>
    </row>
    <row r="663">
      <c r="A663" s="96"/>
      <c r="F663" s="21"/>
    </row>
    <row r="664">
      <c r="A664" s="97"/>
      <c r="F664" s="21"/>
    </row>
    <row r="665">
      <c r="A665" s="97"/>
      <c r="F665" s="21"/>
    </row>
    <row r="666">
      <c r="A666" s="97"/>
      <c r="F666" s="21"/>
    </row>
    <row r="667">
      <c r="A667" s="95"/>
      <c r="F667" s="21"/>
    </row>
    <row r="668">
      <c r="A668" s="96"/>
      <c r="F668" s="21"/>
    </row>
    <row r="669">
      <c r="A669" s="97"/>
      <c r="F669" s="21"/>
    </row>
    <row r="670">
      <c r="A670" s="97"/>
      <c r="F670" s="21"/>
    </row>
    <row r="671">
      <c r="A671" s="97"/>
      <c r="F671" s="21"/>
    </row>
    <row r="672">
      <c r="A672" s="95"/>
      <c r="F672" s="21"/>
    </row>
    <row r="673">
      <c r="A673" s="96"/>
      <c r="F673" s="21"/>
    </row>
    <row r="674">
      <c r="A674" s="97"/>
      <c r="F674" s="21"/>
    </row>
    <row r="675">
      <c r="A675" s="97"/>
      <c r="F675" s="21"/>
    </row>
    <row r="676">
      <c r="A676" s="97"/>
      <c r="F676" s="21"/>
    </row>
    <row r="677">
      <c r="A677" s="95"/>
      <c r="F677" s="21"/>
    </row>
    <row r="678">
      <c r="A678" s="96"/>
      <c r="F678" s="21"/>
    </row>
    <row r="679">
      <c r="A679" s="97"/>
      <c r="F679" s="21"/>
    </row>
    <row r="680">
      <c r="A680" s="97"/>
      <c r="F680" s="21"/>
    </row>
    <row r="681">
      <c r="A681" s="97"/>
      <c r="F681" s="21"/>
    </row>
    <row r="682">
      <c r="A682" s="95"/>
      <c r="F682" s="21"/>
    </row>
    <row r="683">
      <c r="A683" s="96"/>
      <c r="F683" s="21"/>
    </row>
    <row r="684">
      <c r="A684" s="97"/>
      <c r="F684" s="21"/>
    </row>
    <row r="685">
      <c r="A685" s="97"/>
      <c r="F685" s="21"/>
    </row>
    <row r="686">
      <c r="A686" s="97"/>
      <c r="F686" s="21"/>
    </row>
    <row r="687">
      <c r="A687" s="95"/>
      <c r="F687" s="21"/>
    </row>
    <row r="688">
      <c r="A688" s="96"/>
      <c r="F688" s="21"/>
    </row>
    <row r="689">
      <c r="A689" s="97"/>
      <c r="F689" s="21"/>
    </row>
    <row r="690">
      <c r="A690" s="97"/>
      <c r="F690" s="21"/>
    </row>
    <row r="691">
      <c r="A691" s="97"/>
      <c r="F691" s="21"/>
    </row>
    <row r="692">
      <c r="A692" s="95"/>
      <c r="F692" s="21"/>
    </row>
    <row r="693">
      <c r="A693" s="96"/>
      <c r="F693" s="21"/>
    </row>
    <row r="694">
      <c r="A694" s="97"/>
      <c r="F694" s="21"/>
    </row>
    <row r="695">
      <c r="A695" s="97"/>
      <c r="F695" s="21"/>
    </row>
    <row r="696">
      <c r="A696" s="97"/>
      <c r="F696" s="21"/>
    </row>
    <row r="697">
      <c r="A697" s="95"/>
      <c r="F697" s="21"/>
    </row>
    <row r="698">
      <c r="A698" s="96"/>
      <c r="F698" s="21"/>
    </row>
    <row r="699">
      <c r="A699" s="97"/>
      <c r="F699" s="21"/>
    </row>
    <row r="700">
      <c r="A700" s="97"/>
      <c r="F700" s="21"/>
    </row>
    <row r="701">
      <c r="A701" s="97"/>
      <c r="F701" s="21"/>
    </row>
    <row r="702">
      <c r="A702" s="95"/>
      <c r="F702" s="21"/>
    </row>
    <row r="703">
      <c r="A703" s="96"/>
      <c r="F703" s="21"/>
    </row>
    <row r="704">
      <c r="F704" s="21"/>
    </row>
    <row r="705">
      <c r="F705" s="21"/>
    </row>
    <row r="706">
      <c r="F706" s="21"/>
    </row>
    <row r="707">
      <c r="F707" s="21"/>
    </row>
    <row r="708">
      <c r="F708" s="21"/>
    </row>
    <row r="709">
      <c r="F709" s="21"/>
    </row>
    <row r="710">
      <c r="F710" s="21"/>
    </row>
    <row r="711">
      <c r="F711" s="21"/>
    </row>
    <row r="712">
      <c r="F712" s="21"/>
    </row>
    <row r="713">
      <c r="F713" s="21"/>
    </row>
    <row r="714">
      <c r="F714" s="21"/>
    </row>
    <row r="715">
      <c r="F715" s="21"/>
    </row>
    <row r="716">
      <c r="F716" s="21"/>
    </row>
    <row r="717">
      <c r="F717" s="21"/>
    </row>
    <row r="718">
      <c r="F718" s="21"/>
    </row>
    <row r="719">
      <c r="F719" s="21"/>
    </row>
    <row r="720">
      <c r="F720" s="21"/>
    </row>
    <row r="721">
      <c r="F721" s="21"/>
    </row>
    <row r="722">
      <c r="F722" s="21"/>
    </row>
    <row r="723">
      <c r="F723" s="21"/>
    </row>
    <row r="724">
      <c r="F724" s="21"/>
    </row>
    <row r="725">
      <c r="F725" s="21"/>
    </row>
    <row r="726">
      <c r="F726" s="21"/>
    </row>
    <row r="727">
      <c r="F727" s="21"/>
    </row>
    <row r="728">
      <c r="F728" s="21"/>
    </row>
    <row r="729">
      <c r="F729" s="21"/>
    </row>
    <row r="730">
      <c r="F730" s="21"/>
    </row>
    <row r="731">
      <c r="F731" s="21"/>
    </row>
    <row r="732">
      <c r="F732" s="21"/>
    </row>
    <row r="733">
      <c r="F733" s="21"/>
    </row>
    <row r="734">
      <c r="F734" s="21"/>
    </row>
    <row r="735">
      <c r="F735" s="21"/>
    </row>
    <row r="736">
      <c r="F736" s="21"/>
    </row>
    <row r="737">
      <c r="F737" s="21"/>
    </row>
    <row r="738">
      <c r="F738" s="21"/>
    </row>
    <row r="739">
      <c r="F739" s="21"/>
    </row>
    <row r="740">
      <c r="F740" s="21"/>
    </row>
    <row r="741">
      <c r="F741" s="21"/>
    </row>
    <row r="742">
      <c r="F742" s="21"/>
    </row>
    <row r="743">
      <c r="F743" s="21"/>
    </row>
    <row r="744">
      <c r="F744" s="21"/>
    </row>
    <row r="745">
      <c r="F745" s="21"/>
    </row>
    <row r="746">
      <c r="F746" s="21"/>
    </row>
    <row r="747">
      <c r="F747" s="21"/>
    </row>
    <row r="748">
      <c r="F748" s="21"/>
    </row>
    <row r="749">
      <c r="F749" s="21"/>
    </row>
    <row r="750">
      <c r="F750" s="21"/>
    </row>
    <row r="751">
      <c r="F751" s="21"/>
    </row>
    <row r="752">
      <c r="F752" s="21"/>
    </row>
    <row r="753">
      <c r="F753" s="21"/>
    </row>
    <row r="754">
      <c r="F754" s="21"/>
    </row>
    <row r="755">
      <c r="F755" s="21"/>
    </row>
    <row r="756">
      <c r="F756" s="21"/>
    </row>
    <row r="757">
      <c r="F757" s="21"/>
    </row>
    <row r="758">
      <c r="F758" s="21"/>
    </row>
    <row r="759">
      <c r="F759" s="21"/>
    </row>
    <row r="760">
      <c r="F760" s="21"/>
    </row>
    <row r="761">
      <c r="F761" s="21"/>
    </row>
    <row r="762">
      <c r="F762" s="21"/>
    </row>
    <row r="763">
      <c r="F763" s="21"/>
    </row>
    <row r="764">
      <c r="F764" s="21"/>
    </row>
    <row r="765">
      <c r="F765" s="21"/>
    </row>
    <row r="766">
      <c r="F766" s="21"/>
    </row>
    <row r="767">
      <c r="F767" s="21"/>
    </row>
    <row r="768">
      <c r="F768" s="21"/>
    </row>
    <row r="769">
      <c r="F769" s="21"/>
    </row>
    <row r="770">
      <c r="F770" s="21"/>
    </row>
    <row r="771">
      <c r="F771" s="21"/>
    </row>
    <row r="772">
      <c r="F772" s="21"/>
    </row>
    <row r="773">
      <c r="F773" s="21"/>
    </row>
    <row r="774">
      <c r="F774" s="21"/>
    </row>
    <row r="775">
      <c r="F775" s="21"/>
    </row>
    <row r="776">
      <c r="F776" s="21"/>
    </row>
    <row r="777">
      <c r="F777" s="21"/>
    </row>
    <row r="778">
      <c r="F778" s="21"/>
    </row>
    <row r="779">
      <c r="F779" s="21"/>
    </row>
    <row r="780">
      <c r="F780" s="21"/>
    </row>
    <row r="781">
      <c r="F781" s="21"/>
    </row>
    <row r="782">
      <c r="F782" s="21"/>
    </row>
    <row r="783">
      <c r="F783" s="21"/>
    </row>
    <row r="784">
      <c r="F784" s="21"/>
    </row>
    <row r="785">
      <c r="F785" s="21"/>
    </row>
    <row r="786">
      <c r="F786" s="21"/>
    </row>
    <row r="787">
      <c r="F787" s="21"/>
    </row>
    <row r="788">
      <c r="F788" s="21"/>
    </row>
    <row r="789">
      <c r="F789" s="21"/>
    </row>
    <row r="790">
      <c r="F790" s="21"/>
    </row>
    <row r="791">
      <c r="F791" s="21"/>
    </row>
    <row r="792">
      <c r="F792" s="21"/>
    </row>
    <row r="793">
      <c r="F793" s="21"/>
    </row>
    <row r="794">
      <c r="F794" s="21"/>
    </row>
    <row r="795">
      <c r="F795" s="21"/>
    </row>
    <row r="796">
      <c r="F796" s="21"/>
    </row>
    <row r="797">
      <c r="F797" s="21"/>
    </row>
    <row r="798">
      <c r="F798" s="21"/>
    </row>
    <row r="799">
      <c r="F799" s="21"/>
    </row>
    <row r="800">
      <c r="F800" s="21"/>
    </row>
    <row r="801">
      <c r="F801" s="21"/>
    </row>
    <row r="802">
      <c r="F802" s="21"/>
    </row>
    <row r="803">
      <c r="F803" s="21"/>
    </row>
    <row r="804">
      <c r="F804" s="21"/>
    </row>
    <row r="805">
      <c r="F805" s="21"/>
    </row>
    <row r="806">
      <c r="F806" s="21"/>
    </row>
    <row r="807">
      <c r="F807" s="21"/>
    </row>
    <row r="808">
      <c r="F808" s="21"/>
    </row>
    <row r="809">
      <c r="F809" s="21"/>
    </row>
    <row r="810">
      <c r="F810" s="21"/>
    </row>
    <row r="811">
      <c r="F811" s="21"/>
    </row>
    <row r="812">
      <c r="F812" s="21"/>
    </row>
    <row r="813">
      <c r="F813" s="21"/>
    </row>
    <row r="814">
      <c r="F814" s="21"/>
    </row>
    <row r="815">
      <c r="F815" s="21"/>
    </row>
    <row r="816">
      <c r="F816" s="21"/>
    </row>
    <row r="817">
      <c r="F817" s="21"/>
    </row>
    <row r="818">
      <c r="F818" s="21"/>
    </row>
    <row r="819">
      <c r="F819" s="21"/>
    </row>
    <row r="820">
      <c r="F820" s="21"/>
    </row>
    <row r="821">
      <c r="F821" s="21"/>
    </row>
    <row r="822">
      <c r="F822" s="21"/>
    </row>
    <row r="823">
      <c r="F823" s="21"/>
    </row>
    <row r="824">
      <c r="F824" s="21"/>
    </row>
    <row r="825">
      <c r="F825" s="21"/>
    </row>
    <row r="826">
      <c r="F826" s="21"/>
    </row>
    <row r="827">
      <c r="F827" s="21"/>
    </row>
    <row r="828">
      <c r="F828" s="21"/>
    </row>
    <row r="829">
      <c r="F829" s="21"/>
    </row>
    <row r="830">
      <c r="F830" s="21"/>
    </row>
    <row r="831">
      <c r="F831" s="21"/>
    </row>
    <row r="832">
      <c r="F832" s="21"/>
    </row>
    <row r="833">
      <c r="F833" s="21"/>
    </row>
    <row r="834">
      <c r="F834" s="21"/>
    </row>
    <row r="835">
      <c r="F835" s="21"/>
    </row>
    <row r="836">
      <c r="F836" s="21"/>
    </row>
    <row r="837">
      <c r="F837" s="21"/>
    </row>
    <row r="838">
      <c r="F838" s="21"/>
    </row>
    <row r="839">
      <c r="F839" s="21"/>
    </row>
    <row r="840">
      <c r="F840" s="21"/>
    </row>
    <row r="841">
      <c r="F841" s="21"/>
    </row>
    <row r="842">
      <c r="F842" s="21"/>
    </row>
    <row r="843">
      <c r="F843" s="21"/>
    </row>
    <row r="844">
      <c r="F844" s="21"/>
    </row>
    <row r="845">
      <c r="F845" s="21"/>
    </row>
    <row r="846">
      <c r="F846" s="21"/>
    </row>
    <row r="847">
      <c r="F847" s="21"/>
    </row>
    <row r="848">
      <c r="F848" s="21"/>
    </row>
    <row r="849">
      <c r="F849" s="21"/>
    </row>
    <row r="850">
      <c r="F850" s="21"/>
    </row>
    <row r="851">
      <c r="F851" s="21"/>
    </row>
    <row r="852">
      <c r="F852" s="21"/>
    </row>
    <row r="853">
      <c r="F853" s="21"/>
    </row>
    <row r="854">
      <c r="F854" s="21"/>
    </row>
    <row r="855">
      <c r="F855" s="21"/>
    </row>
    <row r="856">
      <c r="F856" s="21"/>
    </row>
    <row r="857">
      <c r="F857" s="21"/>
    </row>
    <row r="858">
      <c r="F858" s="21"/>
    </row>
    <row r="859">
      <c r="F859" s="21"/>
    </row>
    <row r="860">
      <c r="F860" s="21"/>
    </row>
    <row r="861">
      <c r="F861" s="21"/>
    </row>
    <row r="862">
      <c r="F862" s="21"/>
    </row>
    <row r="863">
      <c r="F863" s="21"/>
    </row>
    <row r="864">
      <c r="F864" s="21"/>
    </row>
    <row r="865">
      <c r="F865" s="21"/>
    </row>
    <row r="866">
      <c r="F866" s="21"/>
    </row>
    <row r="867">
      <c r="F867" s="21"/>
    </row>
    <row r="868">
      <c r="F868" s="21"/>
    </row>
    <row r="869">
      <c r="F869" s="21"/>
    </row>
    <row r="870">
      <c r="F870" s="21"/>
    </row>
    <row r="871">
      <c r="F871" s="21"/>
    </row>
    <row r="872">
      <c r="F872" s="21"/>
    </row>
    <row r="873">
      <c r="F873" s="21"/>
    </row>
    <row r="874">
      <c r="F874" s="21"/>
    </row>
    <row r="875">
      <c r="F875" s="21"/>
    </row>
    <row r="876">
      <c r="F876" s="21"/>
    </row>
    <row r="877">
      <c r="F877" s="21"/>
    </row>
    <row r="878">
      <c r="F878" s="21"/>
    </row>
    <row r="879">
      <c r="F879" s="21"/>
    </row>
    <row r="880">
      <c r="F880" s="21"/>
    </row>
    <row r="881">
      <c r="F881" s="21"/>
    </row>
    <row r="882">
      <c r="F882" s="21"/>
    </row>
    <row r="883">
      <c r="F883" s="21"/>
    </row>
    <row r="884">
      <c r="F884" s="21"/>
    </row>
    <row r="885">
      <c r="F885" s="21"/>
    </row>
    <row r="886">
      <c r="F886" s="21"/>
    </row>
    <row r="887">
      <c r="F887" s="21"/>
    </row>
    <row r="888">
      <c r="F888" s="21"/>
    </row>
    <row r="889">
      <c r="F889" s="21"/>
    </row>
    <row r="890">
      <c r="F890" s="21"/>
    </row>
    <row r="891">
      <c r="F891" s="21"/>
    </row>
    <row r="892">
      <c r="F892" s="21"/>
    </row>
    <row r="893">
      <c r="F893" s="21"/>
    </row>
    <row r="894">
      <c r="F894" s="21"/>
    </row>
    <row r="895">
      <c r="F895" s="21"/>
    </row>
    <row r="896">
      <c r="F896" s="21"/>
    </row>
    <row r="897">
      <c r="F897" s="21"/>
    </row>
    <row r="898">
      <c r="F898" s="21"/>
    </row>
    <row r="899">
      <c r="F899" s="21"/>
    </row>
    <row r="900">
      <c r="F900" s="21"/>
    </row>
    <row r="901">
      <c r="F901" s="21"/>
    </row>
    <row r="902">
      <c r="F902" s="21"/>
    </row>
    <row r="903">
      <c r="F903" s="21"/>
    </row>
    <row r="904">
      <c r="F904" s="21"/>
    </row>
    <row r="905">
      <c r="F905" s="21"/>
    </row>
    <row r="906">
      <c r="F906" s="21"/>
    </row>
    <row r="907">
      <c r="F907" s="21"/>
    </row>
    <row r="908">
      <c r="F908" s="21"/>
    </row>
    <row r="909">
      <c r="F909" s="21"/>
    </row>
    <row r="910">
      <c r="F910" s="21"/>
    </row>
    <row r="911">
      <c r="F911" s="21"/>
    </row>
    <row r="912">
      <c r="F912" s="21"/>
    </row>
    <row r="913">
      <c r="F913" s="21"/>
    </row>
    <row r="914">
      <c r="F914" s="21"/>
    </row>
    <row r="915">
      <c r="F915" s="21"/>
    </row>
    <row r="916">
      <c r="F916" s="21"/>
    </row>
    <row r="917">
      <c r="F917" s="21"/>
    </row>
    <row r="918">
      <c r="F918" s="21"/>
    </row>
    <row r="919">
      <c r="F919" s="21"/>
    </row>
    <row r="920">
      <c r="F920" s="21"/>
    </row>
    <row r="921">
      <c r="F921" s="21"/>
    </row>
    <row r="922">
      <c r="F922" s="21"/>
    </row>
    <row r="923">
      <c r="F923" s="21"/>
    </row>
    <row r="924">
      <c r="F924" s="21"/>
    </row>
    <row r="925">
      <c r="F925" s="21"/>
    </row>
    <row r="926">
      <c r="F926" s="21"/>
    </row>
    <row r="927">
      <c r="F927" s="21"/>
    </row>
    <row r="928">
      <c r="F928" s="21"/>
    </row>
    <row r="929">
      <c r="F929" s="21"/>
    </row>
    <row r="930">
      <c r="F930" s="21"/>
    </row>
    <row r="931">
      <c r="F931" s="21"/>
    </row>
    <row r="932">
      <c r="F932" s="21"/>
    </row>
    <row r="933">
      <c r="F933" s="21"/>
    </row>
    <row r="934">
      <c r="F934" s="21"/>
    </row>
    <row r="935">
      <c r="F935" s="21"/>
    </row>
    <row r="936">
      <c r="F936" s="21"/>
    </row>
    <row r="937">
      <c r="F937" s="21"/>
    </row>
    <row r="938">
      <c r="F938" s="21"/>
    </row>
    <row r="939">
      <c r="F939" s="21"/>
    </row>
    <row r="940">
      <c r="F940" s="21"/>
    </row>
    <row r="941">
      <c r="F941" s="21"/>
    </row>
    <row r="942">
      <c r="F942" s="21"/>
    </row>
    <row r="943">
      <c r="F943" s="21"/>
    </row>
    <row r="944">
      <c r="F944" s="21"/>
    </row>
    <row r="945">
      <c r="F945" s="21"/>
    </row>
    <row r="946">
      <c r="F946" s="21"/>
    </row>
    <row r="947">
      <c r="F947" s="21"/>
    </row>
    <row r="948">
      <c r="F948" s="21"/>
    </row>
    <row r="949">
      <c r="F949" s="21"/>
    </row>
    <row r="950">
      <c r="F950" s="21"/>
    </row>
    <row r="951">
      <c r="F951" s="21"/>
    </row>
    <row r="952">
      <c r="F952" s="21"/>
    </row>
    <row r="953">
      <c r="F953" s="21"/>
    </row>
    <row r="954">
      <c r="F954" s="21"/>
    </row>
    <row r="955">
      <c r="F955" s="21"/>
    </row>
    <row r="956">
      <c r="F956" s="21"/>
    </row>
    <row r="957">
      <c r="F957" s="21"/>
    </row>
    <row r="958">
      <c r="F958" s="21"/>
    </row>
    <row r="959">
      <c r="F959" s="21"/>
    </row>
    <row r="960">
      <c r="F960" s="21"/>
    </row>
    <row r="961">
      <c r="F961" s="21"/>
    </row>
    <row r="962">
      <c r="F962" s="21"/>
    </row>
    <row r="963">
      <c r="F963" s="21"/>
    </row>
    <row r="964">
      <c r="F964" s="21"/>
    </row>
    <row r="965">
      <c r="F965" s="21"/>
    </row>
    <row r="966">
      <c r="F966" s="21"/>
    </row>
    <row r="967">
      <c r="F967" s="21"/>
    </row>
    <row r="968">
      <c r="F968" s="21"/>
    </row>
    <row r="969">
      <c r="F969" s="21"/>
    </row>
    <row r="970">
      <c r="F970" s="21"/>
    </row>
    <row r="971">
      <c r="F971" s="21"/>
    </row>
    <row r="972">
      <c r="F972" s="21"/>
    </row>
    <row r="973">
      <c r="F973" s="21"/>
    </row>
    <row r="974">
      <c r="F974" s="21"/>
    </row>
    <row r="975">
      <c r="F975" s="21"/>
    </row>
    <row r="976">
      <c r="F976" s="21"/>
    </row>
    <row r="977">
      <c r="F977" s="21"/>
    </row>
    <row r="978">
      <c r="F978" s="21"/>
    </row>
    <row r="979">
      <c r="F979" s="21"/>
    </row>
    <row r="980">
      <c r="F980" s="21"/>
    </row>
    <row r="981">
      <c r="F981" s="21"/>
    </row>
    <row r="982">
      <c r="F982" s="21"/>
    </row>
    <row r="983">
      <c r="F983" s="21"/>
    </row>
    <row r="984">
      <c r="F984" s="21"/>
    </row>
    <row r="985">
      <c r="F985" s="21"/>
    </row>
    <row r="986">
      <c r="F986" s="21"/>
    </row>
    <row r="987">
      <c r="F987" s="21"/>
    </row>
    <row r="988">
      <c r="F988" s="21"/>
    </row>
    <row r="989">
      <c r="F989" s="21"/>
    </row>
    <row r="990">
      <c r="F990" s="21"/>
    </row>
    <row r="991">
      <c r="F991" s="21"/>
    </row>
    <row r="992">
      <c r="F992" s="21"/>
    </row>
    <row r="993">
      <c r="F993" s="21"/>
    </row>
    <row r="994">
      <c r="F994" s="21"/>
    </row>
    <row r="995">
      <c r="F995" s="21"/>
    </row>
    <row r="996">
      <c r="F996" s="21"/>
    </row>
    <row r="997">
      <c r="F997" s="21"/>
    </row>
    <row r="998">
      <c r="F998" s="21"/>
    </row>
    <row r="999">
      <c r="F999" s="21"/>
    </row>
    <row r="1000">
      <c r="F1000" s="2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